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eanSc\Downloads\For Josh\For Josh\"/>
    </mc:Choice>
  </mc:AlternateContent>
  <xr:revisionPtr revIDLastSave="0" documentId="13_ncr:1_{D28EDABE-FAB7-4865-AE5B-8C92884B0FEA}" xr6:coauthVersionLast="47" xr6:coauthVersionMax="47" xr10:uidLastSave="{00000000-0000-0000-0000-000000000000}"/>
  <bookViews>
    <workbookView xWindow="-120" yWindow="-120" windowWidth="29040" windowHeight="15720" tabRatio="868" firstSheet="1" activeTab="1" xr2:uid="{B4F779AC-0887-463C-B93D-FE6062B76239}"/>
  </bookViews>
  <sheets>
    <sheet name="Output &gt;&gt;" sheetId="3" r:id="rId1"/>
    <sheet name="1. Income Statement" sheetId="4" r:id="rId2"/>
    <sheet name="1.1 Adjusted Income Stmt" sheetId="14" r:id="rId3"/>
    <sheet name="2. Balance Sheet" sheetId="8" r:id="rId4"/>
    <sheet name="3. Cash Flow Statement" sheetId="9" r:id="rId5"/>
    <sheet name="4. WIP Report (Oct-25)" sheetId="10" r:id="rId6"/>
    <sheet name="5. Completed Jobs" sheetId="12" r:id="rId7"/>
    <sheet name="6. Billing by Customer" sheetId="11" r:id="rId8"/>
    <sheet name="7. POC Lookback Summary" sheetId="13" r:id="rId9"/>
    <sheet name="8. Profitability by Work Type" sheetId="17" r:id="rId10"/>
    <sheet name="8.1 Profitability by Project" sheetId="15" r:id="rId11"/>
    <sheet name="8.2 Profitability by Customer" sheetId="16" r:id="rId12"/>
    <sheet name="8.3 Profitability by Vertical" sheetId="18" r:id="rId13"/>
    <sheet name="8.4 Profitability by Cust. Type" sheetId="19" r:id="rId14"/>
    <sheet name="8.5 Profitability by Class" sheetId="20" r:id="rId15"/>
    <sheet name="9. Contract Listing" sheetId="21" r:id="rId16"/>
    <sheet name="Source &gt;&gt;" sheetId="2" r:id="rId17"/>
    <sheet name="Income Statement Source" sheetId="1" r:id="rId18"/>
    <sheet name="Balance Sheet Source" sheetId="7" r:id="rId19"/>
  </sheets>
  <calcPr calcId="191029"/>
  <pivotCaches>
    <pivotCache cacheId="3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3" l="1"/>
  <c r="G47" i="13"/>
  <c r="F47" i="13"/>
  <c r="E47" i="13"/>
  <c r="D47" i="13"/>
  <c r="H46" i="13"/>
  <c r="G46" i="13"/>
  <c r="F46" i="13"/>
  <c r="E46" i="13"/>
  <c r="D46" i="13"/>
  <c r="H45" i="13"/>
  <c r="G45" i="13"/>
  <c r="F45" i="13"/>
  <c r="E45" i="13"/>
  <c r="D45" i="13"/>
  <c r="H44" i="13"/>
  <c r="G44" i="13"/>
  <c r="F44" i="13"/>
  <c r="E44" i="13"/>
  <c r="D44" i="13"/>
  <c r="H43" i="13"/>
  <c r="G43" i="13"/>
  <c r="F43" i="13"/>
  <c r="E43" i="13"/>
  <c r="D43" i="13"/>
  <c r="H42" i="13"/>
  <c r="G42" i="13"/>
  <c r="F42" i="13"/>
  <c r="E42" i="13"/>
  <c r="D42" i="13"/>
  <c r="H41" i="13"/>
  <c r="G41" i="13"/>
  <c r="F41" i="13"/>
  <c r="E41" i="13"/>
  <c r="D41" i="13"/>
  <c r="H40" i="13"/>
  <c r="G40" i="13"/>
  <c r="F40" i="13"/>
  <c r="E40" i="13"/>
  <c r="D40" i="13"/>
  <c r="H39" i="13"/>
  <c r="G39" i="13"/>
  <c r="F39" i="13"/>
  <c r="E39" i="13"/>
  <c r="D39" i="13"/>
  <c r="H38" i="13"/>
  <c r="G38" i="13"/>
  <c r="F38" i="13"/>
  <c r="E38" i="13"/>
  <c r="D38" i="13"/>
  <c r="H37" i="13"/>
  <c r="G37" i="13"/>
  <c r="F37" i="13"/>
  <c r="E37" i="13"/>
  <c r="D37" i="13"/>
  <c r="H36" i="13"/>
  <c r="G36" i="13"/>
  <c r="F36" i="13"/>
  <c r="E36" i="13"/>
  <c r="D36" i="13"/>
  <c r="H35" i="13"/>
  <c r="G35" i="13"/>
  <c r="F35" i="13"/>
  <c r="E35" i="13"/>
  <c r="D35" i="13"/>
  <c r="H34" i="13"/>
  <c r="G34" i="13"/>
  <c r="F34" i="13"/>
  <c r="E34" i="13"/>
  <c r="D34" i="13"/>
  <c r="H33" i="13"/>
  <c r="G33" i="13"/>
  <c r="F33" i="13"/>
  <c r="E33" i="13"/>
  <c r="D33" i="13"/>
  <c r="H32" i="13"/>
  <c r="G32" i="13"/>
  <c r="F32" i="13"/>
  <c r="E32" i="13"/>
  <c r="D32" i="13"/>
  <c r="H31" i="13"/>
  <c r="G31" i="13"/>
  <c r="F31" i="13"/>
  <c r="E31" i="13"/>
  <c r="D31" i="13"/>
  <c r="H30" i="13"/>
  <c r="G30" i="13"/>
  <c r="F30" i="13"/>
  <c r="E30" i="13"/>
  <c r="D30" i="13"/>
  <c r="H29" i="13"/>
  <c r="G29" i="13"/>
  <c r="F29" i="13"/>
  <c r="E29" i="13"/>
  <c r="D29" i="13"/>
  <c r="H28" i="13"/>
  <c r="G28" i="13"/>
  <c r="F28" i="13"/>
  <c r="E28" i="13"/>
  <c r="D28" i="13"/>
  <c r="H27" i="13"/>
  <c r="G27" i="13"/>
  <c r="F27" i="13"/>
  <c r="E27" i="13"/>
  <c r="D27" i="13"/>
  <c r="H26" i="13"/>
  <c r="G26" i="13"/>
  <c r="F26" i="13"/>
  <c r="E26" i="13"/>
  <c r="D26" i="13"/>
  <c r="H25" i="13"/>
  <c r="G25" i="13"/>
  <c r="F25" i="13"/>
  <c r="E25" i="13"/>
  <c r="D25" i="13"/>
  <c r="H24" i="13"/>
  <c r="G24" i="13"/>
  <c r="F24" i="13"/>
  <c r="E24" i="13"/>
  <c r="D24" i="13"/>
  <c r="H23" i="13"/>
  <c r="G23" i="13"/>
  <c r="F23" i="13"/>
  <c r="E23" i="13"/>
  <c r="D23" i="13"/>
  <c r="H22" i="13"/>
  <c r="G22" i="13"/>
  <c r="F22" i="13"/>
  <c r="E22" i="13"/>
  <c r="D22" i="13"/>
  <c r="H21" i="13"/>
  <c r="G21" i="13"/>
  <c r="F21" i="13"/>
  <c r="E21" i="13"/>
  <c r="D21" i="13"/>
  <c r="H20" i="13"/>
  <c r="G20" i="13"/>
  <c r="F20" i="13"/>
  <c r="E20" i="13"/>
  <c r="D20" i="13"/>
  <c r="H19" i="13"/>
  <c r="G19" i="13"/>
  <c r="F19" i="13"/>
  <c r="E19" i="13"/>
  <c r="D19" i="13"/>
  <c r="H18" i="13"/>
  <c r="G18" i="13"/>
  <c r="F18" i="13"/>
  <c r="E18" i="13"/>
  <c r="D18" i="13"/>
  <c r="H17" i="13"/>
  <c r="G17" i="13"/>
  <c r="F17" i="13"/>
  <c r="E17" i="13"/>
  <c r="D17" i="13"/>
  <c r="H16" i="13"/>
  <c r="G16" i="13"/>
  <c r="F16" i="13"/>
  <c r="E16" i="13"/>
  <c r="D16" i="13"/>
  <c r="H15" i="13"/>
  <c r="G15" i="13"/>
  <c r="F15" i="13"/>
  <c r="E15" i="13"/>
  <c r="D15" i="13"/>
  <c r="H14" i="13"/>
  <c r="G14" i="13"/>
  <c r="F14" i="13"/>
  <c r="E14" i="13"/>
  <c r="D14" i="13"/>
  <c r="H13" i="13"/>
  <c r="G13" i="13"/>
  <c r="F13" i="13"/>
  <c r="E13" i="13"/>
  <c r="D13" i="13"/>
  <c r="H12" i="13"/>
  <c r="G12" i="13"/>
  <c r="F12" i="13"/>
  <c r="E12" i="13"/>
  <c r="D12" i="13"/>
  <c r="H11" i="13"/>
  <c r="G11" i="13"/>
  <c r="F11" i="13"/>
  <c r="E11" i="13"/>
  <c r="D11" i="13"/>
  <c r="H10" i="13"/>
  <c r="G10" i="13"/>
  <c r="F10" i="13"/>
  <c r="E10" i="13"/>
  <c r="D10" i="13"/>
  <c r="H9" i="13"/>
  <c r="G9" i="13"/>
  <c r="F9" i="13"/>
  <c r="E9" i="13"/>
  <c r="D9" i="13"/>
  <c r="H8" i="13"/>
  <c r="G8" i="13"/>
  <c r="F8" i="13"/>
  <c r="E8" i="13"/>
  <c r="D8" i="13"/>
  <c r="B114" i="14"/>
  <c r="AO113" i="14"/>
  <c r="AP113" i="14" s="1"/>
  <c r="AD113" i="14"/>
  <c r="Q113" i="14"/>
  <c r="L112" i="14"/>
  <c r="AO111" i="14"/>
  <c r="AP111" i="14" s="1"/>
  <c r="AD111" i="14"/>
  <c r="Q111" i="14"/>
  <c r="B105" i="14"/>
  <c r="AN104" i="14"/>
  <c r="AM104" i="14"/>
  <c r="AL104" i="14"/>
  <c r="AK104" i="14"/>
  <c r="AJ104" i="14"/>
  <c r="AI104" i="14"/>
  <c r="AH104" i="14"/>
  <c r="AG104" i="14"/>
  <c r="AF104" i="14"/>
  <c r="AE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B104" i="14"/>
  <c r="AN103" i="14"/>
  <c r="AM103" i="14"/>
  <c r="AL103" i="14"/>
  <c r="AK103" i="14"/>
  <c r="AJ103" i="14"/>
  <c r="AI103" i="14"/>
  <c r="AH103" i="14"/>
  <c r="AG103" i="14"/>
  <c r="AF103" i="14"/>
  <c r="AE103" i="14"/>
  <c r="AC103" i="14"/>
  <c r="AB103" i="14"/>
  <c r="AA103" i="14"/>
  <c r="Z103" i="14"/>
  <c r="Y103" i="14"/>
  <c r="X103" i="14"/>
  <c r="X105" i="14" s="1"/>
  <c r="W103" i="14"/>
  <c r="V103" i="14"/>
  <c r="U103" i="14"/>
  <c r="T103" i="14"/>
  <c r="S103" i="14"/>
  <c r="R103" i="14"/>
  <c r="P103" i="14"/>
  <c r="O103" i="14"/>
  <c r="N103" i="14"/>
  <c r="M103" i="14"/>
  <c r="L103" i="14"/>
  <c r="K103" i="14"/>
  <c r="J103" i="14"/>
  <c r="I103" i="14"/>
  <c r="H103" i="14"/>
  <c r="G103" i="14"/>
  <c r="F103" i="14"/>
  <c r="E103" i="14"/>
  <c r="B103" i="14"/>
  <c r="AN102" i="14"/>
  <c r="AN112" i="14" s="1"/>
  <c r="AM102" i="14"/>
  <c r="AM112" i="14" s="1"/>
  <c r="AL102" i="14"/>
  <c r="AL112" i="14" s="1"/>
  <c r="AK102" i="14"/>
  <c r="AK112" i="14" s="1"/>
  <c r="AJ102" i="14"/>
  <c r="AJ112" i="14" s="1"/>
  <c r="AI102" i="14"/>
  <c r="AI112" i="14" s="1"/>
  <c r="AH102" i="14"/>
  <c r="AH112" i="14" s="1"/>
  <c r="AG102" i="14"/>
  <c r="AG112" i="14" s="1"/>
  <c r="AF102" i="14"/>
  <c r="AF112" i="14" s="1"/>
  <c r="AE102" i="14"/>
  <c r="AC102" i="14"/>
  <c r="AB102" i="14"/>
  <c r="AA102" i="14"/>
  <c r="Z102" i="14"/>
  <c r="Y102" i="14"/>
  <c r="Y112" i="14" s="1"/>
  <c r="X102" i="14"/>
  <c r="X112" i="14" s="1"/>
  <c r="W102" i="14"/>
  <c r="V102" i="14"/>
  <c r="V105" i="14" s="1"/>
  <c r="U102" i="14"/>
  <c r="U112" i="14" s="1"/>
  <c r="T102" i="14"/>
  <c r="T105" i="14" s="1"/>
  <c r="S102" i="14"/>
  <c r="S112" i="14" s="1"/>
  <c r="R102" i="14"/>
  <c r="R112" i="14" s="1"/>
  <c r="P102" i="14"/>
  <c r="P112" i="14" s="1"/>
  <c r="O102" i="14"/>
  <c r="O112" i="14" s="1"/>
  <c r="N102" i="14"/>
  <c r="N112" i="14" s="1"/>
  <c r="M102" i="14"/>
  <c r="M112" i="14" s="1"/>
  <c r="L102" i="14"/>
  <c r="K102" i="14"/>
  <c r="K112" i="14" s="1"/>
  <c r="J102" i="14"/>
  <c r="J112" i="14" s="1"/>
  <c r="I102" i="14"/>
  <c r="H102" i="14"/>
  <c r="H112" i="14" s="1"/>
  <c r="G102" i="14"/>
  <c r="F102" i="14"/>
  <c r="E102" i="14"/>
  <c r="B102" i="14"/>
  <c r="B95" i="14"/>
  <c r="B93" i="14"/>
  <c r="AN92" i="14"/>
  <c r="AM92" i="14"/>
  <c r="AL92" i="14"/>
  <c r="AK92" i="14"/>
  <c r="AJ92" i="14"/>
  <c r="AI92" i="14"/>
  <c r="AH92" i="14"/>
  <c r="AG92" i="14"/>
  <c r="AF92" i="14"/>
  <c r="AE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B92" i="14"/>
  <c r="AN91" i="14"/>
  <c r="AM91" i="14"/>
  <c r="AL91" i="14"/>
  <c r="AK91" i="14"/>
  <c r="AJ91" i="14"/>
  <c r="AI91" i="14"/>
  <c r="AH91" i="14"/>
  <c r="AG91" i="14"/>
  <c r="AF91" i="14"/>
  <c r="AE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B91" i="14"/>
  <c r="AN90" i="14"/>
  <c r="AM90" i="14"/>
  <c r="AL90" i="14"/>
  <c r="AK90" i="14"/>
  <c r="AJ90" i="14"/>
  <c r="AI90" i="14"/>
  <c r="AH90" i="14"/>
  <c r="AG90" i="14"/>
  <c r="AF90" i="14"/>
  <c r="AE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B90" i="14"/>
  <c r="AN89" i="14"/>
  <c r="AM89" i="14"/>
  <c r="AL89" i="14"/>
  <c r="AK89" i="14"/>
  <c r="AJ89" i="14"/>
  <c r="AI89" i="14"/>
  <c r="AH89" i="14"/>
  <c r="AG89" i="14"/>
  <c r="AF89" i="14"/>
  <c r="AE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B89" i="14"/>
  <c r="AN88" i="14"/>
  <c r="AM88" i="14"/>
  <c r="AL88" i="14"/>
  <c r="AK88" i="14"/>
  <c r="AJ88" i="14"/>
  <c r="AI88" i="14"/>
  <c r="AH88" i="14"/>
  <c r="AG88" i="14"/>
  <c r="AF88" i="14"/>
  <c r="AE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B88" i="14"/>
  <c r="AN87" i="14"/>
  <c r="AM87" i="14"/>
  <c r="AL87" i="14"/>
  <c r="AK87" i="14"/>
  <c r="AJ87" i="14"/>
  <c r="AI87" i="14"/>
  <c r="AH87" i="14"/>
  <c r="AG87" i="14"/>
  <c r="AF87" i="14"/>
  <c r="AE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B87" i="14"/>
  <c r="AN86" i="14"/>
  <c r="AM86" i="14"/>
  <c r="AL86" i="14"/>
  <c r="AK86" i="14"/>
  <c r="AJ86" i="14"/>
  <c r="AI86" i="14"/>
  <c r="AH86" i="14"/>
  <c r="AG86" i="14"/>
  <c r="AF86" i="14"/>
  <c r="AE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B86" i="14"/>
  <c r="AN85" i="14"/>
  <c r="AM85" i="14"/>
  <c r="AL85" i="14"/>
  <c r="AK85" i="14"/>
  <c r="AJ85" i="14"/>
  <c r="AI85" i="14"/>
  <c r="AH85" i="14"/>
  <c r="AG85" i="14"/>
  <c r="AF85" i="14"/>
  <c r="AE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B85" i="14"/>
  <c r="B82" i="14"/>
  <c r="AN81" i="14"/>
  <c r="AM81" i="14"/>
  <c r="AL81" i="14"/>
  <c r="AK81" i="14"/>
  <c r="AJ81" i="14"/>
  <c r="AI81" i="14"/>
  <c r="AH81" i="14"/>
  <c r="AG81" i="14"/>
  <c r="AF81" i="14"/>
  <c r="AE81" i="14"/>
  <c r="AC81" i="14"/>
  <c r="AB81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B81" i="14"/>
  <c r="AN80" i="14"/>
  <c r="AM80" i="14"/>
  <c r="AL80" i="14"/>
  <c r="AK80" i="14"/>
  <c r="AJ80" i="14"/>
  <c r="AI80" i="14"/>
  <c r="AH80" i="14"/>
  <c r="AG80" i="14"/>
  <c r="AF80" i="14"/>
  <c r="AE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B80" i="14"/>
  <c r="B77" i="14"/>
  <c r="AN76" i="14"/>
  <c r="AM76" i="14"/>
  <c r="AL76" i="14"/>
  <c r="AK76" i="14"/>
  <c r="AJ76" i="14"/>
  <c r="AI76" i="14"/>
  <c r="AH76" i="14"/>
  <c r="AG76" i="14"/>
  <c r="AF76" i="14"/>
  <c r="AE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B76" i="14"/>
  <c r="AN75" i="14"/>
  <c r="AM75" i="14"/>
  <c r="AL75" i="14"/>
  <c r="AK75" i="14"/>
  <c r="AJ75" i="14"/>
  <c r="AI75" i="14"/>
  <c r="AH75" i="14"/>
  <c r="AG75" i="14"/>
  <c r="AF75" i="14"/>
  <c r="AE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B75" i="14"/>
  <c r="AN74" i="14"/>
  <c r="AM74" i="14"/>
  <c r="AL74" i="14"/>
  <c r="AK74" i="14"/>
  <c r="AJ74" i="14"/>
  <c r="AI74" i="14"/>
  <c r="AH74" i="14"/>
  <c r="AG74" i="14"/>
  <c r="AF74" i="14"/>
  <c r="AE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B74" i="14"/>
  <c r="AN73" i="14"/>
  <c r="AM73" i="14"/>
  <c r="AL73" i="14"/>
  <c r="AK73" i="14"/>
  <c r="AJ73" i="14"/>
  <c r="AI73" i="14"/>
  <c r="AH73" i="14"/>
  <c r="AG73" i="14"/>
  <c r="AF73" i="14"/>
  <c r="AE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B73" i="14"/>
  <c r="B70" i="14"/>
  <c r="AN69" i="14"/>
  <c r="AM69" i="14"/>
  <c r="AL69" i="14"/>
  <c r="AK69" i="14"/>
  <c r="AJ69" i="14"/>
  <c r="AI69" i="14"/>
  <c r="AH69" i="14"/>
  <c r="AG69" i="14"/>
  <c r="AF69" i="14"/>
  <c r="AE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B69" i="14"/>
  <c r="AN68" i="14"/>
  <c r="AM68" i="14"/>
  <c r="AL68" i="14"/>
  <c r="AK68" i="14"/>
  <c r="AJ68" i="14"/>
  <c r="AI68" i="14"/>
  <c r="AH68" i="14"/>
  <c r="AG68" i="14"/>
  <c r="AF68" i="14"/>
  <c r="AE68" i="14"/>
  <c r="AC68" i="14"/>
  <c r="AB68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B68" i="14"/>
  <c r="AN67" i="14"/>
  <c r="AM67" i="14"/>
  <c r="AL67" i="14"/>
  <c r="AK67" i="14"/>
  <c r="AJ67" i="14"/>
  <c r="AI67" i="14"/>
  <c r="AH67" i="14"/>
  <c r="AG67" i="14"/>
  <c r="AF67" i="14"/>
  <c r="AE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B67" i="14"/>
  <c r="AN66" i="14"/>
  <c r="AM66" i="14"/>
  <c r="AL66" i="14"/>
  <c r="AK66" i="14"/>
  <c r="AJ66" i="14"/>
  <c r="AI66" i="14"/>
  <c r="AH66" i="14"/>
  <c r="AG66" i="14"/>
  <c r="AF66" i="14"/>
  <c r="AE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B66" i="14"/>
  <c r="AN65" i="14"/>
  <c r="AM65" i="14"/>
  <c r="AL65" i="14"/>
  <c r="AK65" i="14"/>
  <c r="AJ65" i="14"/>
  <c r="AI65" i="14"/>
  <c r="AH65" i="14"/>
  <c r="AG65" i="14"/>
  <c r="AF65" i="14"/>
  <c r="AE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B65" i="14"/>
  <c r="B62" i="14"/>
  <c r="AN61" i="14"/>
  <c r="AM61" i="14"/>
  <c r="AL61" i="14"/>
  <c r="AK61" i="14"/>
  <c r="AJ61" i="14"/>
  <c r="AI61" i="14"/>
  <c r="AH61" i="14"/>
  <c r="AG61" i="14"/>
  <c r="AF61" i="14"/>
  <c r="AE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B61" i="14"/>
  <c r="AN60" i="14"/>
  <c r="AM60" i="14"/>
  <c r="AL60" i="14"/>
  <c r="AK60" i="14"/>
  <c r="AJ60" i="14"/>
  <c r="AI60" i="14"/>
  <c r="AH60" i="14"/>
  <c r="AG60" i="14"/>
  <c r="AF60" i="14"/>
  <c r="AE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B60" i="14"/>
  <c r="AN59" i="14"/>
  <c r="AM59" i="14"/>
  <c r="AL59" i="14"/>
  <c r="AK59" i="14"/>
  <c r="AJ59" i="14"/>
  <c r="AI59" i="14"/>
  <c r="AH59" i="14"/>
  <c r="AG59" i="14"/>
  <c r="AF59" i="14"/>
  <c r="AE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B59" i="14"/>
  <c r="B56" i="14"/>
  <c r="AN55" i="14"/>
  <c r="AM55" i="14"/>
  <c r="AL55" i="14"/>
  <c r="AK55" i="14"/>
  <c r="AJ55" i="14"/>
  <c r="AI55" i="14"/>
  <c r="AH55" i="14"/>
  <c r="AG55" i="14"/>
  <c r="AF55" i="14"/>
  <c r="AE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B55" i="14"/>
  <c r="AN54" i="14"/>
  <c r="AM54" i="14"/>
  <c r="AL54" i="14"/>
  <c r="AK54" i="14"/>
  <c r="AJ54" i="14"/>
  <c r="AI54" i="14"/>
  <c r="AH54" i="14"/>
  <c r="AG54" i="14"/>
  <c r="AF54" i="14"/>
  <c r="AE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B54" i="14"/>
  <c r="AN53" i="14"/>
  <c r="AM53" i="14"/>
  <c r="AL53" i="14"/>
  <c r="AK53" i="14"/>
  <c r="AJ53" i="14"/>
  <c r="AI53" i="14"/>
  <c r="AH53" i="14"/>
  <c r="AG53" i="14"/>
  <c r="AF53" i="14"/>
  <c r="AE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B53" i="14"/>
  <c r="AN52" i="14"/>
  <c r="AM52" i="14"/>
  <c r="AL52" i="14"/>
  <c r="AK52" i="14"/>
  <c r="AJ52" i="14"/>
  <c r="AI52" i="14"/>
  <c r="AH52" i="14"/>
  <c r="AG52" i="14"/>
  <c r="AF52" i="14"/>
  <c r="AE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B52" i="14"/>
  <c r="AN51" i="14"/>
  <c r="AM51" i="14"/>
  <c r="AL51" i="14"/>
  <c r="AK51" i="14"/>
  <c r="AJ51" i="14"/>
  <c r="AI51" i="14"/>
  <c r="AH51" i="14"/>
  <c r="AG51" i="14"/>
  <c r="AF51" i="14"/>
  <c r="AE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B51" i="14"/>
  <c r="AN50" i="14"/>
  <c r="AM50" i="14"/>
  <c r="AL50" i="14"/>
  <c r="AK50" i="14"/>
  <c r="AJ50" i="14"/>
  <c r="AI50" i="14"/>
  <c r="AH50" i="14"/>
  <c r="AG50" i="14"/>
  <c r="AF50" i="14"/>
  <c r="AE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B50" i="14"/>
  <c r="AN49" i="14"/>
  <c r="AM49" i="14"/>
  <c r="AL49" i="14"/>
  <c r="AK49" i="14"/>
  <c r="AJ49" i="14"/>
  <c r="AI49" i="14"/>
  <c r="AH49" i="14"/>
  <c r="AG49" i="14"/>
  <c r="AF49" i="14"/>
  <c r="AE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B49" i="14"/>
  <c r="B41" i="14"/>
  <c r="AN39" i="14"/>
  <c r="AM39" i="14"/>
  <c r="AL39" i="14"/>
  <c r="AK39" i="14"/>
  <c r="AJ39" i="14"/>
  <c r="AI39" i="14"/>
  <c r="AH39" i="14"/>
  <c r="AG39" i="14"/>
  <c r="AF39" i="14"/>
  <c r="AE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B39" i="14"/>
  <c r="AN37" i="14"/>
  <c r="AM37" i="14"/>
  <c r="AL37" i="14"/>
  <c r="AK37" i="14"/>
  <c r="AJ37" i="14"/>
  <c r="AI37" i="14"/>
  <c r="AH37" i="14"/>
  <c r="AG37" i="14"/>
  <c r="AF37" i="14"/>
  <c r="AE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B37" i="14"/>
  <c r="B35" i="14"/>
  <c r="AN34" i="14"/>
  <c r="AM34" i="14"/>
  <c r="AL34" i="14"/>
  <c r="AK34" i="14"/>
  <c r="AJ34" i="14"/>
  <c r="AI34" i="14"/>
  <c r="AH34" i="14"/>
  <c r="AG34" i="14"/>
  <c r="AF34" i="14"/>
  <c r="AE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B34" i="14"/>
  <c r="AN33" i="14"/>
  <c r="AM33" i="14"/>
  <c r="AL33" i="14"/>
  <c r="AK33" i="14"/>
  <c r="AJ33" i="14"/>
  <c r="AI33" i="14"/>
  <c r="AH33" i="14"/>
  <c r="AG33" i="14"/>
  <c r="AF33" i="14"/>
  <c r="AE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B33" i="14"/>
  <c r="B30" i="14"/>
  <c r="AN29" i="14"/>
  <c r="AM29" i="14"/>
  <c r="AL29" i="14"/>
  <c r="AK29" i="14"/>
  <c r="AJ29" i="14"/>
  <c r="AI29" i="14"/>
  <c r="AH29" i="14"/>
  <c r="AG29" i="14"/>
  <c r="AF29" i="14"/>
  <c r="AE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B29" i="14"/>
  <c r="AN28" i="14"/>
  <c r="AM28" i="14"/>
  <c r="AL28" i="14"/>
  <c r="AK28" i="14"/>
  <c r="AJ28" i="14"/>
  <c r="AI28" i="14"/>
  <c r="AH28" i="14"/>
  <c r="AG28" i="14"/>
  <c r="AF28" i="14"/>
  <c r="AE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B28" i="14"/>
  <c r="AN27" i="14"/>
  <c r="AM27" i="14"/>
  <c r="AL27" i="14"/>
  <c r="AK27" i="14"/>
  <c r="AJ27" i="14"/>
  <c r="AI27" i="14"/>
  <c r="AH27" i="14"/>
  <c r="AG27" i="14"/>
  <c r="AF27" i="14"/>
  <c r="AE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B27" i="14"/>
  <c r="AN26" i="14"/>
  <c r="AM26" i="14"/>
  <c r="AL26" i="14"/>
  <c r="AK26" i="14"/>
  <c r="AJ26" i="14"/>
  <c r="AI26" i="14"/>
  <c r="AH26" i="14"/>
  <c r="AG26" i="14"/>
  <c r="AF26" i="14"/>
  <c r="AE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B26" i="14"/>
  <c r="AN25" i="14"/>
  <c r="AM25" i="14"/>
  <c r="AL25" i="14"/>
  <c r="AK25" i="14"/>
  <c r="AJ25" i="14"/>
  <c r="AI25" i="14"/>
  <c r="AH25" i="14"/>
  <c r="AG25" i="14"/>
  <c r="AF25" i="14"/>
  <c r="AE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B25" i="14"/>
  <c r="AN24" i="14"/>
  <c r="AM24" i="14"/>
  <c r="AL24" i="14"/>
  <c r="AK24" i="14"/>
  <c r="AJ24" i="14"/>
  <c r="AI24" i="14"/>
  <c r="AH24" i="14"/>
  <c r="AG24" i="14"/>
  <c r="AF24" i="14"/>
  <c r="AE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B24" i="14"/>
  <c r="B19" i="14"/>
  <c r="B17" i="14"/>
  <c r="AN15" i="14"/>
  <c r="AM15" i="14"/>
  <c r="AL15" i="14"/>
  <c r="AK15" i="14"/>
  <c r="AJ15" i="14"/>
  <c r="AI15" i="14"/>
  <c r="AH15" i="14"/>
  <c r="AG15" i="14"/>
  <c r="AF15" i="14"/>
  <c r="AE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B15" i="14"/>
  <c r="AN13" i="14"/>
  <c r="AM13" i="14"/>
  <c r="AL13" i="14"/>
  <c r="AK13" i="14"/>
  <c r="AJ13" i="14"/>
  <c r="AI13" i="14"/>
  <c r="AH13" i="14"/>
  <c r="AG13" i="14"/>
  <c r="AF13" i="14"/>
  <c r="AE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B13" i="14"/>
  <c r="AN11" i="14"/>
  <c r="AM11" i="14"/>
  <c r="AL11" i="14"/>
  <c r="AK11" i="14"/>
  <c r="AJ11" i="14"/>
  <c r="AI11" i="14"/>
  <c r="AH11" i="14"/>
  <c r="AG11" i="14"/>
  <c r="AF11" i="14"/>
  <c r="AE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B11" i="14"/>
  <c r="AN9" i="14"/>
  <c r="AM9" i="14"/>
  <c r="AL9" i="14"/>
  <c r="AK9" i="14"/>
  <c r="AJ9" i="14"/>
  <c r="AI9" i="14"/>
  <c r="AH9" i="14"/>
  <c r="AG9" i="14"/>
  <c r="AF9" i="14"/>
  <c r="AE9" i="14"/>
  <c r="AC9" i="14"/>
  <c r="AB9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M9" i="14"/>
  <c r="L9" i="14"/>
  <c r="K9" i="14"/>
  <c r="J9" i="14"/>
  <c r="I9" i="14"/>
  <c r="H9" i="14"/>
  <c r="G9" i="14"/>
  <c r="F9" i="14"/>
  <c r="E9" i="14"/>
  <c r="B9" i="14"/>
  <c r="F6" i="14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IE47" i="13"/>
  <c r="ID47" i="13"/>
  <c r="IC47" i="13"/>
  <c r="IB47" i="13"/>
  <c r="IA47" i="13"/>
  <c r="HM47" i="13"/>
  <c r="HL47" i="13"/>
  <c r="HI47" i="13"/>
  <c r="HH47" i="13"/>
  <c r="HG47" i="13"/>
  <c r="HE47" i="13"/>
  <c r="HY47" i="13"/>
  <c r="GJ47" i="13"/>
  <c r="HF47" i="13"/>
  <c r="HC47" i="13"/>
  <c r="HB47" i="13"/>
  <c r="FW47" i="13"/>
  <c r="DT47" i="13"/>
  <c r="FG47" i="13" s="1"/>
  <c r="DR47" i="13"/>
  <c r="FE47" i="13" s="1"/>
  <c r="DQ47" i="13"/>
  <c r="FD47" i="13" s="1"/>
  <c r="DN47" i="13"/>
  <c r="FA47" i="13" s="1"/>
  <c r="DM47" i="13"/>
  <c r="EZ47" i="13" s="1"/>
  <c r="DD47" i="13"/>
  <c r="EQ47" i="13" s="1"/>
  <c r="DC47" i="13"/>
  <c r="EP47" i="13" s="1"/>
  <c r="CZ47" i="13"/>
  <c r="EM47" i="13" s="1"/>
  <c r="CY47" i="13"/>
  <c r="EL47" i="13" s="1"/>
  <c r="CX47" i="13"/>
  <c r="EK47" i="13" s="1"/>
  <c r="CV47" i="13"/>
  <c r="EI47" i="13" s="1"/>
  <c r="CU47" i="13"/>
  <c r="EH47" i="13" s="1"/>
  <c r="CQ47" i="13"/>
  <c r="ED47" i="13" s="1"/>
  <c r="DS47" i="13"/>
  <c r="FF47" i="13" s="1"/>
  <c r="DP47" i="13"/>
  <c r="FC47" i="13" s="1"/>
  <c r="BW47" i="13"/>
  <c r="CT47" i="13"/>
  <c r="EG47" i="13" s="1"/>
  <c r="CR47" i="13"/>
  <c r="EE47" i="13" s="1"/>
  <c r="IG47" i="13"/>
  <c r="IF47" i="13"/>
  <c r="HZ47" i="13"/>
  <c r="DL47" i="13"/>
  <c r="EY47" i="13" s="1"/>
  <c r="DK47" i="13"/>
  <c r="EX47" i="13" s="1"/>
  <c r="HR47" i="13"/>
  <c r="HQ47" i="13"/>
  <c r="HP47" i="13"/>
  <c r="HK47" i="13"/>
  <c r="HD47" i="13"/>
  <c r="CO47" i="13"/>
  <c r="EB47" i="13" s="1"/>
  <c r="CN47" i="13"/>
  <c r="EA47" i="13" s="1"/>
  <c r="CM47" i="13"/>
  <c r="DZ47" i="13" s="1"/>
  <c r="HV46" i="13"/>
  <c r="HU46" i="13"/>
  <c r="HR46" i="13"/>
  <c r="HQ46" i="13"/>
  <c r="HP46" i="13"/>
  <c r="GZ46" i="13"/>
  <c r="GY46" i="13"/>
  <c r="IG46" i="13"/>
  <c r="HZ46" i="13"/>
  <c r="HL46" i="13"/>
  <c r="HD46" i="13"/>
  <c r="FW46" i="13"/>
  <c r="DR46" i="13"/>
  <c r="FE46" i="13" s="1"/>
  <c r="DN46" i="13"/>
  <c r="FA46" i="13" s="1"/>
  <c r="DM46" i="13"/>
  <c r="EZ46" i="13" s="1"/>
  <c r="DI46" i="13"/>
  <c r="EV46" i="13" s="1"/>
  <c r="DE46" i="13"/>
  <c r="ER46" i="13" s="1"/>
  <c r="DD46" i="13"/>
  <c r="EQ46" i="13" s="1"/>
  <c r="DA46" i="13"/>
  <c r="EN46" i="13" s="1"/>
  <c r="CV46" i="13"/>
  <c r="EI46" i="13" s="1"/>
  <c r="CU46" i="13"/>
  <c r="EH46" i="13" s="1"/>
  <c r="CQ46" i="13"/>
  <c r="ED46" i="13" s="1"/>
  <c r="CP46" i="13"/>
  <c r="EC46" i="13" s="1"/>
  <c r="CM46" i="13"/>
  <c r="DZ46" i="13" s="1"/>
  <c r="DL46" i="13"/>
  <c r="EY46" i="13" s="1"/>
  <c r="CH46" i="13"/>
  <c r="CI46" i="13" s="1"/>
  <c r="DH46" i="13"/>
  <c r="EU46" i="13" s="1"/>
  <c r="DG46" i="13"/>
  <c r="ET46" i="13" s="1"/>
  <c r="DF46" i="13"/>
  <c r="ES46" i="13" s="1"/>
  <c r="DC46" i="13"/>
  <c r="EP46" i="13" s="1"/>
  <c r="CL46" i="13"/>
  <c r="DY46" i="13" s="1"/>
  <c r="DT46" i="13"/>
  <c r="FG46" i="13" s="1"/>
  <c r="IA46" i="13"/>
  <c r="HT46" i="13"/>
  <c r="HS46" i="13"/>
  <c r="HN46" i="13"/>
  <c r="HM46" i="13"/>
  <c r="CX46" i="13"/>
  <c r="HI46" i="13"/>
  <c r="HH46" i="13"/>
  <c r="IF45" i="13"/>
  <c r="IE45" i="13"/>
  <c r="HM45" i="13"/>
  <c r="HI45" i="13"/>
  <c r="ID45" i="13"/>
  <c r="HU45" i="13"/>
  <c r="HT45" i="13"/>
  <c r="HH45" i="13"/>
  <c r="GY45" i="13"/>
  <c r="DP45" i="13"/>
  <c r="FC45" i="13" s="1"/>
  <c r="DE45" i="13"/>
  <c r="ER45" i="13" s="1"/>
  <c r="DC45" i="13"/>
  <c r="EP45" i="13" s="1"/>
  <c r="DB45" i="13"/>
  <c r="EO45" i="13" s="1"/>
  <c r="DA45" i="13"/>
  <c r="EN45" i="13" s="1"/>
  <c r="CZ45" i="13"/>
  <c r="EM45" i="13" s="1"/>
  <c r="DR45" i="13"/>
  <c r="FE45" i="13" s="1"/>
  <c r="DO45" i="13"/>
  <c r="FB45" i="13" s="1"/>
  <c r="CY45" i="13"/>
  <c r="EL45" i="13" s="1"/>
  <c r="BW45" i="13"/>
  <c r="CV45" i="13"/>
  <c r="EI45" i="13" s="1"/>
  <c r="CU45" i="13"/>
  <c r="EH45" i="13" s="1"/>
  <c r="CT45" i="13"/>
  <c r="EG45" i="13" s="1"/>
  <c r="CM45" i="13"/>
  <c r="DZ45" i="13" s="1"/>
  <c r="IC45" i="13"/>
  <c r="IB45" i="13"/>
  <c r="DN45" i="13"/>
  <c r="FA45" i="13" s="1"/>
  <c r="DM45" i="13"/>
  <c r="EZ45" i="13" s="1"/>
  <c r="AU45" i="13"/>
  <c r="AV45" i="13" s="1"/>
  <c r="HV45" i="13"/>
  <c r="DH45" i="13"/>
  <c r="EU45" i="13" s="1"/>
  <c r="DG45" i="13"/>
  <c r="ET45" i="13" s="1"/>
  <c r="HP45" i="13"/>
  <c r="HO45" i="13"/>
  <c r="HN45" i="13"/>
  <c r="HA45" i="13"/>
  <c r="CL45" i="13"/>
  <c r="DY45" i="13" s="1"/>
  <c r="CK45" i="13"/>
  <c r="IG44" i="13"/>
  <c r="IF44" i="13"/>
  <c r="IE44" i="13"/>
  <c r="HR44" i="13"/>
  <c r="HQ44" i="13"/>
  <c r="HN44" i="13"/>
  <c r="HM44" i="13"/>
  <c r="HL44" i="13"/>
  <c r="HK44" i="13"/>
  <c r="HI44" i="13"/>
  <c r="GZ44" i="13"/>
  <c r="GY44" i="13"/>
  <c r="ID44" i="13"/>
  <c r="HV44" i="13"/>
  <c r="GJ44" i="13"/>
  <c r="HH44" i="13"/>
  <c r="HG44" i="13"/>
  <c r="DN44" i="13"/>
  <c r="FA44" i="13" s="1"/>
  <c r="DI44" i="13"/>
  <c r="EV44" i="13" s="1"/>
  <c r="DE44" i="13"/>
  <c r="ER44" i="13" s="1"/>
  <c r="DD44" i="13"/>
  <c r="EQ44" i="13" s="1"/>
  <c r="DC44" i="13"/>
  <c r="EP44" i="13" s="1"/>
  <c r="DA44" i="13"/>
  <c r="EN44" i="13" s="1"/>
  <c r="CN44" i="13"/>
  <c r="EA44" i="13" s="1"/>
  <c r="CM44" i="13"/>
  <c r="DZ44" i="13" s="1"/>
  <c r="CH44" i="13"/>
  <c r="CI44" i="13" s="1"/>
  <c r="DH44" i="13"/>
  <c r="EU44" i="13" s="1"/>
  <c r="CZ44" i="13"/>
  <c r="EM44" i="13" s="1"/>
  <c r="DT44" i="13"/>
  <c r="FG44" i="13" s="1"/>
  <c r="DS44" i="13"/>
  <c r="FF44" i="13" s="1"/>
  <c r="DR44" i="13"/>
  <c r="FE44" i="13" s="1"/>
  <c r="DQ44" i="13"/>
  <c r="FD44" i="13" s="1"/>
  <c r="HZ44" i="13"/>
  <c r="HY44" i="13"/>
  <c r="HU44" i="13"/>
  <c r="HP44" i="13"/>
  <c r="CU44" i="13"/>
  <c r="EH44" i="13" s="1"/>
  <c r="CT44" i="13"/>
  <c r="EG44" i="13" s="1"/>
  <c r="CS44" i="13"/>
  <c r="EF44" i="13" s="1"/>
  <c r="HA44" i="13"/>
  <c r="CL44" i="13"/>
  <c r="DY44" i="13" s="1"/>
  <c r="IF43" i="13"/>
  <c r="IC43" i="13"/>
  <c r="IA43" i="13"/>
  <c r="HS43" i="13"/>
  <c r="HP43" i="13"/>
  <c r="HO43" i="13"/>
  <c r="HN43" i="13"/>
  <c r="HI43" i="13"/>
  <c r="HG43" i="13"/>
  <c r="HE43" i="13"/>
  <c r="HA43" i="13"/>
  <c r="IE43" i="13"/>
  <c r="HZ43" i="13"/>
  <c r="HT43" i="13"/>
  <c r="FW43" i="13"/>
  <c r="HD43" i="13"/>
  <c r="DS43" i="13"/>
  <c r="FF43" i="13" s="1"/>
  <c r="DR43" i="13"/>
  <c r="FE43" i="13" s="1"/>
  <c r="DO43" i="13"/>
  <c r="FB43" i="13" s="1"/>
  <c r="DN43" i="13"/>
  <c r="FA43" i="13" s="1"/>
  <c r="DM43" i="13"/>
  <c r="EZ43" i="13" s="1"/>
  <c r="DL43" i="13"/>
  <c r="EY43" i="13" s="1"/>
  <c r="DI43" i="13"/>
  <c r="EV43" i="13" s="1"/>
  <c r="DG43" i="13"/>
  <c r="ET43" i="13" s="1"/>
  <c r="DF43" i="13"/>
  <c r="ES43" i="13" s="1"/>
  <c r="CV43" i="13"/>
  <c r="EI43" i="13" s="1"/>
  <c r="CQ43" i="13"/>
  <c r="ED43" i="13" s="1"/>
  <c r="CP43" i="13"/>
  <c r="EC43" i="13" s="1"/>
  <c r="CN43" i="13"/>
  <c r="EA43" i="13" s="1"/>
  <c r="CK43" i="13"/>
  <c r="DQ43" i="13"/>
  <c r="FD43" i="13" s="1"/>
  <c r="DA43" i="13"/>
  <c r="EN43" i="13" s="1"/>
  <c r="CZ43" i="13"/>
  <c r="EM43" i="13" s="1"/>
  <c r="CR43" i="13"/>
  <c r="EE43" i="13" s="1"/>
  <c r="IB43" i="13"/>
  <c r="HY43" i="13"/>
  <c r="HV43" i="13"/>
  <c r="DH43" i="13"/>
  <c r="EU43" i="13" s="1"/>
  <c r="DB43" i="13"/>
  <c r="EO43" i="13" s="1"/>
  <c r="HL43" i="13"/>
  <c r="AJ43" i="13"/>
  <c r="HC43" i="13"/>
  <c r="GX43" i="13"/>
  <c r="HR42" i="13"/>
  <c r="HQ42" i="13"/>
  <c r="HP42" i="13"/>
  <c r="HO42" i="13"/>
  <c r="HN42" i="13"/>
  <c r="HM42" i="13"/>
  <c r="HK42" i="13"/>
  <c r="HZ42" i="13"/>
  <c r="HS42" i="13"/>
  <c r="FW42" i="13"/>
  <c r="HD42" i="13"/>
  <c r="DP42" i="13"/>
  <c r="FC42" i="13" s="1"/>
  <c r="DG42" i="13"/>
  <c r="ET42" i="13" s="1"/>
  <c r="DF42" i="13"/>
  <c r="ES42" i="13" s="1"/>
  <c r="DE42" i="13"/>
  <c r="ER42" i="13" s="1"/>
  <c r="CM42" i="13"/>
  <c r="DZ42" i="13" s="1"/>
  <c r="CK42" i="13"/>
  <c r="DR42" i="13"/>
  <c r="FE42" i="13" s="1"/>
  <c r="DD42" i="13"/>
  <c r="EQ42" i="13" s="1"/>
  <c r="DB42" i="13"/>
  <c r="EO42" i="13" s="1"/>
  <c r="DA42" i="13"/>
  <c r="EN42" i="13" s="1"/>
  <c r="CZ42" i="13"/>
  <c r="EM42" i="13" s="1"/>
  <c r="CY42" i="13"/>
  <c r="EL42" i="13" s="1"/>
  <c r="CT42" i="13"/>
  <c r="EG42" i="13" s="1"/>
  <c r="IE42" i="13"/>
  <c r="DN42" i="13"/>
  <c r="FA42" i="13" s="1"/>
  <c r="DM42" i="13"/>
  <c r="EZ42" i="13" s="1"/>
  <c r="HT42" i="13"/>
  <c r="HG42" i="13"/>
  <c r="GX42" i="13"/>
  <c r="HY41" i="13"/>
  <c r="HX41" i="13"/>
  <c r="HV41" i="13"/>
  <c r="HT41" i="13"/>
  <c r="HR41" i="13"/>
  <c r="HQ41" i="13"/>
  <c r="HN41" i="13"/>
  <c r="HD41" i="13"/>
  <c r="HB41" i="13"/>
  <c r="GU41" i="13"/>
  <c r="GV41" i="13" s="1"/>
  <c r="HZ41" i="13"/>
  <c r="HM41" i="13"/>
  <c r="GJ41" i="13"/>
  <c r="GZ41" i="13"/>
  <c r="FW41" i="13"/>
  <c r="DS41" i="13"/>
  <c r="FF41" i="13" s="1"/>
  <c r="DP41" i="13"/>
  <c r="FC41" i="13" s="1"/>
  <c r="DO41" i="13"/>
  <c r="FB41" i="13" s="1"/>
  <c r="DN41" i="13"/>
  <c r="FA41" i="13" s="1"/>
  <c r="DM41" i="13"/>
  <c r="EZ41" i="13" s="1"/>
  <c r="CV41" i="13"/>
  <c r="EI41" i="13" s="1"/>
  <c r="CT41" i="13"/>
  <c r="EG41" i="13" s="1"/>
  <c r="CS41" i="13"/>
  <c r="EF41" i="13" s="1"/>
  <c r="CR41" i="13"/>
  <c r="EE41" i="13" s="1"/>
  <c r="CM41" i="13"/>
  <c r="DZ41" i="13" s="1"/>
  <c r="CH41" i="13"/>
  <c r="CI41" i="13" s="1"/>
  <c r="DK41" i="13"/>
  <c r="DI41" i="13"/>
  <c r="EV41" i="13" s="1"/>
  <c r="DH41" i="13"/>
  <c r="EU41" i="13" s="1"/>
  <c r="CZ41" i="13"/>
  <c r="EM41" i="13" s="1"/>
  <c r="CQ41" i="13"/>
  <c r="ED41" i="13" s="1"/>
  <c r="CO41" i="13"/>
  <c r="EB41" i="13" s="1"/>
  <c r="CN41" i="13"/>
  <c r="EA41" i="13" s="1"/>
  <c r="CL41" i="13"/>
  <c r="DY41" i="13" s="1"/>
  <c r="AU41" i="13"/>
  <c r="AV41" i="13" s="1"/>
  <c r="DR41" i="13"/>
  <c r="FE41" i="13" s="1"/>
  <c r="IC41" i="13"/>
  <c r="IB41" i="13"/>
  <c r="IA41" i="13"/>
  <c r="DF41" i="13"/>
  <c r="ES41" i="13" s="1"/>
  <c r="DA41" i="13"/>
  <c r="EN41" i="13" s="1"/>
  <c r="HG41" i="13"/>
  <c r="HE41" i="13"/>
  <c r="HA41" i="13"/>
  <c r="IG40" i="13"/>
  <c r="IE40" i="13"/>
  <c r="IC40" i="13"/>
  <c r="HU40" i="13"/>
  <c r="HL40" i="13"/>
  <c r="HK40" i="13"/>
  <c r="HI40" i="13"/>
  <c r="GZ40" i="13"/>
  <c r="GY40" i="13"/>
  <c r="GX40" i="13"/>
  <c r="HV40" i="13"/>
  <c r="HS40" i="13"/>
  <c r="DQ40" i="13"/>
  <c r="FD40" i="13" s="1"/>
  <c r="DP40" i="13"/>
  <c r="FC40" i="13" s="1"/>
  <c r="DL40" i="13"/>
  <c r="EY40" i="13" s="1"/>
  <c r="DK40" i="13"/>
  <c r="DI40" i="13"/>
  <c r="EV40" i="13" s="1"/>
  <c r="DF40" i="13"/>
  <c r="ES40" i="13" s="1"/>
  <c r="DE40" i="13"/>
  <c r="ER40" i="13" s="1"/>
  <c r="DD40" i="13"/>
  <c r="EQ40" i="13" s="1"/>
  <c r="DB40" i="13"/>
  <c r="EO40" i="13" s="1"/>
  <c r="CP40" i="13"/>
  <c r="EC40" i="13" s="1"/>
  <c r="CO40" i="13"/>
  <c r="EB40" i="13" s="1"/>
  <c r="CM40" i="13"/>
  <c r="DZ40" i="13" s="1"/>
  <c r="DR40" i="13"/>
  <c r="FE40" i="13" s="1"/>
  <c r="DM40" i="13"/>
  <c r="EZ40" i="13" s="1"/>
  <c r="DC40" i="13"/>
  <c r="EP40" i="13" s="1"/>
  <c r="CV40" i="13"/>
  <c r="EI40" i="13" s="1"/>
  <c r="CU40" i="13"/>
  <c r="EH40" i="13" s="1"/>
  <c r="DS40" i="13"/>
  <c r="FF40" i="13" s="1"/>
  <c r="ID40" i="13"/>
  <c r="DO40" i="13"/>
  <c r="FB40" i="13" s="1"/>
  <c r="HZ40" i="13"/>
  <c r="DH40" i="13"/>
  <c r="EU40" i="13" s="1"/>
  <c r="HR40" i="13"/>
  <c r="AJ40" i="13"/>
  <c r="HH40" i="13"/>
  <c r="HB40" i="13"/>
  <c r="CN40" i="13"/>
  <c r="EA40" i="13" s="1"/>
  <c r="CL40" i="13"/>
  <c r="DY40" i="13" s="1"/>
  <c r="IG39" i="13"/>
  <c r="IE39" i="13"/>
  <c r="IA39" i="13"/>
  <c r="HL39" i="13"/>
  <c r="HE39" i="13"/>
  <c r="HB39" i="13"/>
  <c r="HA39" i="13"/>
  <c r="GZ39" i="13"/>
  <c r="GX39" i="13"/>
  <c r="ID39" i="13"/>
  <c r="IC39" i="13"/>
  <c r="HR39" i="13"/>
  <c r="HP39" i="13"/>
  <c r="HI39" i="13"/>
  <c r="DE39" i="13"/>
  <c r="ER39" i="13" s="1"/>
  <c r="DD39" i="13"/>
  <c r="EQ39" i="13" s="1"/>
  <c r="DC39" i="13"/>
  <c r="EP39" i="13" s="1"/>
  <c r="CX39" i="13"/>
  <c r="EK39" i="13" s="1"/>
  <c r="CS39" i="13"/>
  <c r="EF39" i="13" s="1"/>
  <c r="CR39" i="13"/>
  <c r="EE39" i="13" s="1"/>
  <c r="CQ39" i="13"/>
  <c r="ED39" i="13" s="1"/>
  <c r="DT39" i="13"/>
  <c r="FG39" i="13" s="1"/>
  <c r="DS39" i="13"/>
  <c r="FF39" i="13" s="1"/>
  <c r="DR39" i="13"/>
  <c r="FE39" i="13" s="1"/>
  <c r="DG39" i="13"/>
  <c r="ET39" i="13" s="1"/>
  <c r="DF39" i="13"/>
  <c r="ES39" i="13" s="1"/>
  <c r="CY39" i="13"/>
  <c r="CV39" i="13"/>
  <c r="EI39" i="13" s="1"/>
  <c r="BJ39" i="13"/>
  <c r="IF39" i="13"/>
  <c r="DK39" i="13"/>
  <c r="EX39" i="13" s="1"/>
  <c r="HV39" i="13"/>
  <c r="HT39" i="13"/>
  <c r="HS39" i="13"/>
  <c r="CZ39" i="13"/>
  <c r="EM39" i="13" s="1"/>
  <c r="HK39" i="13"/>
  <c r="CO39" i="13"/>
  <c r="EB39" i="13" s="1"/>
  <c r="CN39" i="13"/>
  <c r="EA39" i="13" s="1"/>
  <c r="CM39" i="13"/>
  <c r="DZ39" i="13" s="1"/>
  <c r="CL39" i="13"/>
  <c r="DY39" i="13" s="1"/>
  <c r="IA38" i="13"/>
  <c r="HR38" i="13"/>
  <c r="HQ38" i="13"/>
  <c r="HP38" i="13"/>
  <c r="HO38" i="13"/>
  <c r="HN38" i="13"/>
  <c r="HC38" i="13"/>
  <c r="HB38" i="13"/>
  <c r="HA38" i="13"/>
  <c r="GJ38" i="13"/>
  <c r="HE38" i="13"/>
  <c r="DP38" i="13"/>
  <c r="FC38" i="13" s="1"/>
  <c r="DN38" i="13"/>
  <c r="FA38" i="13" s="1"/>
  <c r="DK38" i="13"/>
  <c r="EX38" i="13" s="1"/>
  <c r="CY38" i="13"/>
  <c r="EL38" i="13" s="1"/>
  <c r="CX38" i="13"/>
  <c r="EK38" i="13" s="1"/>
  <c r="CO38" i="13"/>
  <c r="EB38" i="13" s="1"/>
  <c r="CM38" i="13"/>
  <c r="DZ38" i="13" s="1"/>
  <c r="CK38" i="13"/>
  <c r="DX38" i="13" s="1"/>
  <c r="DM38" i="13"/>
  <c r="EZ38" i="13" s="1"/>
  <c r="DI38" i="13"/>
  <c r="EV38" i="13" s="1"/>
  <c r="DE38" i="13"/>
  <c r="ER38" i="13" s="1"/>
  <c r="CR38" i="13"/>
  <c r="EE38" i="13" s="1"/>
  <c r="CQ38" i="13"/>
  <c r="ED38" i="13" s="1"/>
  <c r="CP38" i="13"/>
  <c r="EC38" i="13" s="1"/>
  <c r="CN38" i="13"/>
  <c r="EA38" i="13" s="1"/>
  <c r="IC38" i="13"/>
  <c r="HY38" i="13"/>
  <c r="HU38" i="13"/>
  <c r="DF38" i="13"/>
  <c r="ES38" i="13" s="1"/>
  <c r="DD38" i="13"/>
  <c r="EQ38" i="13" s="1"/>
  <c r="HM38" i="13"/>
  <c r="HL38" i="13"/>
  <c r="CS38" i="13"/>
  <c r="EF38" i="13" s="1"/>
  <c r="GY38" i="13"/>
  <c r="GX38" i="13"/>
  <c r="ID37" i="13"/>
  <c r="IC37" i="13"/>
  <c r="IA37" i="13"/>
  <c r="HS37" i="13"/>
  <c r="HO37" i="13"/>
  <c r="HL37" i="13"/>
  <c r="HH37" i="13"/>
  <c r="HG37" i="13"/>
  <c r="HF37" i="13"/>
  <c r="HE37" i="13"/>
  <c r="IG37" i="13"/>
  <c r="HZ37" i="13"/>
  <c r="HY37" i="13"/>
  <c r="GU37" i="13"/>
  <c r="GV37" i="13" s="1"/>
  <c r="HT37" i="13"/>
  <c r="HQ37" i="13"/>
  <c r="HN37" i="13"/>
  <c r="HD37" i="13"/>
  <c r="HC37" i="13"/>
  <c r="FW37" i="13"/>
  <c r="DN37" i="13"/>
  <c r="FA37" i="13" s="1"/>
  <c r="DK37" i="13"/>
  <c r="DB37" i="13"/>
  <c r="EO37" i="13" s="1"/>
  <c r="CZ37" i="13"/>
  <c r="EM37" i="13" s="1"/>
  <c r="CY37" i="13"/>
  <c r="EL37" i="13" s="1"/>
  <c r="CX37" i="13"/>
  <c r="DQ37" i="13"/>
  <c r="FD37" i="13" s="1"/>
  <c r="DP37" i="13"/>
  <c r="FC37" i="13" s="1"/>
  <c r="DC37" i="13"/>
  <c r="EP37" i="13" s="1"/>
  <c r="DA37" i="13"/>
  <c r="EN37" i="13" s="1"/>
  <c r="CR37" i="13"/>
  <c r="EE37" i="13" s="1"/>
  <c r="DT37" i="13"/>
  <c r="FG37" i="13" s="1"/>
  <c r="DS37" i="13"/>
  <c r="FF37" i="13" s="1"/>
  <c r="DL37" i="13"/>
  <c r="EY37" i="13" s="1"/>
  <c r="DG37" i="13"/>
  <c r="ET37" i="13" s="1"/>
  <c r="DF37" i="13"/>
  <c r="ES37" i="13" s="1"/>
  <c r="HP37" i="13"/>
  <c r="HK37" i="13"/>
  <c r="CQ37" i="13"/>
  <c r="ED37" i="13" s="1"/>
  <c r="HA37" i="13"/>
  <c r="HZ36" i="13"/>
  <c r="HX36" i="13"/>
  <c r="HR36" i="13"/>
  <c r="HO36" i="13"/>
  <c r="HN36" i="13"/>
  <c r="HB36" i="13"/>
  <c r="GU36" i="13"/>
  <c r="GV36" i="13" s="1"/>
  <c r="HG36" i="13"/>
  <c r="HA36" i="13"/>
  <c r="EF36" i="13"/>
  <c r="DS36" i="13"/>
  <c r="FF36" i="13" s="1"/>
  <c r="DR36" i="13"/>
  <c r="FE36" i="13" s="1"/>
  <c r="DP36" i="13"/>
  <c r="FC36" i="13" s="1"/>
  <c r="DO36" i="13"/>
  <c r="FB36" i="13" s="1"/>
  <c r="DA36" i="13"/>
  <c r="EN36" i="13" s="1"/>
  <c r="CV36" i="13"/>
  <c r="EI36" i="13" s="1"/>
  <c r="CU36" i="13"/>
  <c r="EH36" i="13" s="1"/>
  <c r="CT36" i="13"/>
  <c r="EG36" i="13" s="1"/>
  <c r="CS36" i="13"/>
  <c r="CP36" i="13"/>
  <c r="EC36" i="13" s="1"/>
  <c r="CN36" i="13"/>
  <c r="EA36" i="13" s="1"/>
  <c r="DQ36" i="13"/>
  <c r="FD36" i="13" s="1"/>
  <c r="DI36" i="13"/>
  <c r="EV36" i="13" s="1"/>
  <c r="DE36" i="13"/>
  <c r="ER36" i="13" s="1"/>
  <c r="DD36" i="13"/>
  <c r="EQ36" i="13" s="1"/>
  <c r="CR36" i="13"/>
  <c r="EE36" i="13" s="1"/>
  <c r="CM36" i="13"/>
  <c r="DZ36" i="13" s="1"/>
  <c r="IF36" i="13"/>
  <c r="IB36" i="13"/>
  <c r="IA36" i="13"/>
  <c r="DM36" i="13"/>
  <c r="EZ36" i="13" s="1"/>
  <c r="DK36" i="13"/>
  <c r="EX36" i="13" s="1"/>
  <c r="HV36" i="13"/>
  <c r="HS36" i="13"/>
  <c r="DC36" i="13"/>
  <c r="EP36" i="13" s="1"/>
  <c r="DB36" i="13"/>
  <c r="EO36" i="13" s="1"/>
  <c r="CZ36" i="13"/>
  <c r="EM36" i="13" s="1"/>
  <c r="HC36" i="13"/>
  <c r="CO36" i="13"/>
  <c r="EB36" i="13" s="1"/>
  <c r="GZ36" i="13"/>
  <c r="IF35" i="13"/>
  <c r="HT35" i="13"/>
  <c r="HP35" i="13"/>
  <c r="HN35" i="13"/>
  <c r="HM35" i="13"/>
  <c r="HL35" i="13"/>
  <c r="HF35" i="13"/>
  <c r="HD35" i="13"/>
  <c r="ID35" i="13"/>
  <c r="IA35" i="13"/>
  <c r="GU35" i="13"/>
  <c r="GV35" i="13" s="1"/>
  <c r="HS35" i="13"/>
  <c r="HH35" i="13"/>
  <c r="HG35" i="13"/>
  <c r="DS35" i="13"/>
  <c r="FF35" i="13" s="1"/>
  <c r="DR35" i="13"/>
  <c r="FE35" i="13" s="1"/>
  <c r="DQ35" i="13"/>
  <c r="FD35" i="13" s="1"/>
  <c r="DP35" i="13"/>
  <c r="FC35" i="13" s="1"/>
  <c r="DN35" i="13"/>
  <c r="FA35" i="13" s="1"/>
  <c r="DD35" i="13"/>
  <c r="EQ35" i="13" s="1"/>
  <c r="DC35" i="13"/>
  <c r="EP35" i="13" s="1"/>
  <c r="DB35" i="13"/>
  <c r="EO35" i="13" s="1"/>
  <c r="CY35" i="13"/>
  <c r="EL35" i="13" s="1"/>
  <c r="CQ35" i="13"/>
  <c r="ED35" i="13" s="1"/>
  <c r="CP35" i="13"/>
  <c r="EC35" i="13" s="1"/>
  <c r="CZ35" i="13"/>
  <c r="EM35" i="13" s="1"/>
  <c r="BJ35" i="13"/>
  <c r="CV35" i="13"/>
  <c r="EI35" i="13" s="1"/>
  <c r="CU35" i="13"/>
  <c r="EH35" i="13" s="1"/>
  <c r="IC35" i="13"/>
  <c r="DG35" i="13"/>
  <c r="ET35" i="13" s="1"/>
  <c r="DF35" i="13"/>
  <c r="ES35" i="13" s="1"/>
  <c r="HO35" i="13"/>
  <c r="DA35" i="13"/>
  <c r="EN35" i="13" s="1"/>
  <c r="CS35" i="13"/>
  <c r="EF35" i="13" s="1"/>
  <c r="HE35" i="13"/>
  <c r="HC35" i="13"/>
  <c r="HV34" i="13"/>
  <c r="HU34" i="13"/>
  <c r="HT34" i="13"/>
  <c r="HS34" i="13"/>
  <c r="HL34" i="13"/>
  <c r="HK34" i="13"/>
  <c r="HI34" i="13"/>
  <c r="HH34" i="13"/>
  <c r="HB34" i="13"/>
  <c r="GY34" i="13"/>
  <c r="IG34" i="13"/>
  <c r="ID34" i="13"/>
  <c r="HQ34" i="13"/>
  <c r="DS34" i="13"/>
  <c r="FF34" i="13" s="1"/>
  <c r="DN34" i="13"/>
  <c r="FA34" i="13" s="1"/>
  <c r="DC34" i="13"/>
  <c r="EP34" i="13" s="1"/>
  <c r="CT34" i="13"/>
  <c r="EG34" i="13" s="1"/>
  <c r="CS34" i="13"/>
  <c r="EF34" i="13" s="1"/>
  <c r="CR34" i="13"/>
  <c r="EE34" i="13" s="1"/>
  <c r="CQ34" i="13"/>
  <c r="ED34" i="13" s="1"/>
  <c r="CO34" i="13"/>
  <c r="EB34" i="13" s="1"/>
  <c r="DQ34" i="13"/>
  <c r="FD34" i="13" s="1"/>
  <c r="DP34" i="13"/>
  <c r="FC34" i="13" s="1"/>
  <c r="DI34" i="13"/>
  <c r="EV34" i="13" s="1"/>
  <c r="DH34" i="13"/>
  <c r="EU34" i="13" s="1"/>
  <c r="DG34" i="13"/>
  <c r="ET34" i="13" s="1"/>
  <c r="DF34" i="13"/>
  <c r="ES34" i="13" s="1"/>
  <c r="CU34" i="13"/>
  <c r="EH34" i="13" s="1"/>
  <c r="CL34" i="13"/>
  <c r="DY34" i="13" s="1"/>
  <c r="IF34" i="13"/>
  <c r="DO34" i="13"/>
  <c r="FB34" i="13" s="1"/>
  <c r="IA34" i="13"/>
  <c r="HZ34" i="13"/>
  <c r="AJ34" i="13"/>
  <c r="HR34" i="13"/>
  <c r="DD34" i="13"/>
  <c r="EQ34" i="13" s="1"/>
  <c r="HP34" i="13"/>
  <c r="CY34" i="13"/>
  <c r="EL34" i="13" s="1"/>
  <c r="CV34" i="13"/>
  <c r="EI34" i="13" s="1"/>
  <c r="HC34" i="13"/>
  <c r="CM34" i="13"/>
  <c r="DZ34" i="13" s="1"/>
  <c r="IF33" i="13"/>
  <c r="IE33" i="13"/>
  <c r="ID33" i="13"/>
  <c r="HT33" i="13"/>
  <c r="HS33" i="13"/>
  <c r="HI33" i="13"/>
  <c r="HH33" i="13"/>
  <c r="GX33" i="13"/>
  <c r="GU33" i="13"/>
  <c r="GV33" i="13" s="1"/>
  <c r="IB33" i="13"/>
  <c r="GJ33" i="13"/>
  <c r="HF33" i="13"/>
  <c r="HE33" i="13"/>
  <c r="DR33" i="13"/>
  <c r="FE33" i="13" s="1"/>
  <c r="DQ33" i="13"/>
  <c r="FD33" i="13" s="1"/>
  <c r="DF33" i="13"/>
  <c r="ES33" i="13" s="1"/>
  <c r="DA33" i="13"/>
  <c r="EN33" i="13" s="1"/>
  <c r="CX33" i="13"/>
  <c r="CV33" i="13"/>
  <c r="EI33" i="13" s="1"/>
  <c r="CL33" i="13"/>
  <c r="DY33" i="13" s="1"/>
  <c r="DS33" i="13"/>
  <c r="FF33" i="13" s="1"/>
  <c r="DO33" i="13"/>
  <c r="FB33" i="13" s="1"/>
  <c r="DN33" i="13"/>
  <c r="FA33" i="13" s="1"/>
  <c r="DD33" i="13"/>
  <c r="EQ33" i="13" s="1"/>
  <c r="BW33" i="13"/>
  <c r="CU33" i="13"/>
  <c r="EH33" i="13" s="1"/>
  <c r="CS33" i="13"/>
  <c r="EF33" i="13" s="1"/>
  <c r="CR33" i="13"/>
  <c r="EE33" i="13" s="1"/>
  <c r="IA33" i="13"/>
  <c r="HZ33" i="13"/>
  <c r="DI33" i="13"/>
  <c r="EV33" i="13" s="1"/>
  <c r="HQ33" i="13"/>
  <c r="CY33" i="13"/>
  <c r="EL33" i="13" s="1"/>
  <c r="HK33" i="13"/>
  <c r="HB33" i="13"/>
  <c r="IG32" i="13"/>
  <c r="IF32" i="13"/>
  <c r="IE32" i="13"/>
  <c r="IB32" i="13"/>
  <c r="HR32" i="13"/>
  <c r="HP32" i="13"/>
  <c r="HO32" i="13"/>
  <c r="HL32" i="13"/>
  <c r="HF32" i="13"/>
  <c r="GX32" i="13"/>
  <c r="IC32" i="13"/>
  <c r="GU32" i="13"/>
  <c r="GV32" i="13" s="1"/>
  <c r="HN32" i="13"/>
  <c r="GJ32" i="13"/>
  <c r="HI32" i="13"/>
  <c r="HG32" i="13"/>
  <c r="HD32" i="13"/>
  <c r="DT32" i="13"/>
  <c r="FG32" i="13" s="1"/>
  <c r="DS32" i="13"/>
  <c r="FF32" i="13" s="1"/>
  <c r="DH32" i="13"/>
  <c r="EU32" i="13" s="1"/>
  <c r="DE32" i="13"/>
  <c r="ER32" i="13" s="1"/>
  <c r="DC32" i="13"/>
  <c r="EP32" i="13" s="1"/>
  <c r="DB32" i="13"/>
  <c r="EO32" i="13" s="1"/>
  <c r="CZ32" i="13"/>
  <c r="EM32" i="13" s="1"/>
  <c r="CX32" i="13"/>
  <c r="CS32" i="13"/>
  <c r="EF32" i="13" s="1"/>
  <c r="CQ32" i="13"/>
  <c r="ED32" i="13" s="1"/>
  <c r="CO32" i="13"/>
  <c r="EB32" i="13" s="1"/>
  <c r="CK32" i="13"/>
  <c r="DR32" i="13"/>
  <c r="FE32" i="13" s="1"/>
  <c r="DP32" i="13"/>
  <c r="FC32" i="13" s="1"/>
  <c r="DO32" i="13"/>
  <c r="FB32" i="13" s="1"/>
  <c r="DD32" i="13"/>
  <c r="EQ32" i="13" s="1"/>
  <c r="BW32" i="13"/>
  <c r="CV32" i="13"/>
  <c r="EI32" i="13" s="1"/>
  <c r="CT32" i="13"/>
  <c r="EG32" i="13" s="1"/>
  <c r="CP32" i="13"/>
  <c r="EC32" i="13" s="1"/>
  <c r="DN32" i="13"/>
  <c r="FA32" i="13" s="1"/>
  <c r="HU32" i="13"/>
  <c r="HQ32" i="13"/>
  <c r="DA32" i="13"/>
  <c r="EN32" i="13" s="1"/>
  <c r="HM32" i="13"/>
  <c r="CY32" i="13"/>
  <c r="EL32" i="13" s="1"/>
  <c r="HH32" i="13"/>
  <c r="HB32" i="13"/>
  <c r="GY32" i="13"/>
  <c r="HU31" i="13"/>
  <c r="HT31" i="13"/>
  <c r="HS31" i="13"/>
  <c r="HR31" i="13"/>
  <c r="HO31" i="13"/>
  <c r="HK31" i="13"/>
  <c r="HC31" i="13"/>
  <c r="IC31" i="13"/>
  <c r="HY31" i="13"/>
  <c r="GU31" i="13"/>
  <c r="GV31" i="13" s="1"/>
  <c r="HV31" i="13"/>
  <c r="GJ31" i="13"/>
  <c r="FW31" i="13"/>
  <c r="DS31" i="13"/>
  <c r="FF31" i="13" s="1"/>
  <c r="DP31" i="13"/>
  <c r="FC31" i="13" s="1"/>
  <c r="DL31" i="13"/>
  <c r="EY31" i="13" s="1"/>
  <c r="DB31" i="13"/>
  <c r="EO31" i="13" s="1"/>
  <c r="CZ31" i="13"/>
  <c r="EM31" i="13" s="1"/>
  <c r="CY31" i="13"/>
  <c r="EL31" i="13" s="1"/>
  <c r="CT31" i="13"/>
  <c r="EG31" i="13" s="1"/>
  <c r="CQ31" i="13"/>
  <c r="ED31" i="13" s="1"/>
  <c r="CP31" i="13"/>
  <c r="EC31" i="13" s="1"/>
  <c r="CO31" i="13"/>
  <c r="EB31" i="13" s="1"/>
  <c r="CN31" i="13"/>
  <c r="EA31" i="13" s="1"/>
  <c r="CM31" i="13"/>
  <c r="DZ31" i="13" s="1"/>
  <c r="CL31" i="13"/>
  <c r="DY31" i="13" s="1"/>
  <c r="DO31" i="13"/>
  <c r="FB31" i="13" s="1"/>
  <c r="CH31" i="13"/>
  <c r="CI31" i="13" s="1"/>
  <c r="DF31" i="13"/>
  <c r="ES31" i="13" s="1"/>
  <c r="DE31" i="13"/>
  <c r="ER31" i="13" s="1"/>
  <c r="IB31" i="13"/>
  <c r="DH31" i="13"/>
  <c r="EU31" i="13" s="1"/>
  <c r="DG31" i="13"/>
  <c r="ET31" i="13" s="1"/>
  <c r="HQ31" i="13"/>
  <c r="DA31" i="13"/>
  <c r="EN31" i="13" s="1"/>
  <c r="HM31" i="13"/>
  <c r="HL31" i="13"/>
  <c r="W31" i="13"/>
  <c r="CU31" i="13"/>
  <c r="EH31" i="13" s="1"/>
  <c r="HG31" i="13"/>
  <c r="GY31" i="13"/>
  <c r="GX31" i="13"/>
  <c r="IG30" i="13"/>
  <c r="IE30" i="13"/>
  <c r="IC30" i="13"/>
  <c r="HZ30" i="13"/>
  <c r="HY30" i="13"/>
  <c r="HX30" i="13"/>
  <c r="HU30" i="13"/>
  <c r="HT30" i="13"/>
  <c r="HQ30" i="13"/>
  <c r="HG30" i="13"/>
  <c r="HD30" i="13"/>
  <c r="HC30" i="13"/>
  <c r="HA30" i="13"/>
  <c r="GZ30" i="13"/>
  <c r="GY30" i="13"/>
  <c r="GX30" i="13"/>
  <c r="IB30" i="13"/>
  <c r="GU30" i="13"/>
  <c r="GV30" i="13" s="1"/>
  <c r="GJ30" i="13"/>
  <c r="HF30" i="13"/>
  <c r="DR30" i="13"/>
  <c r="FE30" i="13" s="1"/>
  <c r="DP30" i="13"/>
  <c r="FC30" i="13" s="1"/>
  <c r="DO30" i="13"/>
  <c r="FB30" i="13" s="1"/>
  <c r="DN30" i="13"/>
  <c r="FA30" i="13" s="1"/>
  <c r="DM30" i="13"/>
  <c r="EZ30" i="13" s="1"/>
  <c r="DL30" i="13"/>
  <c r="EY30" i="13" s="1"/>
  <c r="DK30" i="13"/>
  <c r="CU30" i="13"/>
  <c r="EH30" i="13" s="1"/>
  <c r="CT30" i="13"/>
  <c r="EG30" i="13" s="1"/>
  <c r="CS30" i="13"/>
  <c r="EF30" i="13" s="1"/>
  <c r="CQ30" i="13"/>
  <c r="ED30" i="13" s="1"/>
  <c r="CP30" i="13"/>
  <c r="EC30" i="13" s="1"/>
  <c r="CN30" i="13"/>
  <c r="EA30" i="13" s="1"/>
  <c r="CM30" i="13"/>
  <c r="DZ30" i="13" s="1"/>
  <c r="CL30" i="13"/>
  <c r="DY30" i="13" s="1"/>
  <c r="DF30" i="13"/>
  <c r="ES30" i="13" s="1"/>
  <c r="BW30" i="13"/>
  <c r="DT30" i="13"/>
  <c r="FG30" i="13" s="1"/>
  <c r="AU30" i="13"/>
  <c r="AV30" i="13" s="1"/>
  <c r="DG30" i="13"/>
  <c r="ET30" i="13" s="1"/>
  <c r="HO30" i="13"/>
  <c r="HM30" i="13"/>
  <c r="HL30" i="13"/>
  <c r="CV30" i="13"/>
  <c r="EI30" i="13" s="1"/>
  <c r="HH30" i="13"/>
  <c r="ID29" i="13"/>
  <c r="IA29" i="13"/>
  <c r="HV29" i="13"/>
  <c r="HU29" i="13"/>
  <c r="HR29" i="13"/>
  <c r="HP29" i="13"/>
  <c r="HO29" i="13"/>
  <c r="HM29" i="13"/>
  <c r="HE29" i="13"/>
  <c r="GY29" i="13"/>
  <c r="GX29" i="13"/>
  <c r="IG29" i="13"/>
  <c r="IC29" i="13"/>
  <c r="IB29" i="13"/>
  <c r="HN29" i="13"/>
  <c r="HK29" i="13"/>
  <c r="HH29" i="13"/>
  <c r="HG29" i="13"/>
  <c r="HB29" i="13"/>
  <c r="DT29" i="13"/>
  <c r="FG29" i="13" s="1"/>
  <c r="DO29" i="13"/>
  <c r="FB29" i="13" s="1"/>
  <c r="DK29" i="13"/>
  <c r="EX29" i="13" s="1"/>
  <c r="DI29" i="13"/>
  <c r="EV29" i="13" s="1"/>
  <c r="DH29" i="13"/>
  <c r="EU29" i="13" s="1"/>
  <c r="DE29" i="13"/>
  <c r="ER29" i="13" s="1"/>
  <c r="DC29" i="13"/>
  <c r="EP29" i="13" s="1"/>
  <c r="CX29" i="13"/>
  <c r="CS29" i="13"/>
  <c r="EF29" i="13" s="1"/>
  <c r="CR29" i="13"/>
  <c r="EE29" i="13" s="1"/>
  <c r="CM29" i="13"/>
  <c r="DZ29" i="13" s="1"/>
  <c r="CL29" i="13"/>
  <c r="DY29" i="13" s="1"/>
  <c r="DQ29" i="13"/>
  <c r="FD29" i="13" s="1"/>
  <c r="DB29" i="13"/>
  <c r="EO29" i="13" s="1"/>
  <c r="BW29" i="13"/>
  <c r="BJ29" i="13"/>
  <c r="CU29" i="13"/>
  <c r="EH29" i="13" s="1"/>
  <c r="CT29" i="13"/>
  <c r="EG29" i="13" s="1"/>
  <c r="IF29" i="13"/>
  <c r="IE29" i="13"/>
  <c r="AJ29" i="13"/>
  <c r="DA29" i="13"/>
  <c r="EN29" i="13" s="1"/>
  <c r="CZ29" i="13"/>
  <c r="EM29" i="13" s="1"/>
  <c r="HI29" i="13"/>
  <c r="HF29" i="13"/>
  <c r="CO29" i="13"/>
  <c r="EB29" i="13" s="1"/>
  <c r="GZ29" i="13"/>
  <c r="HU28" i="13"/>
  <c r="HT28" i="13"/>
  <c r="HS28" i="13"/>
  <c r="HR28" i="13"/>
  <c r="HP28" i="13"/>
  <c r="HO28" i="13"/>
  <c r="HM28" i="13"/>
  <c r="HL28" i="13"/>
  <c r="HA28" i="13"/>
  <c r="GY28" i="13"/>
  <c r="GX28" i="13"/>
  <c r="IE28" i="13"/>
  <c r="HQ28" i="13"/>
  <c r="HN28" i="13"/>
  <c r="GJ28" i="13"/>
  <c r="HI28" i="13"/>
  <c r="FW28" i="13"/>
  <c r="EO28" i="13"/>
  <c r="DN28" i="13"/>
  <c r="FA28" i="13" s="1"/>
  <c r="DL28" i="13"/>
  <c r="EY28" i="13" s="1"/>
  <c r="DK28" i="13"/>
  <c r="DI28" i="13"/>
  <c r="EV28" i="13" s="1"/>
  <c r="DG28" i="13"/>
  <c r="ET28" i="13" s="1"/>
  <c r="CV28" i="13"/>
  <c r="EI28" i="13" s="1"/>
  <c r="CN28" i="13"/>
  <c r="EA28" i="13" s="1"/>
  <c r="CM28" i="13"/>
  <c r="DZ28" i="13" s="1"/>
  <c r="CK28" i="13"/>
  <c r="DT28" i="13"/>
  <c r="FG28" i="13" s="1"/>
  <c r="DE28" i="13"/>
  <c r="ER28" i="13" s="1"/>
  <c r="DD28" i="13"/>
  <c r="EQ28" i="13" s="1"/>
  <c r="DC28" i="13"/>
  <c r="EP28" i="13" s="1"/>
  <c r="DA28" i="13"/>
  <c r="EN28" i="13" s="1"/>
  <c r="IG28" i="13"/>
  <c r="ID28" i="13"/>
  <c r="HV28" i="13"/>
  <c r="DF28" i="13"/>
  <c r="ES28" i="13" s="1"/>
  <c r="DB28" i="13"/>
  <c r="CZ28" i="13"/>
  <c r="EM28" i="13" s="1"/>
  <c r="CY28" i="13"/>
  <c r="EL28" i="13" s="1"/>
  <c r="HK28" i="13"/>
  <c r="HH28" i="13"/>
  <c r="GZ28" i="13"/>
  <c r="IB27" i="13"/>
  <c r="IA27" i="13"/>
  <c r="HY27" i="13"/>
  <c r="HX27" i="13"/>
  <c r="HT27" i="13"/>
  <c r="HS27" i="13"/>
  <c r="HR27" i="13"/>
  <c r="HQ27" i="13"/>
  <c r="HN27" i="13"/>
  <c r="HC27" i="13"/>
  <c r="HB27" i="13"/>
  <c r="HA27" i="13"/>
  <c r="GZ27" i="13"/>
  <c r="ID27" i="13"/>
  <c r="IC27" i="13"/>
  <c r="HP27" i="13"/>
  <c r="GJ27" i="13"/>
  <c r="HH27" i="13"/>
  <c r="HG27" i="13"/>
  <c r="DT27" i="13"/>
  <c r="FG27" i="13" s="1"/>
  <c r="DS27" i="13"/>
  <c r="FF27" i="13" s="1"/>
  <c r="DR27" i="13"/>
  <c r="FE27" i="13" s="1"/>
  <c r="DQ27" i="13"/>
  <c r="FD27" i="13" s="1"/>
  <c r="DP27" i="13"/>
  <c r="FC27" i="13" s="1"/>
  <c r="DO27" i="13"/>
  <c r="FB27" i="13" s="1"/>
  <c r="CU27" i="13"/>
  <c r="EH27" i="13" s="1"/>
  <c r="CT27" i="13"/>
  <c r="EG27" i="13" s="1"/>
  <c r="CS27" i="13"/>
  <c r="EF27" i="13" s="1"/>
  <c r="CR27" i="13"/>
  <c r="EE27" i="13" s="1"/>
  <c r="CQ27" i="13"/>
  <c r="ED27" i="13" s="1"/>
  <c r="CP27" i="13"/>
  <c r="EC27" i="13" s="1"/>
  <c r="CO27" i="13"/>
  <c r="EB27" i="13" s="1"/>
  <c r="DM27" i="13"/>
  <c r="EZ27" i="13" s="1"/>
  <c r="DL27" i="13"/>
  <c r="EY27" i="13" s="1"/>
  <c r="DK27" i="13"/>
  <c r="CN27" i="13"/>
  <c r="EA27" i="13" s="1"/>
  <c r="IG27" i="13"/>
  <c r="IF27" i="13"/>
  <c r="IE27" i="13"/>
  <c r="DN27" i="13"/>
  <c r="FA27" i="13" s="1"/>
  <c r="DG27" i="13"/>
  <c r="ET27" i="13" s="1"/>
  <c r="DE27" i="13"/>
  <c r="ER27" i="13" s="1"/>
  <c r="DC27" i="13"/>
  <c r="EP27" i="13" s="1"/>
  <c r="DA27" i="13"/>
  <c r="EN27" i="13" s="1"/>
  <c r="HF27" i="13"/>
  <c r="HE27" i="13"/>
  <c r="CM27" i="13"/>
  <c r="DZ27" i="13" s="1"/>
  <c r="CK27" i="13"/>
  <c r="IG26" i="13"/>
  <c r="IF26" i="13"/>
  <c r="IE26" i="13"/>
  <c r="ID26" i="13"/>
  <c r="IC26" i="13"/>
  <c r="IB26" i="13"/>
  <c r="IA26" i="13"/>
  <c r="HZ26" i="13"/>
  <c r="HL26" i="13"/>
  <c r="HI26" i="13"/>
  <c r="HH26" i="13"/>
  <c r="HG26" i="13"/>
  <c r="HF26" i="13"/>
  <c r="HE26" i="13"/>
  <c r="HA26" i="13"/>
  <c r="GU26" i="13"/>
  <c r="GV26" i="13" s="1"/>
  <c r="HP26" i="13"/>
  <c r="DM26" i="13"/>
  <c r="EZ26" i="13" s="1"/>
  <c r="DG26" i="13"/>
  <c r="ET26" i="13" s="1"/>
  <c r="DC26" i="13"/>
  <c r="EP26" i="13" s="1"/>
  <c r="DB26" i="13"/>
  <c r="EO26" i="13" s="1"/>
  <c r="DA26" i="13"/>
  <c r="EN26" i="13" s="1"/>
  <c r="CY26" i="13"/>
  <c r="EL26" i="13" s="1"/>
  <c r="CX26" i="13"/>
  <c r="EK26" i="13" s="1"/>
  <c r="DS26" i="13"/>
  <c r="FF26" i="13" s="1"/>
  <c r="BW26" i="13"/>
  <c r="CZ26" i="13"/>
  <c r="CT26" i="13"/>
  <c r="EG26" i="13" s="1"/>
  <c r="CR26" i="13"/>
  <c r="EE26" i="13" s="1"/>
  <c r="DT26" i="13"/>
  <c r="FG26" i="13" s="1"/>
  <c r="DR26" i="13"/>
  <c r="FE26" i="13" s="1"/>
  <c r="DP26" i="13"/>
  <c r="FC26" i="13" s="1"/>
  <c r="DO26" i="13"/>
  <c r="FB26" i="13" s="1"/>
  <c r="HR26" i="13"/>
  <c r="HO26" i="13"/>
  <c r="HN26" i="13"/>
  <c r="HK26" i="13"/>
  <c r="CU26" i="13"/>
  <c r="EH26" i="13" s="1"/>
  <c r="CN26" i="13"/>
  <c r="EA26" i="13" s="1"/>
  <c r="IF25" i="13"/>
  <c r="IE25" i="13"/>
  <c r="HU25" i="13"/>
  <c r="HQ25" i="13"/>
  <c r="HP25" i="13"/>
  <c r="HM25" i="13"/>
  <c r="HL25" i="13"/>
  <c r="GZ25" i="13"/>
  <c r="GY25" i="13"/>
  <c r="HV25" i="13"/>
  <c r="HS25" i="13"/>
  <c r="HR25" i="13"/>
  <c r="HC25" i="13"/>
  <c r="DQ25" i="13"/>
  <c r="FD25" i="13" s="1"/>
  <c r="DL25" i="13"/>
  <c r="EY25" i="13" s="1"/>
  <c r="DI25" i="13"/>
  <c r="EV25" i="13" s="1"/>
  <c r="DH25" i="13"/>
  <c r="EU25" i="13" s="1"/>
  <c r="DF25" i="13"/>
  <c r="ES25" i="13" s="1"/>
  <c r="DE25" i="13"/>
  <c r="ER25" i="13" s="1"/>
  <c r="CP25" i="13"/>
  <c r="EC25" i="13" s="1"/>
  <c r="CM25" i="13"/>
  <c r="DZ25" i="13" s="1"/>
  <c r="CL25" i="13"/>
  <c r="DY25" i="13" s="1"/>
  <c r="CK25" i="13"/>
  <c r="CH25" i="13"/>
  <c r="CI25" i="13" s="1"/>
  <c r="DP25" i="13"/>
  <c r="FC25" i="13" s="1"/>
  <c r="DG25" i="13"/>
  <c r="ET25" i="13" s="1"/>
  <c r="DD25" i="13"/>
  <c r="EQ25" i="13" s="1"/>
  <c r="DC25" i="13"/>
  <c r="EP25" i="13" s="1"/>
  <c r="BJ25" i="13"/>
  <c r="DR25" i="13"/>
  <c r="FE25" i="13" s="1"/>
  <c r="ID25" i="13"/>
  <c r="DK25" i="13"/>
  <c r="AJ25" i="13"/>
  <c r="HO25" i="13"/>
  <c r="CZ25" i="13"/>
  <c r="EM25" i="13" s="1"/>
  <c r="CO25" i="13"/>
  <c r="EB25" i="13" s="1"/>
  <c r="ID24" i="13"/>
  <c r="IB24" i="13"/>
  <c r="IA24" i="13"/>
  <c r="HZ24" i="13"/>
  <c r="HY24" i="13"/>
  <c r="HH24" i="13"/>
  <c r="HE24" i="13"/>
  <c r="HD24" i="13"/>
  <c r="HB24" i="13"/>
  <c r="GZ24" i="13"/>
  <c r="GY24" i="13"/>
  <c r="IE24" i="13"/>
  <c r="HL24" i="13"/>
  <c r="DT24" i="13"/>
  <c r="FG24" i="13" s="1"/>
  <c r="DS24" i="13"/>
  <c r="FF24" i="13" s="1"/>
  <c r="DH24" i="13"/>
  <c r="EU24" i="13" s="1"/>
  <c r="DD24" i="13"/>
  <c r="EQ24" i="13" s="1"/>
  <c r="CY24" i="13"/>
  <c r="EL24" i="13" s="1"/>
  <c r="CX24" i="13"/>
  <c r="EK24" i="13" s="1"/>
  <c r="CV24" i="13"/>
  <c r="EI24" i="13" s="1"/>
  <c r="DQ24" i="13"/>
  <c r="FD24" i="13" s="1"/>
  <c r="DP24" i="13"/>
  <c r="FC24" i="13" s="1"/>
  <c r="DO24" i="13"/>
  <c r="FB24" i="13" s="1"/>
  <c r="CH24" i="13"/>
  <c r="CI24" i="13" s="1"/>
  <c r="BW24" i="13"/>
  <c r="CZ24" i="13"/>
  <c r="EM24" i="13" s="1"/>
  <c r="CU24" i="13"/>
  <c r="EH24" i="13" s="1"/>
  <c r="CT24" i="13"/>
  <c r="EG24" i="13" s="1"/>
  <c r="CP24" i="13"/>
  <c r="EC24" i="13" s="1"/>
  <c r="IG24" i="13"/>
  <c r="IF24" i="13"/>
  <c r="DN24" i="13"/>
  <c r="FA24" i="13" s="1"/>
  <c r="HU24" i="13"/>
  <c r="DB24" i="13"/>
  <c r="EO24" i="13" s="1"/>
  <c r="HN24" i="13"/>
  <c r="HM24" i="13"/>
  <c r="HK24" i="13"/>
  <c r="HI24" i="13"/>
  <c r="CR24" i="13"/>
  <c r="EE24" i="13" s="1"/>
  <c r="HC24" i="13"/>
  <c r="HA24" i="13"/>
  <c r="CM24" i="13"/>
  <c r="DZ24" i="13" s="1"/>
  <c r="IG23" i="13"/>
  <c r="IF23" i="13"/>
  <c r="HQ23" i="13"/>
  <c r="HP23" i="13"/>
  <c r="HO23" i="13"/>
  <c r="HN23" i="13"/>
  <c r="HM23" i="13"/>
  <c r="HA23" i="13"/>
  <c r="IE23" i="13"/>
  <c r="ID23" i="13"/>
  <c r="GU23" i="13"/>
  <c r="GV23" i="13" s="1"/>
  <c r="HU23" i="13"/>
  <c r="HI23" i="13"/>
  <c r="HH23" i="13"/>
  <c r="GY23" i="13"/>
  <c r="DS23" i="13"/>
  <c r="FF23" i="13" s="1"/>
  <c r="DR23" i="13"/>
  <c r="FE23" i="13" s="1"/>
  <c r="DQ23" i="13"/>
  <c r="FD23" i="13" s="1"/>
  <c r="DO23" i="13"/>
  <c r="FB23" i="13" s="1"/>
  <c r="DL23" i="13"/>
  <c r="EY23" i="13" s="1"/>
  <c r="DK23" i="13"/>
  <c r="DE23" i="13"/>
  <c r="ER23" i="13" s="1"/>
  <c r="DD23" i="13"/>
  <c r="EQ23" i="13" s="1"/>
  <c r="DC23" i="13"/>
  <c r="EP23" i="13" s="1"/>
  <c r="DB23" i="13"/>
  <c r="EO23" i="13" s="1"/>
  <c r="DA23" i="13"/>
  <c r="EN23" i="13" s="1"/>
  <c r="CU23" i="13"/>
  <c r="EH23" i="13" s="1"/>
  <c r="CS23" i="13"/>
  <c r="EF23" i="13" s="1"/>
  <c r="CR23" i="13"/>
  <c r="EE23" i="13" s="1"/>
  <c r="CO23" i="13"/>
  <c r="EB23" i="13" s="1"/>
  <c r="CH23" i="13"/>
  <c r="CI23" i="13" s="1"/>
  <c r="DH23" i="13"/>
  <c r="EU23" i="13" s="1"/>
  <c r="CZ23" i="13"/>
  <c r="EM23" i="13" s="1"/>
  <c r="CV23" i="13"/>
  <c r="EI23" i="13" s="1"/>
  <c r="BJ23" i="13"/>
  <c r="CL23" i="13"/>
  <c r="DY23" i="13" s="1"/>
  <c r="DT23" i="13"/>
  <c r="FG23" i="13" s="1"/>
  <c r="IC23" i="13"/>
  <c r="IB23" i="13"/>
  <c r="HR23" i="13"/>
  <c r="HG23" i="13"/>
  <c r="HF23" i="13"/>
  <c r="HE23" i="13"/>
  <c r="CN23" i="13"/>
  <c r="EA23" i="13" s="1"/>
  <c r="HU22" i="13"/>
  <c r="HT22" i="13"/>
  <c r="HS22" i="13"/>
  <c r="HR22" i="13"/>
  <c r="HL22" i="13"/>
  <c r="HV22" i="13"/>
  <c r="HQ22" i="13"/>
  <c r="GZ22" i="13"/>
  <c r="GY22" i="13"/>
  <c r="DQ22" i="13"/>
  <c r="FD22" i="13" s="1"/>
  <c r="DN22" i="13"/>
  <c r="FA22" i="13" s="1"/>
  <c r="DM22" i="13"/>
  <c r="EZ22" i="13" s="1"/>
  <c r="DI22" i="13"/>
  <c r="EV22" i="13" s="1"/>
  <c r="DE22" i="13"/>
  <c r="ER22" i="13" s="1"/>
  <c r="DD22" i="13"/>
  <c r="EQ22" i="13" s="1"/>
  <c r="CQ22" i="13"/>
  <c r="ED22" i="13" s="1"/>
  <c r="CM22" i="13"/>
  <c r="DZ22" i="13" s="1"/>
  <c r="CK22" i="13"/>
  <c r="DS22" i="13"/>
  <c r="FF22" i="13" s="1"/>
  <c r="CH22" i="13"/>
  <c r="CI22" i="13" s="1"/>
  <c r="DH22" i="13"/>
  <c r="EU22" i="13" s="1"/>
  <c r="DG22" i="13"/>
  <c r="ET22" i="13" s="1"/>
  <c r="DF22" i="13"/>
  <c r="ES22" i="13" s="1"/>
  <c r="DC22" i="13"/>
  <c r="EP22" i="13" s="1"/>
  <c r="CL22" i="13"/>
  <c r="DY22" i="13" s="1"/>
  <c r="IF22" i="13"/>
  <c r="IE22" i="13"/>
  <c r="ID22" i="13"/>
  <c r="IA22" i="13"/>
  <c r="HY22" i="13"/>
  <c r="HX22" i="13"/>
  <c r="DB22" i="13"/>
  <c r="EO22" i="13" s="1"/>
  <c r="HN22" i="13"/>
  <c r="HM22" i="13"/>
  <c r="CV22" i="13"/>
  <c r="EI22" i="13" s="1"/>
  <c r="HH22" i="13"/>
  <c r="CS22" i="13"/>
  <c r="EF22" i="13" s="1"/>
  <c r="CR22" i="13"/>
  <c r="EE22" i="13" s="1"/>
  <c r="HB22" i="13"/>
  <c r="HA22" i="13"/>
  <c r="GX22" i="13"/>
  <c r="IB21" i="13"/>
  <c r="IA21" i="13"/>
  <c r="HZ21" i="13"/>
  <c r="HY21" i="13"/>
  <c r="HV21" i="13"/>
  <c r="HU21" i="13"/>
  <c r="HO21" i="13"/>
  <c r="HE21" i="13"/>
  <c r="HD21" i="13"/>
  <c r="HC21" i="13"/>
  <c r="GZ21" i="13"/>
  <c r="IE21" i="13"/>
  <c r="ID21" i="13"/>
  <c r="IC21" i="13"/>
  <c r="HI21" i="13"/>
  <c r="HH21" i="13"/>
  <c r="DT21" i="13"/>
  <c r="FG21" i="13" s="1"/>
  <c r="DS21" i="13"/>
  <c r="FF21" i="13" s="1"/>
  <c r="DR21" i="13"/>
  <c r="FE21" i="13" s="1"/>
  <c r="DF21" i="13"/>
  <c r="ES21" i="13" s="1"/>
  <c r="CZ21" i="13"/>
  <c r="EM21" i="13" s="1"/>
  <c r="CY21" i="13"/>
  <c r="EL21" i="13" s="1"/>
  <c r="CV21" i="13"/>
  <c r="EI21" i="13" s="1"/>
  <c r="CU21" i="13"/>
  <c r="EH21" i="13" s="1"/>
  <c r="CT21" i="13"/>
  <c r="EG21" i="13" s="1"/>
  <c r="CS21" i="13"/>
  <c r="EF21" i="13" s="1"/>
  <c r="CR21" i="13"/>
  <c r="EE21" i="13" s="1"/>
  <c r="CP21" i="13"/>
  <c r="EC21" i="13" s="1"/>
  <c r="DQ21" i="13"/>
  <c r="FD21" i="13" s="1"/>
  <c r="DP21" i="13"/>
  <c r="FC21" i="13" s="1"/>
  <c r="DO21" i="13"/>
  <c r="FB21" i="13" s="1"/>
  <c r="DN21" i="13"/>
  <c r="FA21" i="13" s="1"/>
  <c r="DM21" i="13"/>
  <c r="EZ21" i="13" s="1"/>
  <c r="DL21" i="13"/>
  <c r="EY21" i="13" s="1"/>
  <c r="BW21" i="13"/>
  <c r="CQ21" i="13"/>
  <c r="ED21" i="13" s="1"/>
  <c r="IG21" i="13"/>
  <c r="IF21" i="13"/>
  <c r="DG21" i="13"/>
  <c r="ET21" i="13" s="1"/>
  <c r="DE21" i="13"/>
  <c r="ER21" i="13" s="1"/>
  <c r="HQ21" i="13"/>
  <c r="DB21" i="13"/>
  <c r="EO21" i="13" s="1"/>
  <c r="DA21" i="13"/>
  <c r="EN21" i="13" s="1"/>
  <c r="HM21" i="13"/>
  <c r="HL21" i="13"/>
  <c r="HK21" i="13"/>
  <c r="HG21" i="13"/>
  <c r="HF21" i="13"/>
  <c r="HB21" i="13"/>
  <c r="CL21" i="13"/>
  <c r="DY21" i="13" s="1"/>
  <c r="CK21" i="13"/>
  <c r="IE20" i="13"/>
  <c r="ID20" i="13"/>
  <c r="HO20" i="13"/>
  <c r="HN20" i="13"/>
  <c r="HM20" i="13"/>
  <c r="HK20" i="13"/>
  <c r="HI20" i="13"/>
  <c r="HH20" i="13"/>
  <c r="HE20" i="13"/>
  <c r="GU20" i="13"/>
  <c r="GV20" i="13" s="1"/>
  <c r="HQ20" i="13"/>
  <c r="HP20" i="13"/>
  <c r="HL20" i="13"/>
  <c r="DS20" i="13"/>
  <c r="FF20" i="13" s="1"/>
  <c r="DQ20" i="13"/>
  <c r="FD20" i="13" s="1"/>
  <c r="DN20" i="13"/>
  <c r="FA20" i="13" s="1"/>
  <c r="DM20" i="13"/>
  <c r="EZ20" i="13" s="1"/>
  <c r="DH20" i="13"/>
  <c r="EU20" i="13" s="1"/>
  <c r="DG20" i="13"/>
  <c r="ET20" i="13" s="1"/>
  <c r="DE20" i="13"/>
  <c r="ER20" i="13" s="1"/>
  <c r="DD20" i="13"/>
  <c r="EQ20" i="13" s="1"/>
  <c r="DC20" i="13"/>
  <c r="EP20" i="13" s="1"/>
  <c r="DB20" i="13"/>
  <c r="EO20" i="13" s="1"/>
  <c r="CZ20" i="13"/>
  <c r="EM20" i="13" s="1"/>
  <c r="CL20" i="13"/>
  <c r="DY20" i="13" s="1"/>
  <c r="CK20" i="13"/>
  <c r="DR20" i="13"/>
  <c r="FE20" i="13" s="1"/>
  <c r="CH20" i="13"/>
  <c r="CI20" i="13" s="1"/>
  <c r="DA20" i="13"/>
  <c r="EN20" i="13" s="1"/>
  <c r="CY20" i="13"/>
  <c r="EL20" i="13" s="1"/>
  <c r="BJ20" i="13"/>
  <c r="CR20" i="13"/>
  <c r="EE20" i="13" s="1"/>
  <c r="IF20" i="13"/>
  <c r="DP20" i="13"/>
  <c r="FC20" i="13" s="1"/>
  <c r="IA20" i="13"/>
  <c r="HX20" i="13"/>
  <c r="HV20" i="13"/>
  <c r="HT20" i="13"/>
  <c r="HS20" i="13"/>
  <c r="CX20" i="13"/>
  <c r="EK20" i="13" s="1"/>
  <c r="CT20" i="13"/>
  <c r="EG20" i="13" s="1"/>
  <c r="CQ20" i="13"/>
  <c r="ED20" i="13" s="1"/>
  <c r="CO20" i="13"/>
  <c r="EB20" i="13" s="1"/>
  <c r="HA20" i="13"/>
  <c r="GZ20" i="13"/>
  <c r="HY19" i="13"/>
  <c r="HU19" i="13"/>
  <c r="HP19" i="13"/>
  <c r="HO19" i="13"/>
  <c r="HF19" i="13"/>
  <c r="GU19" i="13"/>
  <c r="HZ19" i="13"/>
  <c r="HV19" i="13"/>
  <c r="HE19" i="13"/>
  <c r="HD19" i="13"/>
  <c r="GY19" i="13"/>
  <c r="DO19" i="13"/>
  <c r="FB19" i="13" s="1"/>
  <c r="DN19" i="13"/>
  <c r="FA19" i="13" s="1"/>
  <c r="DM19" i="13"/>
  <c r="EZ19" i="13" s="1"/>
  <c r="DL19" i="13"/>
  <c r="EY19" i="13" s="1"/>
  <c r="DF19" i="13"/>
  <c r="ES19" i="13" s="1"/>
  <c r="DE19" i="13"/>
  <c r="ER19" i="13" s="1"/>
  <c r="DB19" i="13"/>
  <c r="EO19" i="13" s="1"/>
  <c r="CV19" i="13"/>
  <c r="EI19" i="13" s="1"/>
  <c r="CS19" i="13"/>
  <c r="EF19" i="13" s="1"/>
  <c r="CR19" i="13"/>
  <c r="EE19" i="13" s="1"/>
  <c r="CM19" i="13"/>
  <c r="DZ19" i="13" s="1"/>
  <c r="DQ19" i="13"/>
  <c r="FD19" i="13" s="1"/>
  <c r="DP19" i="13"/>
  <c r="FC19" i="13" s="1"/>
  <c r="DI19" i="13"/>
  <c r="EV19" i="13" s="1"/>
  <c r="DH19" i="13"/>
  <c r="EU19" i="13" s="1"/>
  <c r="DD19" i="13"/>
  <c r="EQ19" i="13" s="1"/>
  <c r="CU19" i="13"/>
  <c r="EH19" i="13" s="1"/>
  <c r="CT19" i="13"/>
  <c r="EG19" i="13" s="1"/>
  <c r="CQ19" i="13"/>
  <c r="ED19" i="13" s="1"/>
  <c r="CL19" i="13"/>
  <c r="DY19" i="13" s="1"/>
  <c r="BJ19" i="13"/>
  <c r="DT19" i="13"/>
  <c r="FG19" i="13" s="1"/>
  <c r="DS19" i="13"/>
  <c r="FF19" i="13" s="1"/>
  <c r="DR19" i="13"/>
  <c r="FE19" i="13" s="1"/>
  <c r="IB19" i="13"/>
  <c r="IA19" i="13"/>
  <c r="DK19" i="13"/>
  <c r="DG19" i="13"/>
  <c r="ET19" i="13" s="1"/>
  <c r="HS19" i="13"/>
  <c r="HR19" i="13"/>
  <c r="HQ19" i="13"/>
  <c r="HM19" i="13"/>
  <c r="CX19" i="13"/>
  <c r="HI19" i="13"/>
  <c r="HC19" i="13"/>
  <c r="HB19" i="13"/>
  <c r="HA19" i="13"/>
  <c r="IA18" i="13"/>
  <c r="HM18" i="13"/>
  <c r="HH18" i="13"/>
  <c r="HG18" i="13"/>
  <c r="HA18" i="13"/>
  <c r="ID18" i="13"/>
  <c r="HS18" i="13"/>
  <c r="HR18" i="13"/>
  <c r="GJ18" i="13"/>
  <c r="HF18" i="13"/>
  <c r="HE18" i="13"/>
  <c r="FW18" i="13"/>
  <c r="DT18" i="13"/>
  <c r="FG18" i="13" s="1"/>
  <c r="DO18" i="13"/>
  <c r="FB18" i="13" s="1"/>
  <c r="DN18" i="13"/>
  <c r="FA18" i="13" s="1"/>
  <c r="DM18" i="13"/>
  <c r="EZ18" i="13" s="1"/>
  <c r="DI18" i="13"/>
  <c r="EV18" i="13" s="1"/>
  <c r="DF18" i="13"/>
  <c r="ES18" i="13" s="1"/>
  <c r="CU18" i="13"/>
  <c r="EH18" i="13" s="1"/>
  <c r="CT18" i="13"/>
  <c r="EG18" i="13" s="1"/>
  <c r="CS18" i="13"/>
  <c r="EF18" i="13" s="1"/>
  <c r="CR18" i="13"/>
  <c r="EE18" i="13" s="1"/>
  <c r="CQ18" i="13"/>
  <c r="ED18" i="13" s="1"/>
  <c r="CO18" i="13"/>
  <c r="EB18" i="13" s="1"/>
  <c r="CM18" i="13"/>
  <c r="DZ18" i="13" s="1"/>
  <c r="DQ18" i="13"/>
  <c r="FD18" i="13" s="1"/>
  <c r="DE18" i="13"/>
  <c r="ER18" i="13" s="1"/>
  <c r="DD18" i="13"/>
  <c r="EQ18" i="13" s="1"/>
  <c r="BW18" i="13"/>
  <c r="CZ18" i="13"/>
  <c r="EM18" i="13" s="1"/>
  <c r="BJ18" i="13"/>
  <c r="CN18" i="13"/>
  <c r="EA18" i="13" s="1"/>
  <c r="IG18" i="13"/>
  <c r="DR18" i="13"/>
  <c r="FE18" i="13" s="1"/>
  <c r="IC18" i="13"/>
  <c r="IB18" i="13"/>
  <c r="HZ18" i="13"/>
  <c r="DK18" i="13"/>
  <c r="HP18" i="13"/>
  <c r="DB18" i="13"/>
  <c r="EO18" i="13" s="1"/>
  <c r="DA18" i="13"/>
  <c r="EN18" i="13" s="1"/>
  <c r="CY18" i="13"/>
  <c r="EL18" i="13" s="1"/>
  <c r="CX18" i="13"/>
  <c r="HD18" i="13"/>
  <c r="HB18" i="13"/>
  <c r="IA17" i="13"/>
  <c r="HZ17" i="13"/>
  <c r="HX17" i="13"/>
  <c r="HV17" i="13"/>
  <c r="HP17" i="13"/>
  <c r="HB17" i="13"/>
  <c r="HA17" i="13"/>
  <c r="GZ17" i="13"/>
  <c r="GU17" i="13"/>
  <c r="GV17" i="13" s="1"/>
  <c r="HU17" i="13"/>
  <c r="HT17" i="13"/>
  <c r="HR17" i="13"/>
  <c r="HQ17" i="13"/>
  <c r="HO17" i="13"/>
  <c r="HN17" i="13"/>
  <c r="GJ17" i="13"/>
  <c r="GY17" i="13"/>
  <c r="GX17" i="13"/>
  <c r="DN17" i="13"/>
  <c r="FA17" i="13" s="1"/>
  <c r="DM17" i="13"/>
  <c r="EZ17" i="13" s="1"/>
  <c r="DL17" i="13"/>
  <c r="EY17" i="13" s="1"/>
  <c r="DK17" i="13"/>
  <c r="EX17" i="13" s="1"/>
  <c r="DI17" i="13"/>
  <c r="EV17" i="13" s="1"/>
  <c r="DG17" i="13"/>
  <c r="ET17" i="13" s="1"/>
  <c r="DD17" i="13"/>
  <c r="EQ17" i="13" s="1"/>
  <c r="CQ17" i="13"/>
  <c r="ED17" i="13" s="1"/>
  <c r="CP17" i="13"/>
  <c r="EC17" i="13" s="1"/>
  <c r="CO17" i="13"/>
  <c r="EB17" i="13" s="1"/>
  <c r="CN17" i="13"/>
  <c r="EA17" i="13" s="1"/>
  <c r="CM17" i="13"/>
  <c r="DZ17" i="13" s="1"/>
  <c r="CL17" i="13"/>
  <c r="DY17" i="13" s="1"/>
  <c r="CK17" i="13"/>
  <c r="DX17" i="13" s="1"/>
  <c r="CH17" i="13"/>
  <c r="CI17" i="13" s="1"/>
  <c r="DE17" i="13"/>
  <c r="ER17" i="13" s="1"/>
  <c r="DC17" i="13"/>
  <c r="EP17" i="13" s="1"/>
  <c r="DB17" i="13"/>
  <c r="EO17" i="13" s="1"/>
  <c r="DA17" i="13"/>
  <c r="EN17" i="13" s="1"/>
  <c r="BJ17" i="13"/>
  <c r="DS17" i="13"/>
  <c r="FF17" i="13" s="1"/>
  <c r="DR17" i="13"/>
  <c r="FE17" i="13" s="1"/>
  <c r="AU17" i="13"/>
  <c r="AV17" i="13" s="1"/>
  <c r="HY17" i="13"/>
  <c r="DH17" i="13"/>
  <c r="EU17" i="13" s="1"/>
  <c r="DF17" i="13"/>
  <c r="ES17" i="13" s="1"/>
  <c r="AJ17" i="13"/>
  <c r="CV17" i="13"/>
  <c r="EI17" i="13" s="1"/>
  <c r="CT17" i="13"/>
  <c r="EG17" i="13" s="1"/>
  <c r="CR17" i="13"/>
  <c r="EE17" i="13" s="1"/>
  <c r="HD17" i="13"/>
  <c r="HC17" i="13"/>
  <c r="HZ16" i="13"/>
  <c r="HU16" i="13"/>
  <c r="HT16" i="13"/>
  <c r="HR16" i="13"/>
  <c r="HP16" i="13"/>
  <c r="HD16" i="13"/>
  <c r="GY16" i="13"/>
  <c r="IE16" i="13"/>
  <c r="GU16" i="13"/>
  <c r="GV16" i="13" s="1"/>
  <c r="HS16" i="13"/>
  <c r="HO16" i="13"/>
  <c r="HN16" i="13"/>
  <c r="HM16" i="13"/>
  <c r="HI16" i="13"/>
  <c r="FW16" i="13"/>
  <c r="DR16" i="13"/>
  <c r="FE16" i="13" s="1"/>
  <c r="DN16" i="13"/>
  <c r="FA16" i="13" s="1"/>
  <c r="DL16" i="13"/>
  <c r="EY16" i="13" s="1"/>
  <c r="DB16" i="13"/>
  <c r="EO16" i="13" s="1"/>
  <c r="CY16" i="13"/>
  <c r="EL16" i="13" s="1"/>
  <c r="CN16" i="13"/>
  <c r="EA16" i="13" s="1"/>
  <c r="CK16" i="13"/>
  <c r="CH16" i="13"/>
  <c r="DM16" i="13"/>
  <c r="EZ16" i="13" s="1"/>
  <c r="DA16" i="13"/>
  <c r="EN16" i="13" s="1"/>
  <c r="CZ16" i="13"/>
  <c r="EM16" i="13" s="1"/>
  <c r="CV16" i="13"/>
  <c r="EI16" i="13" s="1"/>
  <c r="CQ16" i="13"/>
  <c r="ED16" i="13" s="1"/>
  <c r="IG16" i="13"/>
  <c r="DP16" i="13"/>
  <c r="FC16" i="13" s="1"/>
  <c r="DO16" i="13"/>
  <c r="FB16" i="13" s="1"/>
  <c r="IA16" i="13"/>
  <c r="HY16" i="13"/>
  <c r="DH16" i="13"/>
  <c r="EU16" i="13" s="1"/>
  <c r="DG16" i="13"/>
  <c r="ET16" i="13" s="1"/>
  <c r="DF16" i="13"/>
  <c r="ES16" i="13" s="1"/>
  <c r="DE16" i="13"/>
  <c r="ER16" i="13" s="1"/>
  <c r="HQ16" i="13"/>
  <c r="CX16" i="13"/>
  <c r="EK16" i="13" s="1"/>
  <c r="CR16" i="13"/>
  <c r="EE16" i="13" s="1"/>
  <c r="HA16" i="13"/>
  <c r="GX16" i="13"/>
  <c r="IF15" i="13"/>
  <c r="HR15" i="13"/>
  <c r="HQ15" i="13"/>
  <c r="HP15" i="13"/>
  <c r="HO15" i="13"/>
  <c r="HM15" i="13"/>
  <c r="HL15" i="13"/>
  <c r="IE15" i="13"/>
  <c r="HY15" i="13"/>
  <c r="HN15" i="13"/>
  <c r="GJ15" i="13"/>
  <c r="HI15" i="13"/>
  <c r="DT15" i="13"/>
  <c r="FG15" i="13" s="1"/>
  <c r="DG15" i="13"/>
  <c r="ET15" i="13" s="1"/>
  <c r="DE15" i="13"/>
  <c r="ER15" i="13" s="1"/>
  <c r="DC15" i="13"/>
  <c r="EP15" i="13" s="1"/>
  <c r="DS15" i="13"/>
  <c r="FF15" i="13" s="1"/>
  <c r="DR15" i="13"/>
  <c r="FE15" i="13" s="1"/>
  <c r="DB15" i="13"/>
  <c r="EO15" i="13" s="1"/>
  <c r="DA15" i="13"/>
  <c r="EN15" i="13" s="1"/>
  <c r="CZ15" i="13"/>
  <c r="EM15" i="13" s="1"/>
  <c r="BW15" i="13"/>
  <c r="CV15" i="13"/>
  <c r="EI15" i="13" s="1"/>
  <c r="CS15" i="13"/>
  <c r="EF15" i="13" s="1"/>
  <c r="IB15" i="13"/>
  <c r="DN15" i="13"/>
  <c r="FA15" i="13" s="1"/>
  <c r="DL15" i="13"/>
  <c r="EY15" i="13" s="1"/>
  <c r="DK15" i="13"/>
  <c r="EX15" i="13" s="1"/>
  <c r="HT15" i="13"/>
  <c r="DD15" i="13"/>
  <c r="EQ15" i="13" s="1"/>
  <c r="CY15" i="13"/>
  <c r="EL15" i="13" s="1"/>
  <c r="HH15" i="13"/>
  <c r="HG15" i="13"/>
  <c r="HF15" i="13"/>
  <c r="CP15" i="13"/>
  <c r="EC15" i="13" s="1"/>
  <c r="CO15" i="13"/>
  <c r="EB15" i="13" s="1"/>
  <c r="CN15" i="13"/>
  <c r="EA15" i="13" s="1"/>
  <c r="CM15" i="13"/>
  <c r="DZ15" i="13" s="1"/>
  <c r="HT14" i="13"/>
  <c r="HR14" i="13"/>
  <c r="HQ14" i="13"/>
  <c r="HP14" i="13"/>
  <c r="HN14" i="13"/>
  <c r="HI14" i="13"/>
  <c r="HV14" i="13"/>
  <c r="HU14" i="13"/>
  <c r="HO14" i="13"/>
  <c r="GY14" i="13"/>
  <c r="FW14" i="13"/>
  <c r="DS14" i="13"/>
  <c r="FF14" i="13" s="1"/>
  <c r="DK14" i="13"/>
  <c r="EX14" i="13" s="1"/>
  <c r="DI14" i="13"/>
  <c r="EV14" i="13" s="1"/>
  <c r="DH14" i="13"/>
  <c r="EU14" i="13" s="1"/>
  <c r="DG14" i="13"/>
  <c r="ET14" i="13" s="1"/>
  <c r="DE14" i="13"/>
  <c r="ER14" i="13" s="1"/>
  <c r="CO14" i="13"/>
  <c r="EB14" i="13" s="1"/>
  <c r="CN14" i="13"/>
  <c r="EA14" i="13" s="1"/>
  <c r="CM14" i="13"/>
  <c r="DZ14" i="13" s="1"/>
  <c r="CL14" i="13"/>
  <c r="DY14" i="13" s="1"/>
  <c r="CK14" i="13"/>
  <c r="CH14" i="13"/>
  <c r="CI14" i="13" s="1"/>
  <c r="DC14" i="13"/>
  <c r="EP14" i="13" s="1"/>
  <c r="DB14" i="13"/>
  <c r="EO14" i="13" s="1"/>
  <c r="DA14" i="13"/>
  <c r="EN14" i="13" s="1"/>
  <c r="CV14" i="13"/>
  <c r="EI14" i="13" s="1"/>
  <c r="IF14" i="13"/>
  <c r="IE14" i="13"/>
  <c r="ID14" i="13"/>
  <c r="HX14" i="13"/>
  <c r="DD14" i="13"/>
  <c r="EQ14" i="13" s="1"/>
  <c r="HL14" i="13"/>
  <c r="CT14" i="13"/>
  <c r="EG14" i="13" s="1"/>
  <c r="CR14" i="13"/>
  <c r="EE14" i="13" s="1"/>
  <c r="HB14" i="13"/>
  <c r="IA13" i="13"/>
  <c r="HZ13" i="13"/>
  <c r="HV13" i="13"/>
  <c r="HT13" i="13"/>
  <c r="HH13" i="13"/>
  <c r="HB13" i="13"/>
  <c r="HA13" i="13"/>
  <c r="GZ13" i="13"/>
  <c r="GX13" i="13"/>
  <c r="HX13" i="13"/>
  <c r="HS13" i="13"/>
  <c r="HR13" i="13"/>
  <c r="HQ13" i="13"/>
  <c r="HP13" i="13"/>
  <c r="FW13" i="13"/>
  <c r="DN13" i="13"/>
  <c r="FA13" i="13" s="1"/>
  <c r="DM13" i="13"/>
  <c r="EZ13" i="13" s="1"/>
  <c r="DK13" i="13"/>
  <c r="EX13" i="13" s="1"/>
  <c r="DG13" i="13"/>
  <c r="ET13" i="13" s="1"/>
  <c r="DF13" i="13"/>
  <c r="ES13" i="13" s="1"/>
  <c r="DE13" i="13"/>
  <c r="ER13" i="13" s="1"/>
  <c r="DD13" i="13"/>
  <c r="EQ13" i="13" s="1"/>
  <c r="DC13" i="13"/>
  <c r="EP13" i="13" s="1"/>
  <c r="CO13" i="13"/>
  <c r="EB13" i="13" s="1"/>
  <c r="CN13" i="13"/>
  <c r="EA13" i="13" s="1"/>
  <c r="CL13" i="13"/>
  <c r="DY13" i="13" s="1"/>
  <c r="CK13" i="13"/>
  <c r="CH13" i="13"/>
  <c r="CI13" i="13" s="1"/>
  <c r="DI13" i="13"/>
  <c r="EV13" i="13" s="1"/>
  <c r="CM13" i="13"/>
  <c r="DZ13" i="13" s="1"/>
  <c r="DQ13" i="13"/>
  <c r="FD13" i="13" s="1"/>
  <c r="DO13" i="13"/>
  <c r="FB13" i="13" s="1"/>
  <c r="HY13" i="13"/>
  <c r="HU13" i="13"/>
  <c r="HN13" i="13"/>
  <c r="CY13" i="13"/>
  <c r="EL13" i="13" s="1"/>
  <c r="CU13" i="13"/>
  <c r="EH13" i="13" s="1"/>
  <c r="HF13" i="13"/>
  <c r="CR13" i="13"/>
  <c r="EE13" i="13" s="1"/>
  <c r="CP13" i="13"/>
  <c r="EC13" i="13" s="1"/>
  <c r="IC12" i="13"/>
  <c r="IA12" i="13"/>
  <c r="HZ12" i="13"/>
  <c r="HX12" i="13"/>
  <c r="HU12" i="13"/>
  <c r="HN12" i="13"/>
  <c r="HM12" i="13"/>
  <c r="HE12" i="13"/>
  <c r="IG12" i="13"/>
  <c r="IF12" i="13"/>
  <c r="HQ12" i="13"/>
  <c r="HO12" i="13"/>
  <c r="HH12" i="13"/>
  <c r="DS12" i="13"/>
  <c r="FF12" i="13" s="1"/>
  <c r="DO12" i="13"/>
  <c r="FB12" i="13" s="1"/>
  <c r="DN12" i="13"/>
  <c r="FA12" i="13" s="1"/>
  <c r="DH12" i="13"/>
  <c r="EU12" i="13" s="1"/>
  <c r="DF12" i="13"/>
  <c r="ES12" i="13" s="1"/>
  <c r="DD12" i="13"/>
  <c r="EQ12" i="13" s="1"/>
  <c r="DC12" i="13"/>
  <c r="EP12" i="13" s="1"/>
  <c r="DB12" i="13"/>
  <c r="EO12" i="13" s="1"/>
  <c r="DA12" i="13"/>
  <c r="EN12" i="13" s="1"/>
  <c r="CZ12" i="13"/>
  <c r="EM12" i="13" s="1"/>
  <c r="CY12" i="13"/>
  <c r="EL12" i="13" s="1"/>
  <c r="CK12" i="13"/>
  <c r="DX12" i="13" s="1"/>
  <c r="DK12" i="13"/>
  <c r="BW12" i="13"/>
  <c r="BJ12" i="13"/>
  <c r="CU12" i="13"/>
  <c r="EH12" i="13" s="1"/>
  <c r="IB12" i="13"/>
  <c r="DM12" i="13"/>
  <c r="EZ12" i="13" s="1"/>
  <c r="DI12" i="13"/>
  <c r="EV12" i="13" s="1"/>
  <c r="DG12" i="13"/>
  <c r="ET12" i="13" s="1"/>
  <c r="HP12" i="13"/>
  <c r="HL12" i="13"/>
  <c r="CV12" i="13"/>
  <c r="EI12" i="13" s="1"/>
  <c r="CR12" i="13"/>
  <c r="EE12" i="13" s="1"/>
  <c r="HD12" i="13"/>
  <c r="HC12" i="13"/>
  <c r="CN12" i="13"/>
  <c r="EA12" i="13" s="1"/>
  <c r="CM12" i="13"/>
  <c r="DZ12" i="13" s="1"/>
  <c r="GY12" i="13"/>
  <c r="GX12" i="13"/>
  <c r="HZ11" i="13"/>
  <c r="HV11" i="13"/>
  <c r="HU11" i="13"/>
  <c r="HT11" i="13"/>
  <c r="HP11" i="13"/>
  <c r="HN11" i="13"/>
  <c r="HM11" i="13"/>
  <c r="HL11" i="13"/>
  <c r="HA11" i="13"/>
  <c r="GX11" i="13"/>
  <c r="GU11" i="13"/>
  <c r="GV11" i="13" s="1"/>
  <c r="HR11" i="13"/>
  <c r="HO11" i="13"/>
  <c r="FW11" i="13"/>
  <c r="DM11" i="13"/>
  <c r="EZ11" i="13" s="1"/>
  <c r="DI11" i="13"/>
  <c r="EV11" i="13" s="1"/>
  <c r="DH11" i="13"/>
  <c r="EU11" i="13" s="1"/>
  <c r="DG11" i="13"/>
  <c r="ET11" i="13" s="1"/>
  <c r="DF11" i="13"/>
  <c r="ES11" i="13" s="1"/>
  <c r="CX11" i="13"/>
  <c r="CN11" i="13"/>
  <c r="EA11" i="13" s="1"/>
  <c r="CM11" i="13"/>
  <c r="DZ11" i="13" s="1"/>
  <c r="CL11" i="13"/>
  <c r="DY11" i="13" s="1"/>
  <c r="CK11" i="13"/>
  <c r="DX11" i="13" s="1"/>
  <c r="DQ11" i="13"/>
  <c r="FD11" i="13" s="1"/>
  <c r="DE11" i="13"/>
  <c r="ER11" i="13" s="1"/>
  <c r="DC11" i="13"/>
  <c r="EP11" i="13" s="1"/>
  <c r="DB11" i="13"/>
  <c r="EO11" i="13" s="1"/>
  <c r="DA11" i="13"/>
  <c r="EN11" i="13" s="1"/>
  <c r="IG11" i="13"/>
  <c r="DS11" i="13"/>
  <c r="FF11" i="13" s="1"/>
  <c r="HY11" i="13"/>
  <c r="HS11" i="13"/>
  <c r="DD11" i="13"/>
  <c r="EQ11" i="13" s="1"/>
  <c r="CZ11" i="13"/>
  <c r="EM11" i="13" s="1"/>
  <c r="CY11" i="13"/>
  <c r="EL11" i="13" s="1"/>
  <c r="HK11" i="13"/>
  <c r="HC11" i="13"/>
  <c r="GZ11" i="13"/>
  <c r="GY11" i="13"/>
  <c r="IC10" i="13"/>
  <c r="HY10" i="13"/>
  <c r="HX10" i="13"/>
  <c r="HC10" i="13"/>
  <c r="HB10" i="13"/>
  <c r="HA10" i="13"/>
  <c r="GZ10" i="13"/>
  <c r="GY10" i="13"/>
  <c r="GX10" i="13"/>
  <c r="IB10" i="13"/>
  <c r="GJ10" i="13"/>
  <c r="FW10" i="13"/>
  <c r="DR10" i="13"/>
  <c r="FE10" i="13" s="1"/>
  <c r="DK10" i="13"/>
  <c r="EX10" i="13" s="1"/>
  <c r="DG10" i="13"/>
  <c r="ET10" i="13" s="1"/>
  <c r="DF10" i="13"/>
  <c r="ES10" i="13" s="1"/>
  <c r="DE10" i="13"/>
  <c r="ER10" i="13" s="1"/>
  <c r="DD10" i="13"/>
  <c r="EQ10" i="13" s="1"/>
  <c r="CY10" i="13"/>
  <c r="EL10" i="13" s="1"/>
  <c r="CV10" i="13"/>
  <c r="EI10" i="13" s="1"/>
  <c r="CT10" i="13"/>
  <c r="EG10" i="13" s="1"/>
  <c r="CS10" i="13"/>
  <c r="EF10" i="13" s="1"/>
  <c r="CL10" i="13"/>
  <c r="DY10" i="13" s="1"/>
  <c r="CK10" i="13"/>
  <c r="DX10" i="13" s="1"/>
  <c r="DS10" i="13"/>
  <c r="FF10" i="13" s="1"/>
  <c r="DO10" i="13"/>
  <c r="FB10" i="13" s="1"/>
  <c r="DL10" i="13"/>
  <c r="EY10" i="13" s="1"/>
  <c r="CX10" i="13"/>
  <c r="CP10" i="13"/>
  <c r="EC10" i="13" s="1"/>
  <c r="CO10" i="13"/>
  <c r="EB10" i="13" s="1"/>
  <c r="CN10" i="13"/>
  <c r="EA10" i="13" s="1"/>
  <c r="BJ10" i="13"/>
  <c r="IG10" i="13"/>
  <c r="IE10" i="13"/>
  <c r="ID10" i="13"/>
  <c r="DP10" i="13"/>
  <c r="FC10" i="13" s="1"/>
  <c r="DN10" i="13"/>
  <c r="FA10" i="13" s="1"/>
  <c r="AU10" i="13"/>
  <c r="AV10" i="13" s="1"/>
  <c r="HV10" i="13"/>
  <c r="DH10" i="13"/>
  <c r="EU10" i="13" s="1"/>
  <c r="HT10" i="13"/>
  <c r="HS10" i="13"/>
  <c r="HR10" i="13"/>
  <c r="HQ10" i="13"/>
  <c r="DC10" i="13"/>
  <c r="EP10" i="13" s="1"/>
  <c r="DB10" i="13"/>
  <c r="EO10" i="13" s="1"/>
  <c r="HL10" i="13"/>
  <c r="HH10" i="13"/>
  <c r="HG10" i="13"/>
  <c r="HF10" i="13"/>
  <c r="HE10" i="13"/>
  <c r="CQ10" i="13"/>
  <c r="ED10" i="13" s="1"/>
  <c r="W10" i="13"/>
  <c r="IG9" i="13"/>
  <c r="IF9" i="13"/>
  <c r="HY9" i="13"/>
  <c r="HX9" i="13"/>
  <c r="HQ9" i="13"/>
  <c r="HL9" i="13"/>
  <c r="HG9" i="13"/>
  <c r="HZ9" i="13"/>
  <c r="HU9" i="13"/>
  <c r="HK9" i="13"/>
  <c r="HH9" i="13"/>
  <c r="HC9" i="13"/>
  <c r="HB9" i="13"/>
  <c r="GZ9" i="13"/>
  <c r="GY9" i="13"/>
  <c r="FW9" i="13"/>
  <c r="DT9" i="13"/>
  <c r="FG9" i="13" s="1"/>
  <c r="DS9" i="13"/>
  <c r="FF9" i="13" s="1"/>
  <c r="DQ9" i="13"/>
  <c r="FD9" i="13" s="1"/>
  <c r="DL9" i="13"/>
  <c r="EY9" i="13" s="1"/>
  <c r="CX9" i="13"/>
  <c r="EK9" i="13" s="1"/>
  <c r="CV9" i="13"/>
  <c r="EI9" i="13" s="1"/>
  <c r="CU9" i="13"/>
  <c r="EH9" i="13" s="1"/>
  <c r="CT9" i="13"/>
  <c r="EG9" i="13" s="1"/>
  <c r="CS9" i="13"/>
  <c r="EF9" i="13" s="1"/>
  <c r="CH9" i="13"/>
  <c r="DM9" i="13"/>
  <c r="EZ9" i="13" s="1"/>
  <c r="DH9" i="13"/>
  <c r="EU9" i="13" s="1"/>
  <c r="CP9" i="13"/>
  <c r="EC9" i="13" s="1"/>
  <c r="CL9" i="13"/>
  <c r="DY9" i="13" s="1"/>
  <c r="DR9" i="13"/>
  <c r="FE9" i="13" s="1"/>
  <c r="ID9" i="13"/>
  <c r="IC9" i="13"/>
  <c r="IB9" i="13"/>
  <c r="HV9" i="13"/>
  <c r="HS9" i="13"/>
  <c r="HR9" i="13"/>
  <c r="DD9" i="13"/>
  <c r="EQ9" i="13" s="1"/>
  <c r="DC9" i="13"/>
  <c r="EP9" i="13" s="1"/>
  <c r="DB9" i="13"/>
  <c r="EO9" i="13" s="1"/>
  <c r="HI9" i="13"/>
  <c r="HE9" i="13"/>
  <c r="HA9" i="13"/>
  <c r="ID8" i="13"/>
  <c r="HV8" i="13"/>
  <c r="HU8" i="13"/>
  <c r="HS8" i="13"/>
  <c r="HR8" i="13"/>
  <c r="HB8" i="13"/>
  <c r="HA8" i="13"/>
  <c r="GZ8" i="13"/>
  <c r="GY8" i="13"/>
  <c r="GS48" i="13"/>
  <c r="GM48" i="13"/>
  <c r="GK48" i="13"/>
  <c r="GF48" i="13"/>
  <c r="GE48" i="13"/>
  <c r="GD48" i="13"/>
  <c r="GC48" i="13"/>
  <c r="FY48" i="13"/>
  <c r="FV48" i="13"/>
  <c r="FU48" i="13"/>
  <c r="FR48" i="13"/>
  <c r="FP48" i="13"/>
  <c r="DQ8" i="13"/>
  <c r="FD8" i="13" s="1"/>
  <c r="DP8" i="13"/>
  <c r="FC8" i="13" s="1"/>
  <c r="DO8" i="13"/>
  <c r="FB8" i="13" s="1"/>
  <c r="DN8" i="13"/>
  <c r="FA8" i="13" s="1"/>
  <c r="DK8" i="13"/>
  <c r="EX8" i="13" s="1"/>
  <c r="DI8" i="13"/>
  <c r="EV8" i="13" s="1"/>
  <c r="DD8" i="13"/>
  <c r="DC8" i="13"/>
  <c r="CS8" i="13"/>
  <c r="EF8" i="13" s="1"/>
  <c r="CR8" i="13"/>
  <c r="EE8" i="13" s="1"/>
  <c r="CO8" i="13"/>
  <c r="EB8" i="13" s="1"/>
  <c r="CN8" i="13"/>
  <c r="EA8" i="13" s="1"/>
  <c r="CM8" i="13"/>
  <c r="DZ8" i="13" s="1"/>
  <c r="CL8" i="13"/>
  <c r="CF48" i="13"/>
  <c r="CB48" i="13"/>
  <c r="BX48" i="13"/>
  <c r="DH8" i="13"/>
  <c r="DG8" i="13"/>
  <c r="BS48" i="13"/>
  <c r="BQ48" i="13"/>
  <c r="BP48" i="13"/>
  <c r="BO48" i="13"/>
  <c r="BI48" i="13"/>
  <c r="BG48" i="13"/>
  <c r="BB48" i="13"/>
  <c r="CK8" i="13"/>
  <c r="AS48" i="13"/>
  <c r="AR48" i="13"/>
  <c r="DL8" i="13"/>
  <c r="AG48" i="13"/>
  <c r="AD48" i="13"/>
  <c r="DB8" i="13"/>
  <c r="CZ8" i="13"/>
  <c r="V48" i="13"/>
  <c r="CT8" i="13"/>
  <c r="N48" i="13"/>
  <c r="M48" i="13"/>
  <c r="K48" i="13"/>
  <c r="GY7" i="13"/>
  <c r="GZ7" i="13" s="1"/>
  <c r="HA7" i="13" s="1"/>
  <c r="HB7" i="13" s="1"/>
  <c r="HC7" i="13" s="1"/>
  <c r="HD7" i="13" s="1"/>
  <c r="HE7" i="13" s="1"/>
  <c r="HF7" i="13" s="1"/>
  <c r="HG7" i="13" s="1"/>
  <c r="HH7" i="13" s="1"/>
  <c r="HI7" i="13" s="1"/>
  <c r="FL7" i="13"/>
  <c r="FM7" i="13" s="1"/>
  <c r="FN7" i="13" s="1"/>
  <c r="FO7" i="13" s="1"/>
  <c r="FP7" i="13" s="1"/>
  <c r="FQ7" i="13" s="1"/>
  <c r="FR7" i="13" s="1"/>
  <c r="FS7" i="13" s="1"/>
  <c r="FT7" i="13" s="1"/>
  <c r="FU7" i="13" s="1"/>
  <c r="FV7" i="13" s="1"/>
  <c r="FW7" i="13" s="1"/>
  <c r="DY7" i="13"/>
  <c r="DZ7" i="13" s="1"/>
  <c r="EA7" i="13" s="1"/>
  <c r="EB7" i="13" s="1"/>
  <c r="EC7" i="13" s="1"/>
  <c r="ED7" i="13" s="1"/>
  <c r="EE7" i="13" s="1"/>
  <c r="EF7" i="13" s="1"/>
  <c r="EG7" i="13" s="1"/>
  <c r="EH7" i="13" s="1"/>
  <c r="EI7" i="13" s="1"/>
  <c r="CL7" i="13"/>
  <c r="CM7" i="13" s="1"/>
  <c r="CN7" i="13" s="1"/>
  <c r="CO7" i="13" s="1"/>
  <c r="CP7" i="13" s="1"/>
  <c r="CQ7" i="13" s="1"/>
  <c r="CR7" i="13" s="1"/>
  <c r="CS7" i="13" s="1"/>
  <c r="CT7" i="13" s="1"/>
  <c r="CU7" i="13" s="1"/>
  <c r="CV7" i="13" s="1"/>
  <c r="AY7" i="13"/>
  <c r="AZ7" i="13" s="1"/>
  <c r="BA7" i="13" s="1"/>
  <c r="BB7" i="13" s="1"/>
  <c r="BC7" i="13" s="1"/>
  <c r="BD7" i="13" s="1"/>
  <c r="BE7" i="13" s="1"/>
  <c r="BF7" i="13" s="1"/>
  <c r="BG7" i="13" s="1"/>
  <c r="BH7" i="13" s="1"/>
  <c r="BI7" i="13" s="1"/>
  <c r="L7" i="13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P8" i="12"/>
  <c r="P7" i="12"/>
  <c r="K77" i="12"/>
  <c r="L77" i="12" s="1"/>
  <c r="K76" i="12"/>
  <c r="L76" i="12" s="1"/>
  <c r="K72" i="12"/>
  <c r="L72" i="12" s="1"/>
  <c r="K70" i="12"/>
  <c r="L70" i="12" s="1"/>
  <c r="K67" i="12"/>
  <c r="L67" i="12" s="1"/>
  <c r="K65" i="12"/>
  <c r="L65" i="12" s="1"/>
  <c r="K61" i="12"/>
  <c r="L61" i="12" s="1"/>
  <c r="K59" i="12"/>
  <c r="L59" i="12" s="1"/>
  <c r="K56" i="12"/>
  <c r="L56" i="12" s="1"/>
  <c r="K50" i="12"/>
  <c r="L50" i="12" s="1"/>
  <c r="K45" i="12"/>
  <c r="L45" i="12" s="1"/>
  <c r="K41" i="12"/>
  <c r="L41" i="12" s="1"/>
  <c r="K35" i="12"/>
  <c r="L35" i="12" s="1"/>
  <c r="K31" i="12"/>
  <c r="L31" i="12" s="1"/>
  <c r="K28" i="12"/>
  <c r="L28" i="12" s="1"/>
  <c r="K27" i="12"/>
  <c r="L27" i="12" s="1"/>
  <c r="K26" i="12"/>
  <c r="L26" i="12" s="1"/>
  <c r="K22" i="12"/>
  <c r="L22" i="12" s="1"/>
  <c r="K17" i="12"/>
  <c r="L17" i="12" s="1"/>
  <c r="K16" i="12"/>
  <c r="L16" i="12" s="1"/>
  <c r="K15" i="12"/>
  <c r="L15" i="12" s="1"/>
  <c r="K8" i="12"/>
  <c r="L8" i="12" s="1"/>
  <c r="R17" i="10"/>
  <c r="R16" i="10"/>
  <c r="R18" i="10" s="1"/>
  <c r="AM108" i="11"/>
  <c r="AO105" i="11"/>
  <c r="AP105" i="11" s="1"/>
  <c r="AC108" i="11"/>
  <c r="AC109" i="11" s="1"/>
  <c r="Z108" i="11"/>
  <c r="W108" i="11"/>
  <c r="S108" i="11"/>
  <c r="R108" i="11"/>
  <c r="AD107" i="11"/>
  <c r="AD106" i="11"/>
  <c r="AD97" i="11"/>
  <c r="T108" i="11"/>
  <c r="P108" i="11"/>
  <c r="M108" i="11"/>
  <c r="I108" i="11"/>
  <c r="H108" i="11"/>
  <c r="H109" i="11" s="1"/>
  <c r="J108" i="11"/>
  <c r="J109" i="11" s="1"/>
  <c r="AN108" i="11"/>
  <c r="AN109" i="11" s="1"/>
  <c r="AL108" i="11"/>
  <c r="AK108" i="11"/>
  <c r="AJ108" i="11"/>
  <c r="AI108" i="11"/>
  <c r="AH108" i="11"/>
  <c r="AF108" i="11"/>
  <c r="AE108" i="11"/>
  <c r="AB108" i="11"/>
  <c r="AA108" i="11"/>
  <c r="Y108" i="11"/>
  <c r="X108" i="11"/>
  <c r="V108" i="11"/>
  <c r="U108" i="11"/>
  <c r="O108" i="11"/>
  <c r="N108" i="11"/>
  <c r="N109" i="11" s="1"/>
  <c r="L108" i="11"/>
  <c r="K108" i="11"/>
  <c r="G108" i="11"/>
  <c r="F108" i="11"/>
  <c r="S109" i="11"/>
  <c r="AA109" i="11"/>
  <c r="E108" i="11"/>
  <c r="AO107" i="11"/>
  <c r="AO106" i="11"/>
  <c r="AP106" i="11" s="1"/>
  <c r="AO97" i="11"/>
  <c r="AP97" i="11" s="1"/>
  <c r="F92" i="11"/>
  <c r="G92" i="11" s="1"/>
  <c r="H92" i="11" s="1"/>
  <c r="I92" i="11" s="1"/>
  <c r="J92" i="11" s="1"/>
  <c r="K92" i="11" s="1"/>
  <c r="L92" i="11" s="1"/>
  <c r="M92" i="11" s="1"/>
  <c r="N92" i="11" s="1"/>
  <c r="O92" i="11" s="1"/>
  <c r="P92" i="11" s="1"/>
  <c r="AB87" i="11"/>
  <c r="AB88" i="11" s="1"/>
  <c r="Q73" i="11"/>
  <c r="AD72" i="11"/>
  <c r="F71" i="11"/>
  <c r="G71" i="11" s="1"/>
  <c r="H71" i="11" s="1"/>
  <c r="I71" i="11" s="1"/>
  <c r="J71" i="11" s="1"/>
  <c r="K71" i="11" s="1"/>
  <c r="L71" i="11" s="1"/>
  <c r="M71" i="11" s="1"/>
  <c r="N71" i="11" s="1"/>
  <c r="O71" i="11" s="1"/>
  <c r="P71" i="11" s="1"/>
  <c r="Q59" i="11"/>
  <c r="AD58" i="11"/>
  <c r="AO57" i="11"/>
  <c r="F50" i="11"/>
  <c r="G50" i="11" s="1"/>
  <c r="H50" i="11" s="1"/>
  <c r="I50" i="11" s="1"/>
  <c r="J50" i="11" s="1"/>
  <c r="K50" i="11" s="1"/>
  <c r="L50" i="11" s="1"/>
  <c r="M50" i="11" s="1"/>
  <c r="N50" i="11" s="1"/>
  <c r="O50" i="11" s="1"/>
  <c r="P50" i="11" s="1"/>
  <c r="F29" i="11"/>
  <c r="G29" i="11" s="1"/>
  <c r="H29" i="11" s="1"/>
  <c r="I29" i="11" s="1"/>
  <c r="J29" i="11" s="1"/>
  <c r="K29" i="11" s="1"/>
  <c r="L29" i="11" s="1"/>
  <c r="M29" i="11" s="1"/>
  <c r="N29" i="11" s="1"/>
  <c r="O29" i="11" s="1"/>
  <c r="P29" i="11" s="1"/>
  <c r="Q22" i="11"/>
  <c r="AO20" i="11"/>
  <c r="Q15" i="11"/>
  <c r="AD10" i="11"/>
  <c r="F8" i="1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14" i="10"/>
  <c r="N14" i="10"/>
  <c r="K14" i="10"/>
  <c r="J14" i="10"/>
  <c r="O13" i="10"/>
  <c r="P13" i="10" s="1"/>
  <c r="O12" i="10"/>
  <c r="P12" i="10" s="1"/>
  <c r="O11" i="10"/>
  <c r="P11" i="10" s="1"/>
  <c r="O10" i="10"/>
  <c r="P10" i="10" s="1"/>
  <c r="O9" i="10"/>
  <c r="P9" i="10" s="1"/>
  <c r="O8" i="10"/>
  <c r="P8" i="10" s="1"/>
  <c r="O7" i="10"/>
  <c r="P7" i="10" s="1"/>
  <c r="O6" i="10"/>
  <c r="P6" i="10" s="1"/>
  <c r="L13" i="10"/>
  <c r="M13" i="10" s="1"/>
  <c r="L12" i="10"/>
  <c r="M12" i="10" s="1"/>
  <c r="L11" i="10"/>
  <c r="M11" i="10" s="1"/>
  <c r="L10" i="10"/>
  <c r="M10" i="10" s="1"/>
  <c r="L9" i="10"/>
  <c r="M9" i="10" s="1"/>
  <c r="L8" i="10"/>
  <c r="M8" i="10" s="1"/>
  <c r="L7" i="10"/>
  <c r="M7" i="10" s="1"/>
  <c r="L6" i="10"/>
  <c r="M6" i="10" s="1"/>
  <c r="Q36" i="9"/>
  <c r="E36" i="9"/>
  <c r="AN31" i="9"/>
  <c r="AM31" i="9"/>
  <c r="AL31" i="9"/>
  <c r="AK31" i="9"/>
  <c r="AJ31" i="9"/>
  <c r="AI31" i="9"/>
  <c r="AH31" i="9"/>
  <c r="AG31" i="9"/>
  <c r="AF31" i="9"/>
  <c r="AE31" i="9"/>
  <c r="AC31" i="9"/>
  <c r="AB31" i="9"/>
  <c r="AA31" i="9"/>
  <c r="Z31" i="9"/>
  <c r="Y31" i="9"/>
  <c r="X31" i="9"/>
  <c r="W31" i="9"/>
  <c r="V31" i="9"/>
  <c r="U31" i="9"/>
  <c r="T31" i="9"/>
  <c r="S31" i="9"/>
  <c r="R31" i="9"/>
  <c r="P31" i="9"/>
  <c r="O31" i="9"/>
  <c r="N31" i="9"/>
  <c r="M31" i="9"/>
  <c r="L31" i="9"/>
  <c r="K31" i="9"/>
  <c r="J31" i="9"/>
  <c r="I31" i="9"/>
  <c r="H31" i="9"/>
  <c r="G31" i="9"/>
  <c r="F31" i="9"/>
  <c r="E31" i="9"/>
  <c r="AN30" i="9"/>
  <c r="AM30" i="9"/>
  <c r="AL30" i="9"/>
  <c r="AK30" i="9"/>
  <c r="AJ30" i="9"/>
  <c r="AI30" i="9"/>
  <c r="AH30" i="9"/>
  <c r="AG30" i="9"/>
  <c r="AF30" i="9"/>
  <c r="AE30" i="9"/>
  <c r="AC30" i="9"/>
  <c r="AB30" i="9"/>
  <c r="AA30" i="9"/>
  <c r="Z30" i="9"/>
  <c r="Y30" i="9"/>
  <c r="X30" i="9"/>
  <c r="W30" i="9"/>
  <c r="V30" i="9"/>
  <c r="U30" i="9"/>
  <c r="T30" i="9"/>
  <c r="S30" i="9"/>
  <c r="R30" i="9"/>
  <c r="P30" i="9"/>
  <c r="O30" i="9"/>
  <c r="N30" i="9"/>
  <c r="M30" i="9"/>
  <c r="L30" i="9"/>
  <c r="K30" i="9"/>
  <c r="J30" i="9"/>
  <c r="I30" i="9"/>
  <c r="H30" i="9"/>
  <c r="G30" i="9"/>
  <c r="F30" i="9"/>
  <c r="E30" i="9"/>
  <c r="AN29" i="9"/>
  <c r="AM29" i="9"/>
  <c r="AL29" i="9"/>
  <c r="AK29" i="9"/>
  <c r="AJ29" i="9"/>
  <c r="AI29" i="9"/>
  <c r="AH29" i="9"/>
  <c r="AG29" i="9"/>
  <c r="AF29" i="9"/>
  <c r="AE29" i="9"/>
  <c r="AC29" i="9"/>
  <c r="AB29" i="9"/>
  <c r="AA29" i="9"/>
  <c r="Z29" i="9"/>
  <c r="Y29" i="9"/>
  <c r="X29" i="9"/>
  <c r="W29" i="9"/>
  <c r="V29" i="9"/>
  <c r="U29" i="9"/>
  <c r="T29" i="9"/>
  <c r="S29" i="9"/>
  <c r="R29" i="9"/>
  <c r="P29" i="9"/>
  <c r="O29" i="9"/>
  <c r="N29" i="9"/>
  <c r="M29" i="9"/>
  <c r="L29" i="9"/>
  <c r="K29" i="9"/>
  <c r="J29" i="9"/>
  <c r="I29" i="9"/>
  <c r="H29" i="9"/>
  <c r="G29" i="9"/>
  <c r="F29" i="9"/>
  <c r="E29" i="9"/>
  <c r="AN21" i="9"/>
  <c r="AM21" i="9"/>
  <c r="AL21" i="9"/>
  <c r="AK21" i="9"/>
  <c r="AJ21" i="9"/>
  <c r="AI21" i="9"/>
  <c r="AH21" i="9"/>
  <c r="AG21" i="9"/>
  <c r="AF21" i="9"/>
  <c r="AE21" i="9"/>
  <c r="AC21" i="9"/>
  <c r="AB21" i="9"/>
  <c r="AA21" i="9"/>
  <c r="Z21" i="9"/>
  <c r="Y21" i="9"/>
  <c r="X21" i="9"/>
  <c r="W21" i="9"/>
  <c r="V21" i="9"/>
  <c r="U21" i="9"/>
  <c r="T21" i="9"/>
  <c r="S21" i="9"/>
  <c r="R21" i="9"/>
  <c r="P21" i="9"/>
  <c r="O21" i="9"/>
  <c r="N21" i="9"/>
  <c r="M21" i="9"/>
  <c r="L21" i="9"/>
  <c r="K21" i="9"/>
  <c r="J21" i="9"/>
  <c r="I21" i="9"/>
  <c r="H21" i="9"/>
  <c r="G21" i="9"/>
  <c r="F21" i="9"/>
  <c r="E21" i="9"/>
  <c r="AN20" i="9"/>
  <c r="AM20" i="9"/>
  <c r="AL20" i="9"/>
  <c r="AK20" i="9"/>
  <c r="AJ20" i="9"/>
  <c r="AI20" i="9"/>
  <c r="AH20" i="9"/>
  <c r="AG20" i="9"/>
  <c r="AF20" i="9"/>
  <c r="AE20" i="9"/>
  <c r="AC20" i="9"/>
  <c r="AB20" i="9"/>
  <c r="AA20" i="9"/>
  <c r="Z20" i="9"/>
  <c r="Y20" i="9"/>
  <c r="X20" i="9"/>
  <c r="W20" i="9"/>
  <c r="V20" i="9"/>
  <c r="U20" i="9"/>
  <c r="T20" i="9"/>
  <c r="S20" i="9"/>
  <c r="R20" i="9"/>
  <c r="P20" i="9"/>
  <c r="O20" i="9"/>
  <c r="N20" i="9"/>
  <c r="M20" i="9"/>
  <c r="L20" i="9"/>
  <c r="K20" i="9"/>
  <c r="J20" i="9"/>
  <c r="I20" i="9"/>
  <c r="H20" i="9"/>
  <c r="G20" i="9"/>
  <c r="F20" i="9"/>
  <c r="E20" i="9"/>
  <c r="AN19" i="9"/>
  <c r="AM19" i="9"/>
  <c r="AL19" i="9"/>
  <c r="AK19" i="9"/>
  <c r="AJ19" i="9"/>
  <c r="AI19" i="9"/>
  <c r="AH19" i="9"/>
  <c r="AG19" i="9"/>
  <c r="AF19" i="9"/>
  <c r="AE19" i="9"/>
  <c r="AC19" i="9"/>
  <c r="AB19" i="9"/>
  <c r="AA19" i="9"/>
  <c r="Z19" i="9"/>
  <c r="Y19" i="9"/>
  <c r="X19" i="9"/>
  <c r="W19" i="9"/>
  <c r="V19" i="9"/>
  <c r="U19" i="9"/>
  <c r="T19" i="9"/>
  <c r="S19" i="9"/>
  <c r="R19" i="9"/>
  <c r="P19" i="9"/>
  <c r="O19" i="9"/>
  <c r="N19" i="9"/>
  <c r="M19" i="9"/>
  <c r="L19" i="9"/>
  <c r="K19" i="9"/>
  <c r="J19" i="9"/>
  <c r="I19" i="9"/>
  <c r="H19" i="9"/>
  <c r="G19" i="9"/>
  <c r="F19" i="9"/>
  <c r="E19" i="9"/>
  <c r="AN18" i="9"/>
  <c r="AM18" i="9"/>
  <c r="AL18" i="9"/>
  <c r="AK18" i="9"/>
  <c r="AJ18" i="9"/>
  <c r="AI18" i="9"/>
  <c r="AH18" i="9"/>
  <c r="AG18" i="9"/>
  <c r="AF18" i="9"/>
  <c r="AE18" i="9"/>
  <c r="AC18" i="9"/>
  <c r="AB18" i="9"/>
  <c r="AA18" i="9"/>
  <c r="Z18" i="9"/>
  <c r="Y18" i="9"/>
  <c r="X18" i="9"/>
  <c r="W18" i="9"/>
  <c r="V18" i="9"/>
  <c r="U18" i="9"/>
  <c r="T18" i="9"/>
  <c r="S18" i="9"/>
  <c r="R18" i="9"/>
  <c r="P18" i="9"/>
  <c r="O18" i="9"/>
  <c r="N18" i="9"/>
  <c r="M18" i="9"/>
  <c r="L18" i="9"/>
  <c r="K18" i="9"/>
  <c r="J18" i="9"/>
  <c r="I18" i="9"/>
  <c r="H18" i="9"/>
  <c r="G18" i="9"/>
  <c r="F18" i="9"/>
  <c r="E18" i="9"/>
  <c r="AN17" i="9"/>
  <c r="AM17" i="9"/>
  <c r="AL17" i="9"/>
  <c r="AK17" i="9"/>
  <c r="AJ17" i="9"/>
  <c r="AI17" i="9"/>
  <c r="AH17" i="9"/>
  <c r="AG17" i="9"/>
  <c r="AF17" i="9"/>
  <c r="AE17" i="9"/>
  <c r="AC17" i="9"/>
  <c r="AB17" i="9"/>
  <c r="AA17" i="9"/>
  <c r="Z17" i="9"/>
  <c r="Y17" i="9"/>
  <c r="X17" i="9"/>
  <c r="W17" i="9"/>
  <c r="V17" i="9"/>
  <c r="U17" i="9"/>
  <c r="T17" i="9"/>
  <c r="S17" i="9"/>
  <c r="R17" i="9"/>
  <c r="P17" i="9"/>
  <c r="O17" i="9"/>
  <c r="N17" i="9"/>
  <c r="M17" i="9"/>
  <c r="L17" i="9"/>
  <c r="K17" i="9"/>
  <c r="J17" i="9"/>
  <c r="I17" i="9"/>
  <c r="H17" i="9"/>
  <c r="G17" i="9"/>
  <c r="F17" i="9"/>
  <c r="E17" i="9"/>
  <c r="AN16" i="9"/>
  <c r="AM16" i="9"/>
  <c r="AL16" i="9"/>
  <c r="AK16" i="9"/>
  <c r="AJ16" i="9"/>
  <c r="AI16" i="9"/>
  <c r="AH16" i="9"/>
  <c r="AG16" i="9"/>
  <c r="AF16" i="9"/>
  <c r="AE16" i="9"/>
  <c r="AC16" i="9"/>
  <c r="AB16" i="9"/>
  <c r="AA16" i="9"/>
  <c r="Z16" i="9"/>
  <c r="Y16" i="9"/>
  <c r="X16" i="9"/>
  <c r="W16" i="9"/>
  <c r="V16" i="9"/>
  <c r="U16" i="9"/>
  <c r="T16" i="9"/>
  <c r="S16" i="9"/>
  <c r="R16" i="9"/>
  <c r="P16" i="9"/>
  <c r="O16" i="9"/>
  <c r="N16" i="9"/>
  <c r="M16" i="9"/>
  <c r="L16" i="9"/>
  <c r="K16" i="9"/>
  <c r="J16" i="9"/>
  <c r="I16" i="9"/>
  <c r="H16" i="9"/>
  <c r="G16" i="9"/>
  <c r="F16" i="9"/>
  <c r="E16" i="9"/>
  <c r="AN15" i="9"/>
  <c r="AM15" i="9"/>
  <c r="AL15" i="9"/>
  <c r="AK15" i="9"/>
  <c r="AJ15" i="9"/>
  <c r="AI15" i="9"/>
  <c r="AH15" i="9"/>
  <c r="AG15" i="9"/>
  <c r="AF15" i="9"/>
  <c r="AE15" i="9"/>
  <c r="AC15" i="9"/>
  <c r="AB15" i="9"/>
  <c r="AA15" i="9"/>
  <c r="Z15" i="9"/>
  <c r="Y15" i="9"/>
  <c r="X15" i="9"/>
  <c r="W15" i="9"/>
  <c r="V15" i="9"/>
  <c r="U15" i="9"/>
  <c r="T15" i="9"/>
  <c r="S15" i="9"/>
  <c r="R15" i="9"/>
  <c r="P15" i="9"/>
  <c r="O15" i="9"/>
  <c r="N15" i="9"/>
  <c r="M15" i="9"/>
  <c r="L15" i="9"/>
  <c r="K15" i="9"/>
  <c r="J15" i="9"/>
  <c r="I15" i="9"/>
  <c r="H15" i="9"/>
  <c r="G15" i="9"/>
  <c r="F15" i="9"/>
  <c r="E15" i="9"/>
  <c r="AN14" i="9"/>
  <c r="AM14" i="9"/>
  <c r="AL14" i="9"/>
  <c r="AK14" i="9"/>
  <c r="AJ14" i="9"/>
  <c r="AI14" i="9"/>
  <c r="AH14" i="9"/>
  <c r="AG14" i="9"/>
  <c r="AF14" i="9"/>
  <c r="AE14" i="9"/>
  <c r="AC14" i="9"/>
  <c r="AB14" i="9"/>
  <c r="AA14" i="9"/>
  <c r="Z14" i="9"/>
  <c r="Y14" i="9"/>
  <c r="X14" i="9"/>
  <c r="W14" i="9"/>
  <c r="V14" i="9"/>
  <c r="U14" i="9"/>
  <c r="T14" i="9"/>
  <c r="S14" i="9"/>
  <c r="R14" i="9"/>
  <c r="P14" i="9"/>
  <c r="O14" i="9"/>
  <c r="N14" i="9"/>
  <c r="M14" i="9"/>
  <c r="L14" i="9"/>
  <c r="K14" i="9"/>
  <c r="J14" i="9"/>
  <c r="I14" i="9"/>
  <c r="H14" i="9"/>
  <c r="G14" i="9"/>
  <c r="F14" i="9"/>
  <c r="E14" i="9"/>
  <c r="AE12" i="9"/>
  <c r="Z12" i="9"/>
  <c r="Z25" i="9" s="1"/>
  <c r="Z26" i="9" s="1"/>
  <c r="X12" i="9"/>
  <c r="X25" i="9" s="1"/>
  <c r="X26" i="9" s="1"/>
  <c r="P12" i="9"/>
  <c r="P25" i="9" s="1"/>
  <c r="P26" i="9" s="1"/>
  <c r="F6" i="9"/>
  <c r="G6" i="9" s="1"/>
  <c r="H6" i="9" s="1"/>
  <c r="I6" i="9" s="1"/>
  <c r="J6" i="9" s="1"/>
  <c r="K6" i="9" s="1"/>
  <c r="L6" i="9" s="1"/>
  <c r="M6" i="9" s="1"/>
  <c r="N6" i="9" s="1"/>
  <c r="O6" i="9" s="1"/>
  <c r="P6" i="9" s="1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B34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B35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B31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B16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B15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B14" i="8"/>
  <c r="B17" i="8"/>
  <c r="A48" i="7"/>
  <c r="A47" i="7"/>
  <c r="A46" i="7"/>
  <c r="A41" i="7"/>
  <c r="A40" i="7"/>
  <c r="A36" i="7"/>
  <c r="A35" i="7"/>
  <c r="A34" i="7"/>
  <c r="A33" i="7"/>
  <c r="A32" i="7"/>
  <c r="A31" i="7"/>
  <c r="A30" i="7"/>
  <c r="A29" i="7"/>
  <c r="A28" i="7"/>
  <c r="A22" i="7"/>
  <c r="A20" i="7"/>
  <c r="A19" i="7"/>
  <c r="A18" i="7"/>
  <c r="A14" i="7"/>
  <c r="A13" i="7"/>
  <c r="A12" i="7"/>
  <c r="A11" i="7"/>
  <c r="A10" i="7"/>
  <c r="A9" i="7"/>
  <c r="A8" i="7"/>
  <c r="AE47" i="7"/>
  <c r="AF47" i="7" s="1"/>
  <c r="AG47" i="7" s="1"/>
  <c r="AH47" i="7" s="1"/>
  <c r="AI47" i="7" s="1"/>
  <c r="AJ47" i="7" s="1"/>
  <c r="AK47" i="7" s="1"/>
  <c r="AL47" i="7" s="1"/>
  <c r="AD47" i="7"/>
  <c r="AE48" i="7"/>
  <c r="AF48" i="7" s="1"/>
  <c r="AG48" i="7" s="1"/>
  <c r="AH48" i="7" s="1"/>
  <c r="AI48" i="7" s="1"/>
  <c r="AJ48" i="7" s="1"/>
  <c r="AK48" i="7" s="1"/>
  <c r="AL48" i="7" s="1"/>
  <c r="AD48" i="7"/>
  <c r="AC48" i="7"/>
  <c r="AC47" i="7"/>
  <c r="AB47" i="7"/>
  <c r="P47" i="7"/>
  <c r="Q47" i="7" s="1"/>
  <c r="R47" i="7" s="1"/>
  <c r="S47" i="7" s="1"/>
  <c r="T47" i="7" s="1"/>
  <c r="U47" i="7" s="1"/>
  <c r="V47" i="7" s="1"/>
  <c r="W47" i="7" s="1"/>
  <c r="X47" i="7" s="1"/>
  <c r="Y47" i="7" s="1"/>
  <c r="Z47" i="7" s="1"/>
  <c r="AA47" i="7" s="1"/>
  <c r="S48" i="7"/>
  <c r="T48" i="7" s="1"/>
  <c r="U48" i="7" s="1"/>
  <c r="V48" i="7" s="1"/>
  <c r="W48" i="7" s="1"/>
  <c r="X48" i="7" s="1"/>
  <c r="Y48" i="7" s="1"/>
  <c r="Z48" i="7" s="1"/>
  <c r="AA48" i="7" s="1"/>
  <c r="AB48" i="7" s="1"/>
  <c r="R48" i="7"/>
  <c r="Q48" i="7"/>
  <c r="P48" i="7"/>
  <c r="O48" i="7"/>
  <c r="N48" i="7"/>
  <c r="M48" i="7"/>
  <c r="L48" i="7"/>
  <c r="K48" i="7"/>
  <c r="J48" i="7"/>
  <c r="I48" i="7"/>
  <c r="H48" i="7"/>
  <c r="G52" i="7"/>
  <c r="G47" i="7"/>
  <c r="H47" i="7" s="1"/>
  <c r="I47" i="7" s="1"/>
  <c r="J47" i="7" s="1"/>
  <c r="K47" i="7" s="1"/>
  <c r="L47" i="7" s="1"/>
  <c r="M47" i="7" s="1"/>
  <c r="N47" i="7" s="1"/>
  <c r="O47" i="7" s="1"/>
  <c r="G48" i="7"/>
  <c r="F47" i="7"/>
  <c r="F48" i="7"/>
  <c r="E47" i="7"/>
  <c r="E48" i="7"/>
  <c r="E49" i="7"/>
  <c r="E50" i="7" s="1"/>
  <c r="E52" i="7" s="1"/>
  <c r="D49" i="7"/>
  <c r="AL42" i="7"/>
  <c r="Q37" i="7"/>
  <c r="AL37" i="7"/>
  <c r="AL43" i="7" s="1"/>
  <c r="A15" i="7"/>
  <c r="B50" i="8"/>
  <c r="B49" i="8"/>
  <c r="B43" i="8"/>
  <c r="B42" i="8"/>
  <c r="B38" i="8"/>
  <c r="B37" i="8"/>
  <c r="B36" i="8"/>
  <c r="B33" i="8"/>
  <c r="B32" i="8"/>
  <c r="B30" i="8"/>
  <c r="B23" i="8"/>
  <c r="B22" i="8"/>
  <c r="B24" i="8"/>
  <c r="B12" i="8"/>
  <c r="B11" i="8"/>
  <c r="B68" i="8"/>
  <c r="B60" i="8"/>
  <c r="B52" i="8"/>
  <c r="B44" i="8"/>
  <c r="B39" i="8"/>
  <c r="B25" i="8"/>
  <c r="B18" i="8"/>
  <c r="F6" i="8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50" i="7"/>
  <c r="A49" i="7"/>
  <c r="A45" i="7"/>
  <c r="A44" i="7"/>
  <c r="A43" i="7"/>
  <c r="A42" i="7"/>
  <c r="A39" i="7"/>
  <c r="A38" i="7"/>
  <c r="A37" i="7"/>
  <c r="A27" i="7"/>
  <c r="A26" i="7"/>
  <c r="A25" i="7"/>
  <c r="A24" i="7"/>
  <c r="A23" i="7"/>
  <c r="A21" i="7"/>
  <c r="A17" i="7"/>
  <c r="A16" i="7"/>
  <c r="A7" i="7"/>
  <c r="A6" i="7"/>
  <c r="AN104" i="4"/>
  <c r="AM104" i="4"/>
  <c r="AL104" i="4"/>
  <c r="AK104" i="4"/>
  <c r="AJ104" i="4"/>
  <c r="AI104" i="4"/>
  <c r="AH104" i="4"/>
  <c r="AG104" i="4"/>
  <c r="AF104" i="4"/>
  <c r="AE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B104" i="4"/>
  <c r="AN103" i="4"/>
  <c r="AM103" i="4"/>
  <c r="AL103" i="4"/>
  <c r="AK103" i="4"/>
  <c r="AJ103" i="4"/>
  <c r="AI103" i="4"/>
  <c r="AH103" i="4"/>
  <c r="AG103" i="4"/>
  <c r="AF103" i="4"/>
  <c r="AE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B103" i="4"/>
  <c r="AN102" i="4"/>
  <c r="AM102" i="4"/>
  <c r="AL102" i="4"/>
  <c r="AL113" i="4" s="1"/>
  <c r="AL12" i="9" s="1"/>
  <c r="AL25" i="9" s="1"/>
  <c r="AL26" i="9" s="1"/>
  <c r="AK102" i="4"/>
  <c r="AK113" i="4" s="1"/>
  <c r="AK12" i="9" s="1"/>
  <c r="AK25" i="9" s="1"/>
  <c r="AK26" i="9" s="1"/>
  <c r="AJ102" i="4"/>
  <c r="AJ113" i="4" s="1"/>
  <c r="AJ12" i="9" s="1"/>
  <c r="AJ25" i="9" s="1"/>
  <c r="AJ26" i="9" s="1"/>
  <c r="AI102" i="4"/>
  <c r="AI113" i="4" s="1"/>
  <c r="AI12" i="9" s="1"/>
  <c r="AI25" i="9" s="1"/>
  <c r="AI26" i="9" s="1"/>
  <c r="AH102" i="4"/>
  <c r="AG102" i="4"/>
  <c r="AG113" i="4" s="1"/>
  <c r="AG12" i="9" s="1"/>
  <c r="AG25" i="9" s="1"/>
  <c r="AG26" i="9" s="1"/>
  <c r="AF102" i="4"/>
  <c r="AF113" i="4" s="1"/>
  <c r="AF12" i="9" s="1"/>
  <c r="AF25" i="9" s="1"/>
  <c r="AF26" i="9" s="1"/>
  <c r="AE102" i="4"/>
  <c r="AE113" i="4" s="1"/>
  <c r="AC102" i="4"/>
  <c r="AC113" i="4" s="1"/>
  <c r="AC12" i="9" s="1"/>
  <c r="AC25" i="9" s="1"/>
  <c r="AC26" i="9" s="1"/>
  <c r="AB102" i="4"/>
  <c r="AB113" i="4" s="1"/>
  <c r="AB12" i="9" s="1"/>
  <c r="AB25" i="9" s="1"/>
  <c r="AB26" i="9" s="1"/>
  <c r="AA102" i="4"/>
  <c r="AA113" i="4" s="1"/>
  <c r="AA12" i="9" s="1"/>
  <c r="AA25" i="9" s="1"/>
  <c r="AA26" i="9" s="1"/>
  <c r="Z102" i="4"/>
  <c r="Z113" i="4" s="1"/>
  <c r="Y102" i="4"/>
  <c r="Y113" i="4" s="1"/>
  <c r="Y12" i="9" s="1"/>
  <c r="Y25" i="9" s="1"/>
  <c r="Y26" i="9" s="1"/>
  <c r="X102" i="4"/>
  <c r="X113" i="4" s="1"/>
  <c r="W102" i="4"/>
  <c r="W113" i="4" s="1"/>
  <c r="W12" i="9" s="1"/>
  <c r="W25" i="9" s="1"/>
  <c r="W26" i="9" s="1"/>
  <c r="V102" i="4"/>
  <c r="V113" i="4" s="1"/>
  <c r="V12" i="9" s="1"/>
  <c r="V25" i="9" s="1"/>
  <c r="V26" i="9" s="1"/>
  <c r="U102" i="4"/>
  <c r="U113" i="4" s="1"/>
  <c r="U12" i="9" s="1"/>
  <c r="U25" i="9" s="1"/>
  <c r="U26" i="9" s="1"/>
  <c r="T102" i="4"/>
  <c r="T113" i="4" s="1"/>
  <c r="T12" i="9" s="1"/>
  <c r="T25" i="9" s="1"/>
  <c r="T26" i="9" s="1"/>
  <c r="S102" i="4"/>
  <c r="S113" i="4" s="1"/>
  <c r="S12" i="9" s="1"/>
  <c r="S25" i="9" s="1"/>
  <c r="S26" i="9" s="1"/>
  <c r="R102" i="4"/>
  <c r="R113" i="4" s="1"/>
  <c r="R12" i="9" s="1"/>
  <c r="R25" i="9" s="1"/>
  <c r="R26" i="9" s="1"/>
  <c r="P102" i="4"/>
  <c r="P113" i="4" s="1"/>
  <c r="O102" i="4"/>
  <c r="O113" i="4" s="1"/>
  <c r="O12" i="9" s="1"/>
  <c r="O25" i="9" s="1"/>
  <c r="O26" i="9" s="1"/>
  <c r="N102" i="4"/>
  <c r="M102" i="4"/>
  <c r="M113" i="4" s="1"/>
  <c r="M12" i="9" s="1"/>
  <c r="M25" i="9" s="1"/>
  <c r="M26" i="9" s="1"/>
  <c r="L102" i="4"/>
  <c r="L113" i="4" s="1"/>
  <c r="L12" i="9" s="1"/>
  <c r="L25" i="9" s="1"/>
  <c r="L26" i="9" s="1"/>
  <c r="K102" i="4"/>
  <c r="K113" i="4" s="1"/>
  <c r="K12" i="9" s="1"/>
  <c r="K25" i="9" s="1"/>
  <c r="K26" i="9" s="1"/>
  <c r="J102" i="4"/>
  <c r="J113" i="4" s="1"/>
  <c r="J12" i="9" s="1"/>
  <c r="J25" i="9" s="1"/>
  <c r="J26" i="9" s="1"/>
  <c r="I102" i="4"/>
  <c r="I113" i="4" s="1"/>
  <c r="I12" i="9" s="1"/>
  <c r="I25" i="9" s="1"/>
  <c r="I26" i="9" s="1"/>
  <c r="H102" i="4"/>
  <c r="H113" i="4" s="1"/>
  <c r="H12" i="9" s="1"/>
  <c r="H25" i="9" s="1"/>
  <c r="H26" i="9" s="1"/>
  <c r="G102" i="4"/>
  <c r="G113" i="4" s="1"/>
  <c r="G12" i="9" s="1"/>
  <c r="G25" i="9" s="1"/>
  <c r="G26" i="9" s="1"/>
  <c r="F102" i="4"/>
  <c r="E102" i="4"/>
  <c r="E113" i="4" s="1"/>
  <c r="E12" i="9" s="1"/>
  <c r="E25" i="9" s="1"/>
  <c r="E26" i="9" s="1"/>
  <c r="B102" i="4"/>
  <c r="AN88" i="4"/>
  <c r="AM88" i="4"/>
  <c r="AL88" i="4"/>
  <c r="AK88" i="4"/>
  <c r="AJ88" i="4"/>
  <c r="AI88" i="4"/>
  <c r="AH88" i="4"/>
  <c r="AG88" i="4"/>
  <c r="AF88" i="4"/>
  <c r="AE88" i="4"/>
  <c r="AC88" i="4"/>
  <c r="AB88" i="4"/>
  <c r="AA88" i="4"/>
  <c r="Z88" i="4"/>
  <c r="Y88" i="4"/>
  <c r="X88" i="4"/>
  <c r="W88" i="4"/>
  <c r="V88" i="4"/>
  <c r="U88" i="4"/>
  <c r="T88" i="4"/>
  <c r="S88" i="4"/>
  <c r="R88" i="4"/>
  <c r="P88" i="4"/>
  <c r="O88" i="4"/>
  <c r="N88" i="4"/>
  <c r="M88" i="4"/>
  <c r="L88" i="4"/>
  <c r="K88" i="4"/>
  <c r="J88" i="4"/>
  <c r="I88" i="4"/>
  <c r="H88" i="4"/>
  <c r="G88" i="4"/>
  <c r="F88" i="4"/>
  <c r="E88" i="4"/>
  <c r="B88" i="4"/>
  <c r="B93" i="4"/>
  <c r="AN92" i="4"/>
  <c r="AM92" i="4"/>
  <c r="AL92" i="4"/>
  <c r="AK92" i="4"/>
  <c r="AJ92" i="4"/>
  <c r="AI92" i="4"/>
  <c r="AH92" i="4"/>
  <c r="AG92" i="4"/>
  <c r="AF92" i="4"/>
  <c r="AE92" i="4"/>
  <c r="AC92" i="4"/>
  <c r="AB92" i="4"/>
  <c r="AA92" i="4"/>
  <c r="Z92" i="4"/>
  <c r="Y92" i="4"/>
  <c r="X92" i="4"/>
  <c r="W92" i="4"/>
  <c r="V92" i="4"/>
  <c r="U92" i="4"/>
  <c r="T92" i="4"/>
  <c r="S92" i="4"/>
  <c r="R92" i="4"/>
  <c r="P92" i="4"/>
  <c r="O92" i="4"/>
  <c r="N92" i="4"/>
  <c r="M92" i="4"/>
  <c r="L92" i="4"/>
  <c r="K92" i="4"/>
  <c r="J92" i="4"/>
  <c r="I92" i="4"/>
  <c r="H92" i="4"/>
  <c r="G92" i="4"/>
  <c r="F92" i="4"/>
  <c r="E92" i="4"/>
  <c r="B92" i="4"/>
  <c r="AN91" i="4"/>
  <c r="AM91" i="4"/>
  <c r="AL91" i="4"/>
  <c r="AK91" i="4"/>
  <c r="AJ91" i="4"/>
  <c r="AI91" i="4"/>
  <c r="AH91" i="4"/>
  <c r="AG91" i="4"/>
  <c r="AF91" i="4"/>
  <c r="AE91" i="4"/>
  <c r="AC91" i="4"/>
  <c r="AB91" i="4"/>
  <c r="AA91" i="4"/>
  <c r="Z91" i="4"/>
  <c r="Y91" i="4"/>
  <c r="X91" i="4"/>
  <c r="W91" i="4"/>
  <c r="V91" i="4"/>
  <c r="U91" i="4"/>
  <c r="T91" i="4"/>
  <c r="S91" i="4"/>
  <c r="R91" i="4"/>
  <c r="P91" i="4"/>
  <c r="O91" i="4"/>
  <c r="N91" i="4"/>
  <c r="M91" i="4"/>
  <c r="L91" i="4"/>
  <c r="K91" i="4"/>
  <c r="J91" i="4"/>
  <c r="I91" i="4"/>
  <c r="H91" i="4"/>
  <c r="G91" i="4"/>
  <c r="F91" i="4"/>
  <c r="E91" i="4"/>
  <c r="B91" i="4"/>
  <c r="AN90" i="4"/>
  <c r="AM90" i="4"/>
  <c r="AL90" i="4"/>
  <c r="AK90" i="4"/>
  <c r="AJ90" i="4"/>
  <c r="AI90" i="4"/>
  <c r="AH90" i="4"/>
  <c r="AG90" i="4"/>
  <c r="AF90" i="4"/>
  <c r="AE90" i="4"/>
  <c r="AC90" i="4"/>
  <c r="AB90" i="4"/>
  <c r="AA90" i="4"/>
  <c r="Z90" i="4"/>
  <c r="Y90" i="4"/>
  <c r="X90" i="4"/>
  <c r="W90" i="4"/>
  <c r="V90" i="4"/>
  <c r="U90" i="4"/>
  <c r="T90" i="4"/>
  <c r="S90" i="4"/>
  <c r="R90" i="4"/>
  <c r="P90" i="4"/>
  <c r="O90" i="4"/>
  <c r="N90" i="4"/>
  <c r="M90" i="4"/>
  <c r="L90" i="4"/>
  <c r="K90" i="4"/>
  <c r="J90" i="4"/>
  <c r="I90" i="4"/>
  <c r="H90" i="4"/>
  <c r="G90" i="4"/>
  <c r="F90" i="4"/>
  <c r="E90" i="4"/>
  <c r="B90" i="4"/>
  <c r="AN89" i="4"/>
  <c r="AM89" i="4"/>
  <c r="AL89" i="4"/>
  <c r="AK89" i="4"/>
  <c r="AJ89" i="4"/>
  <c r="AI89" i="4"/>
  <c r="AH89" i="4"/>
  <c r="AG89" i="4"/>
  <c r="AF89" i="4"/>
  <c r="AE89" i="4"/>
  <c r="AC89" i="4"/>
  <c r="AB89" i="4"/>
  <c r="AA89" i="4"/>
  <c r="Z89" i="4"/>
  <c r="Y89" i="4"/>
  <c r="X89" i="4"/>
  <c r="W89" i="4"/>
  <c r="V89" i="4"/>
  <c r="U89" i="4"/>
  <c r="T89" i="4"/>
  <c r="S89" i="4"/>
  <c r="R89" i="4"/>
  <c r="P89" i="4"/>
  <c r="O89" i="4"/>
  <c r="N89" i="4"/>
  <c r="M89" i="4"/>
  <c r="L89" i="4"/>
  <c r="K89" i="4"/>
  <c r="J89" i="4"/>
  <c r="I89" i="4"/>
  <c r="H89" i="4"/>
  <c r="G89" i="4"/>
  <c r="F89" i="4"/>
  <c r="E89" i="4"/>
  <c r="B89" i="4"/>
  <c r="AN87" i="4"/>
  <c r="AM87" i="4"/>
  <c r="AL87" i="4"/>
  <c r="AK87" i="4"/>
  <c r="AJ87" i="4"/>
  <c r="AI87" i="4"/>
  <c r="AH87" i="4"/>
  <c r="AG87" i="4"/>
  <c r="AF87" i="4"/>
  <c r="AE87" i="4"/>
  <c r="AC87" i="4"/>
  <c r="AB87" i="4"/>
  <c r="AA87" i="4"/>
  <c r="Z87" i="4"/>
  <c r="Y87" i="4"/>
  <c r="X87" i="4"/>
  <c r="W87" i="4"/>
  <c r="V87" i="4"/>
  <c r="U87" i="4"/>
  <c r="T87" i="4"/>
  <c r="S87" i="4"/>
  <c r="R87" i="4"/>
  <c r="P87" i="4"/>
  <c r="O87" i="4"/>
  <c r="N87" i="4"/>
  <c r="M87" i="4"/>
  <c r="L87" i="4"/>
  <c r="K87" i="4"/>
  <c r="J87" i="4"/>
  <c r="I87" i="4"/>
  <c r="H87" i="4"/>
  <c r="G87" i="4"/>
  <c r="F87" i="4"/>
  <c r="E87" i="4"/>
  <c r="B87" i="4"/>
  <c r="AN86" i="4"/>
  <c r="AM86" i="4"/>
  <c r="AL86" i="4"/>
  <c r="AK86" i="4"/>
  <c r="AJ86" i="4"/>
  <c r="AI86" i="4"/>
  <c r="AH86" i="4"/>
  <c r="AG86" i="4"/>
  <c r="AF86" i="4"/>
  <c r="AE86" i="4"/>
  <c r="AC86" i="4"/>
  <c r="AB86" i="4"/>
  <c r="AA86" i="4"/>
  <c r="Z86" i="4"/>
  <c r="Y86" i="4"/>
  <c r="X86" i="4"/>
  <c r="W86" i="4"/>
  <c r="V86" i="4"/>
  <c r="U86" i="4"/>
  <c r="T86" i="4"/>
  <c r="S86" i="4"/>
  <c r="R86" i="4"/>
  <c r="P86" i="4"/>
  <c r="O86" i="4"/>
  <c r="N86" i="4"/>
  <c r="M86" i="4"/>
  <c r="L86" i="4"/>
  <c r="K86" i="4"/>
  <c r="J86" i="4"/>
  <c r="I86" i="4"/>
  <c r="H86" i="4"/>
  <c r="G86" i="4"/>
  <c r="F86" i="4"/>
  <c r="E86" i="4"/>
  <c r="B86" i="4"/>
  <c r="AN85" i="4"/>
  <c r="AM85" i="4"/>
  <c r="AL85" i="4"/>
  <c r="AK85" i="4"/>
  <c r="AJ85" i="4"/>
  <c r="AI85" i="4"/>
  <c r="AH85" i="4"/>
  <c r="AG85" i="4"/>
  <c r="AF85" i="4"/>
  <c r="AE85" i="4"/>
  <c r="AC85" i="4"/>
  <c r="AB85" i="4"/>
  <c r="AA85" i="4"/>
  <c r="Z85" i="4"/>
  <c r="Y85" i="4"/>
  <c r="X85" i="4"/>
  <c r="W85" i="4"/>
  <c r="V85" i="4"/>
  <c r="U85" i="4"/>
  <c r="T85" i="4"/>
  <c r="S85" i="4"/>
  <c r="R85" i="4"/>
  <c r="P85" i="4"/>
  <c r="O85" i="4"/>
  <c r="N85" i="4"/>
  <c r="M85" i="4"/>
  <c r="L85" i="4"/>
  <c r="K85" i="4"/>
  <c r="J85" i="4"/>
  <c r="I85" i="4"/>
  <c r="H85" i="4"/>
  <c r="G85" i="4"/>
  <c r="F85" i="4"/>
  <c r="E85" i="4"/>
  <c r="B85" i="4"/>
  <c r="B82" i="4"/>
  <c r="AN81" i="4"/>
  <c r="AM81" i="4"/>
  <c r="AL81" i="4"/>
  <c r="AK81" i="4"/>
  <c r="AJ81" i="4"/>
  <c r="AI81" i="4"/>
  <c r="AH81" i="4"/>
  <c r="AG81" i="4"/>
  <c r="AF81" i="4"/>
  <c r="AE81" i="4"/>
  <c r="AC81" i="4"/>
  <c r="AB81" i="4"/>
  <c r="AA81" i="4"/>
  <c r="Z81" i="4"/>
  <c r="Y81" i="4"/>
  <c r="X81" i="4"/>
  <c r="W81" i="4"/>
  <c r="V81" i="4"/>
  <c r="U81" i="4"/>
  <c r="T81" i="4"/>
  <c r="S81" i="4"/>
  <c r="R81" i="4"/>
  <c r="R82" i="4" s="1"/>
  <c r="P81" i="4"/>
  <c r="O81" i="4"/>
  <c r="N81" i="4"/>
  <c r="M81" i="4"/>
  <c r="L81" i="4"/>
  <c r="K81" i="4"/>
  <c r="J81" i="4"/>
  <c r="I81" i="4"/>
  <c r="H81" i="4"/>
  <c r="G81" i="4"/>
  <c r="F81" i="4"/>
  <c r="E81" i="4"/>
  <c r="B81" i="4"/>
  <c r="AN80" i="4"/>
  <c r="AM80" i="4"/>
  <c r="AL80" i="4"/>
  <c r="AK80" i="4"/>
  <c r="AJ80" i="4"/>
  <c r="AI80" i="4"/>
  <c r="AH80" i="4"/>
  <c r="AG80" i="4"/>
  <c r="AG82" i="4" s="1"/>
  <c r="AF80" i="4"/>
  <c r="AE80" i="4"/>
  <c r="AC80" i="4"/>
  <c r="AB80" i="4"/>
  <c r="AA80" i="4"/>
  <c r="Z80" i="4"/>
  <c r="Y80" i="4"/>
  <c r="X80" i="4"/>
  <c r="W80" i="4"/>
  <c r="W82" i="4" s="1"/>
  <c r="V80" i="4"/>
  <c r="U80" i="4"/>
  <c r="T80" i="4"/>
  <c r="S80" i="4"/>
  <c r="R80" i="4"/>
  <c r="P80" i="4"/>
  <c r="O80" i="4"/>
  <c r="N80" i="4"/>
  <c r="M80" i="4"/>
  <c r="L80" i="4"/>
  <c r="K80" i="4"/>
  <c r="J80" i="4"/>
  <c r="I80" i="4"/>
  <c r="H80" i="4"/>
  <c r="G80" i="4"/>
  <c r="F80" i="4"/>
  <c r="E80" i="4"/>
  <c r="B80" i="4"/>
  <c r="B77" i="4"/>
  <c r="AN76" i="4"/>
  <c r="AM76" i="4"/>
  <c r="AL76" i="4"/>
  <c r="AK76" i="4"/>
  <c r="AJ76" i="4"/>
  <c r="AI76" i="4"/>
  <c r="AH76" i="4"/>
  <c r="AG76" i="4"/>
  <c r="AF76" i="4"/>
  <c r="AE76" i="4"/>
  <c r="AC76" i="4"/>
  <c r="AB76" i="4"/>
  <c r="AA76" i="4"/>
  <c r="Z76" i="4"/>
  <c r="Y76" i="4"/>
  <c r="X76" i="4"/>
  <c r="W76" i="4"/>
  <c r="V76" i="4"/>
  <c r="U76" i="4"/>
  <c r="T76" i="4"/>
  <c r="S76" i="4"/>
  <c r="R76" i="4"/>
  <c r="P76" i="4"/>
  <c r="O76" i="4"/>
  <c r="N76" i="4"/>
  <c r="M76" i="4"/>
  <c r="L76" i="4"/>
  <c r="K76" i="4"/>
  <c r="J76" i="4"/>
  <c r="I76" i="4"/>
  <c r="H76" i="4"/>
  <c r="G76" i="4"/>
  <c r="F76" i="4"/>
  <c r="E76" i="4"/>
  <c r="B76" i="4"/>
  <c r="AN75" i="4"/>
  <c r="AM75" i="4"/>
  <c r="AL75" i="4"/>
  <c r="AK75" i="4"/>
  <c r="AJ75" i="4"/>
  <c r="AI75" i="4"/>
  <c r="AH75" i="4"/>
  <c r="AG75" i="4"/>
  <c r="AF75" i="4"/>
  <c r="AE75" i="4"/>
  <c r="AC75" i="4"/>
  <c r="AB75" i="4"/>
  <c r="AA75" i="4"/>
  <c r="Z75" i="4"/>
  <c r="Y75" i="4"/>
  <c r="X75" i="4"/>
  <c r="W75" i="4"/>
  <c r="V75" i="4"/>
  <c r="U75" i="4"/>
  <c r="T75" i="4"/>
  <c r="S75" i="4"/>
  <c r="R75" i="4"/>
  <c r="P75" i="4"/>
  <c r="O75" i="4"/>
  <c r="N75" i="4"/>
  <c r="M75" i="4"/>
  <c r="L75" i="4"/>
  <c r="K75" i="4"/>
  <c r="J75" i="4"/>
  <c r="I75" i="4"/>
  <c r="H75" i="4"/>
  <c r="G75" i="4"/>
  <c r="F75" i="4"/>
  <c r="E75" i="4"/>
  <c r="B75" i="4"/>
  <c r="AN74" i="4"/>
  <c r="AM74" i="4"/>
  <c r="AL74" i="4"/>
  <c r="AK74" i="4"/>
  <c r="AJ74" i="4"/>
  <c r="AI74" i="4"/>
  <c r="AH74" i="4"/>
  <c r="AG74" i="4"/>
  <c r="AF74" i="4"/>
  <c r="AE74" i="4"/>
  <c r="AC74" i="4"/>
  <c r="AB74" i="4"/>
  <c r="AA74" i="4"/>
  <c r="Z74" i="4"/>
  <c r="Y74" i="4"/>
  <c r="X74" i="4"/>
  <c r="W74" i="4"/>
  <c r="V74" i="4"/>
  <c r="U74" i="4"/>
  <c r="T74" i="4"/>
  <c r="S74" i="4"/>
  <c r="R74" i="4"/>
  <c r="P74" i="4"/>
  <c r="O74" i="4"/>
  <c r="N74" i="4"/>
  <c r="M74" i="4"/>
  <c r="L74" i="4"/>
  <c r="K74" i="4"/>
  <c r="J74" i="4"/>
  <c r="I74" i="4"/>
  <c r="H74" i="4"/>
  <c r="G74" i="4"/>
  <c r="F74" i="4"/>
  <c r="E74" i="4"/>
  <c r="B74" i="4"/>
  <c r="AN73" i="4"/>
  <c r="AM73" i="4"/>
  <c r="AL73" i="4"/>
  <c r="AK73" i="4"/>
  <c r="AJ73" i="4"/>
  <c r="AI73" i="4"/>
  <c r="AH73" i="4"/>
  <c r="AG73" i="4"/>
  <c r="AF73" i="4"/>
  <c r="AE73" i="4"/>
  <c r="AC73" i="4"/>
  <c r="AB73" i="4"/>
  <c r="AA73" i="4"/>
  <c r="Z73" i="4"/>
  <c r="Y73" i="4"/>
  <c r="X73" i="4"/>
  <c r="W73" i="4"/>
  <c r="V73" i="4"/>
  <c r="U73" i="4"/>
  <c r="T73" i="4"/>
  <c r="S73" i="4"/>
  <c r="R73" i="4"/>
  <c r="P73" i="4"/>
  <c r="O73" i="4"/>
  <c r="N73" i="4"/>
  <c r="M73" i="4"/>
  <c r="L73" i="4"/>
  <c r="K73" i="4"/>
  <c r="J73" i="4"/>
  <c r="I73" i="4"/>
  <c r="H73" i="4"/>
  <c r="G73" i="4"/>
  <c r="F73" i="4"/>
  <c r="E73" i="4"/>
  <c r="B73" i="4"/>
  <c r="B70" i="4"/>
  <c r="AN68" i="4"/>
  <c r="AM68" i="4"/>
  <c r="AL68" i="4"/>
  <c r="AK68" i="4"/>
  <c r="AJ68" i="4"/>
  <c r="AI68" i="4"/>
  <c r="AH68" i="4"/>
  <c r="AG68" i="4"/>
  <c r="AF68" i="4"/>
  <c r="AE68" i="4"/>
  <c r="AC68" i="4"/>
  <c r="AB68" i="4"/>
  <c r="AA68" i="4"/>
  <c r="Z68" i="4"/>
  <c r="Y68" i="4"/>
  <c r="X68" i="4"/>
  <c r="W68" i="4"/>
  <c r="V68" i="4"/>
  <c r="U68" i="4"/>
  <c r="T68" i="4"/>
  <c r="S68" i="4"/>
  <c r="R68" i="4"/>
  <c r="P68" i="4"/>
  <c r="O68" i="4"/>
  <c r="N68" i="4"/>
  <c r="M68" i="4"/>
  <c r="L68" i="4"/>
  <c r="K68" i="4"/>
  <c r="J68" i="4"/>
  <c r="I68" i="4"/>
  <c r="H68" i="4"/>
  <c r="G68" i="4"/>
  <c r="F68" i="4"/>
  <c r="E68" i="4"/>
  <c r="B68" i="4"/>
  <c r="AN67" i="4"/>
  <c r="AM67" i="4"/>
  <c r="AL67" i="4"/>
  <c r="AK67" i="4"/>
  <c r="AJ67" i="4"/>
  <c r="AI67" i="4"/>
  <c r="AH67" i="4"/>
  <c r="AG67" i="4"/>
  <c r="AF67" i="4"/>
  <c r="AE67" i="4"/>
  <c r="AC67" i="4"/>
  <c r="AB67" i="4"/>
  <c r="AA67" i="4"/>
  <c r="Z67" i="4"/>
  <c r="Y67" i="4"/>
  <c r="X67" i="4"/>
  <c r="W67" i="4"/>
  <c r="V67" i="4"/>
  <c r="U67" i="4"/>
  <c r="T67" i="4"/>
  <c r="S67" i="4"/>
  <c r="R67" i="4"/>
  <c r="P67" i="4"/>
  <c r="O67" i="4"/>
  <c r="N67" i="4"/>
  <c r="M67" i="4"/>
  <c r="L67" i="4"/>
  <c r="K67" i="4"/>
  <c r="J67" i="4"/>
  <c r="I67" i="4"/>
  <c r="H67" i="4"/>
  <c r="G67" i="4"/>
  <c r="F67" i="4"/>
  <c r="E67" i="4"/>
  <c r="B67" i="4"/>
  <c r="AN66" i="4"/>
  <c r="AM66" i="4"/>
  <c r="AL66" i="4"/>
  <c r="AK66" i="4"/>
  <c r="AJ66" i="4"/>
  <c r="AI66" i="4"/>
  <c r="AH66" i="4"/>
  <c r="AG66" i="4"/>
  <c r="AF66" i="4"/>
  <c r="AE66" i="4"/>
  <c r="AC66" i="4"/>
  <c r="AB66" i="4"/>
  <c r="AA66" i="4"/>
  <c r="Z66" i="4"/>
  <c r="Y66" i="4"/>
  <c r="X66" i="4"/>
  <c r="W66" i="4"/>
  <c r="V66" i="4"/>
  <c r="U66" i="4"/>
  <c r="T66" i="4"/>
  <c r="S66" i="4"/>
  <c r="R66" i="4"/>
  <c r="P66" i="4"/>
  <c r="O66" i="4"/>
  <c r="N66" i="4"/>
  <c r="M66" i="4"/>
  <c r="L66" i="4"/>
  <c r="K66" i="4"/>
  <c r="J66" i="4"/>
  <c r="I66" i="4"/>
  <c r="H66" i="4"/>
  <c r="G66" i="4"/>
  <c r="F66" i="4"/>
  <c r="E66" i="4"/>
  <c r="B66" i="4"/>
  <c r="AN69" i="4"/>
  <c r="AM69" i="4"/>
  <c r="AL69" i="4"/>
  <c r="AK69" i="4"/>
  <c r="AJ69" i="4"/>
  <c r="AI69" i="4"/>
  <c r="AH69" i="4"/>
  <c r="AG69" i="4"/>
  <c r="AF69" i="4"/>
  <c r="AE69" i="4"/>
  <c r="AC69" i="4"/>
  <c r="AB69" i="4"/>
  <c r="AA69" i="4"/>
  <c r="Z69" i="4"/>
  <c r="Y69" i="4"/>
  <c r="X69" i="4"/>
  <c r="W69" i="4"/>
  <c r="V69" i="4"/>
  <c r="U69" i="4"/>
  <c r="T69" i="4"/>
  <c r="S69" i="4"/>
  <c r="R69" i="4"/>
  <c r="P69" i="4"/>
  <c r="O69" i="4"/>
  <c r="N69" i="4"/>
  <c r="M69" i="4"/>
  <c r="L69" i="4"/>
  <c r="K69" i="4"/>
  <c r="J69" i="4"/>
  <c r="I69" i="4"/>
  <c r="H69" i="4"/>
  <c r="G69" i="4"/>
  <c r="F69" i="4"/>
  <c r="E69" i="4"/>
  <c r="B69" i="4"/>
  <c r="AN65" i="4"/>
  <c r="AM65" i="4"/>
  <c r="AL65" i="4"/>
  <c r="AK65" i="4"/>
  <c r="AJ65" i="4"/>
  <c r="AI65" i="4"/>
  <c r="AH65" i="4"/>
  <c r="AG65" i="4"/>
  <c r="AF65" i="4"/>
  <c r="AE65" i="4"/>
  <c r="AC65" i="4"/>
  <c r="AB65" i="4"/>
  <c r="AA65" i="4"/>
  <c r="Z65" i="4"/>
  <c r="Y65" i="4"/>
  <c r="X65" i="4"/>
  <c r="W65" i="4"/>
  <c r="V65" i="4"/>
  <c r="U65" i="4"/>
  <c r="T65" i="4"/>
  <c r="S65" i="4"/>
  <c r="R65" i="4"/>
  <c r="P65" i="4"/>
  <c r="O65" i="4"/>
  <c r="N65" i="4"/>
  <c r="M65" i="4"/>
  <c r="L65" i="4"/>
  <c r="K65" i="4"/>
  <c r="J65" i="4"/>
  <c r="I65" i="4"/>
  <c r="H65" i="4"/>
  <c r="G65" i="4"/>
  <c r="F65" i="4"/>
  <c r="E65" i="4"/>
  <c r="B65" i="4"/>
  <c r="AN61" i="4"/>
  <c r="AM61" i="4"/>
  <c r="AL61" i="4"/>
  <c r="AK61" i="4"/>
  <c r="AJ61" i="4"/>
  <c r="AI61" i="4"/>
  <c r="AH61" i="4"/>
  <c r="AG61" i="4"/>
  <c r="AF61" i="4"/>
  <c r="AE61" i="4"/>
  <c r="AC61" i="4"/>
  <c r="AB61" i="4"/>
  <c r="AA61" i="4"/>
  <c r="Z61" i="4"/>
  <c r="Y61" i="4"/>
  <c r="X61" i="4"/>
  <c r="W61" i="4"/>
  <c r="V61" i="4"/>
  <c r="U61" i="4"/>
  <c r="T61" i="4"/>
  <c r="S61" i="4"/>
  <c r="R61" i="4"/>
  <c r="P61" i="4"/>
  <c r="O61" i="4"/>
  <c r="N61" i="4"/>
  <c r="M61" i="4"/>
  <c r="L61" i="4"/>
  <c r="K61" i="4"/>
  <c r="J61" i="4"/>
  <c r="I61" i="4"/>
  <c r="H61" i="4"/>
  <c r="G61" i="4"/>
  <c r="F61" i="4"/>
  <c r="E61" i="4"/>
  <c r="B61" i="4"/>
  <c r="AN60" i="4"/>
  <c r="AM60" i="4"/>
  <c r="AL60" i="4"/>
  <c r="AK60" i="4"/>
  <c r="AJ60" i="4"/>
  <c r="AI60" i="4"/>
  <c r="AH60" i="4"/>
  <c r="AG60" i="4"/>
  <c r="AF60" i="4"/>
  <c r="AE60" i="4"/>
  <c r="AC60" i="4"/>
  <c r="AB60" i="4"/>
  <c r="AA60" i="4"/>
  <c r="Z60" i="4"/>
  <c r="Y60" i="4"/>
  <c r="X60" i="4"/>
  <c r="W60" i="4"/>
  <c r="V60" i="4"/>
  <c r="U60" i="4"/>
  <c r="T60" i="4"/>
  <c r="S60" i="4"/>
  <c r="R60" i="4"/>
  <c r="P60" i="4"/>
  <c r="O60" i="4"/>
  <c r="N60" i="4"/>
  <c r="M60" i="4"/>
  <c r="L60" i="4"/>
  <c r="K60" i="4"/>
  <c r="J60" i="4"/>
  <c r="I60" i="4"/>
  <c r="H60" i="4"/>
  <c r="G60" i="4"/>
  <c r="F60" i="4"/>
  <c r="E60" i="4"/>
  <c r="B60" i="4"/>
  <c r="AN59" i="4"/>
  <c r="AM59" i="4"/>
  <c r="AL59" i="4"/>
  <c r="AK59" i="4"/>
  <c r="AJ59" i="4"/>
  <c r="AI59" i="4"/>
  <c r="AH59" i="4"/>
  <c r="AG59" i="4"/>
  <c r="AF59" i="4"/>
  <c r="AE59" i="4"/>
  <c r="AC59" i="4"/>
  <c r="AB59" i="4"/>
  <c r="AA59" i="4"/>
  <c r="Z59" i="4"/>
  <c r="Y59" i="4"/>
  <c r="X59" i="4"/>
  <c r="W59" i="4"/>
  <c r="V59" i="4"/>
  <c r="U59" i="4"/>
  <c r="T59" i="4"/>
  <c r="S59" i="4"/>
  <c r="R59" i="4"/>
  <c r="P59" i="4"/>
  <c r="O59" i="4"/>
  <c r="N59" i="4"/>
  <c r="M59" i="4"/>
  <c r="L59" i="4"/>
  <c r="K59" i="4"/>
  <c r="J59" i="4"/>
  <c r="I59" i="4"/>
  <c r="H59" i="4"/>
  <c r="G59" i="4"/>
  <c r="F59" i="4"/>
  <c r="E59" i="4"/>
  <c r="B59" i="4"/>
  <c r="B62" i="4"/>
  <c r="AN55" i="4"/>
  <c r="AM55" i="4"/>
  <c r="AL55" i="4"/>
  <c r="AK55" i="4"/>
  <c r="AJ55" i="4"/>
  <c r="AI55" i="4"/>
  <c r="AH55" i="4"/>
  <c r="AG55" i="4"/>
  <c r="AF55" i="4"/>
  <c r="AE55" i="4"/>
  <c r="AC55" i="4"/>
  <c r="AB55" i="4"/>
  <c r="AA55" i="4"/>
  <c r="Z55" i="4"/>
  <c r="Y55" i="4"/>
  <c r="X55" i="4"/>
  <c r="W55" i="4"/>
  <c r="V55" i="4"/>
  <c r="U55" i="4"/>
  <c r="T55" i="4"/>
  <c r="S55" i="4"/>
  <c r="R55" i="4"/>
  <c r="P55" i="4"/>
  <c r="O55" i="4"/>
  <c r="N55" i="4"/>
  <c r="M55" i="4"/>
  <c r="L55" i="4"/>
  <c r="K55" i="4"/>
  <c r="J55" i="4"/>
  <c r="I55" i="4"/>
  <c r="H55" i="4"/>
  <c r="G55" i="4"/>
  <c r="F55" i="4"/>
  <c r="E55" i="4"/>
  <c r="B55" i="4"/>
  <c r="AN54" i="4"/>
  <c r="AM54" i="4"/>
  <c r="AL54" i="4"/>
  <c r="AK54" i="4"/>
  <c r="AJ54" i="4"/>
  <c r="AI54" i="4"/>
  <c r="AH54" i="4"/>
  <c r="AG54" i="4"/>
  <c r="AF54" i="4"/>
  <c r="AE54" i="4"/>
  <c r="AC54" i="4"/>
  <c r="AB54" i="4"/>
  <c r="AA54" i="4"/>
  <c r="Z54" i="4"/>
  <c r="Y54" i="4"/>
  <c r="X54" i="4"/>
  <c r="W54" i="4"/>
  <c r="V54" i="4"/>
  <c r="U54" i="4"/>
  <c r="T54" i="4"/>
  <c r="S54" i="4"/>
  <c r="R54" i="4"/>
  <c r="P54" i="4"/>
  <c r="O54" i="4"/>
  <c r="N54" i="4"/>
  <c r="M54" i="4"/>
  <c r="L54" i="4"/>
  <c r="K54" i="4"/>
  <c r="J54" i="4"/>
  <c r="I54" i="4"/>
  <c r="H54" i="4"/>
  <c r="G54" i="4"/>
  <c r="F54" i="4"/>
  <c r="E54" i="4"/>
  <c r="B54" i="4"/>
  <c r="AN53" i="4"/>
  <c r="AM53" i="4"/>
  <c r="AL53" i="4"/>
  <c r="AK53" i="4"/>
  <c r="AJ53" i="4"/>
  <c r="AI53" i="4"/>
  <c r="AH53" i="4"/>
  <c r="AG53" i="4"/>
  <c r="AF53" i="4"/>
  <c r="AE53" i="4"/>
  <c r="AC53" i="4"/>
  <c r="AB53" i="4"/>
  <c r="AA53" i="4"/>
  <c r="Z53" i="4"/>
  <c r="Y53" i="4"/>
  <c r="X53" i="4"/>
  <c r="W53" i="4"/>
  <c r="V53" i="4"/>
  <c r="U53" i="4"/>
  <c r="T53" i="4"/>
  <c r="S53" i="4"/>
  <c r="R53" i="4"/>
  <c r="P53" i="4"/>
  <c r="O53" i="4"/>
  <c r="N53" i="4"/>
  <c r="M53" i="4"/>
  <c r="L53" i="4"/>
  <c r="K53" i="4"/>
  <c r="J53" i="4"/>
  <c r="I53" i="4"/>
  <c r="H53" i="4"/>
  <c r="G53" i="4"/>
  <c r="F53" i="4"/>
  <c r="E53" i="4"/>
  <c r="B53" i="4"/>
  <c r="AN52" i="4"/>
  <c r="AM52" i="4"/>
  <c r="AL52" i="4"/>
  <c r="AK52" i="4"/>
  <c r="AJ52" i="4"/>
  <c r="AI52" i="4"/>
  <c r="AH52" i="4"/>
  <c r="AG52" i="4"/>
  <c r="AF52" i="4"/>
  <c r="AE52" i="4"/>
  <c r="AC52" i="4"/>
  <c r="AB52" i="4"/>
  <c r="AA52" i="4"/>
  <c r="Z52" i="4"/>
  <c r="Y52" i="4"/>
  <c r="X52" i="4"/>
  <c r="W52" i="4"/>
  <c r="V52" i="4"/>
  <c r="U52" i="4"/>
  <c r="T52" i="4"/>
  <c r="S52" i="4"/>
  <c r="R52" i="4"/>
  <c r="P52" i="4"/>
  <c r="O52" i="4"/>
  <c r="N52" i="4"/>
  <c r="M52" i="4"/>
  <c r="L52" i="4"/>
  <c r="K52" i="4"/>
  <c r="J52" i="4"/>
  <c r="I52" i="4"/>
  <c r="H52" i="4"/>
  <c r="G52" i="4"/>
  <c r="F52" i="4"/>
  <c r="E52" i="4"/>
  <c r="B52" i="4"/>
  <c r="AN51" i="4"/>
  <c r="AM51" i="4"/>
  <c r="AL51" i="4"/>
  <c r="AK51" i="4"/>
  <c r="AJ51" i="4"/>
  <c r="AI51" i="4"/>
  <c r="AH51" i="4"/>
  <c r="AG51" i="4"/>
  <c r="AF51" i="4"/>
  <c r="AE51" i="4"/>
  <c r="AC51" i="4"/>
  <c r="AB51" i="4"/>
  <c r="AA51" i="4"/>
  <c r="Z51" i="4"/>
  <c r="Y51" i="4"/>
  <c r="X51" i="4"/>
  <c r="W51" i="4"/>
  <c r="V51" i="4"/>
  <c r="U51" i="4"/>
  <c r="T51" i="4"/>
  <c r="S51" i="4"/>
  <c r="R51" i="4"/>
  <c r="P51" i="4"/>
  <c r="O51" i="4"/>
  <c r="N51" i="4"/>
  <c r="M51" i="4"/>
  <c r="L51" i="4"/>
  <c r="K51" i="4"/>
  <c r="J51" i="4"/>
  <c r="I51" i="4"/>
  <c r="H51" i="4"/>
  <c r="G51" i="4"/>
  <c r="F51" i="4"/>
  <c r="E51" i="4"/>
  <c r="B51" i="4"/>
  <c r="AN50" i="4"/>
  <c r="AM50" i="4"/>
  <c r="AL50" i="4"/>
  <c r="AK50" i="4"/>
  <c r="AJ50" i="4"/>
  <c r="AI50" i="4"/>
  <c r="AH50" i="4"/>
  <c r="AG50" i="4"/>
  <c r="AF50" i="4"/>
  <c r="AE50" i="4"/>
  <c r="AC50" i="4"/>
  <c r="AB50" i="4"/>
  <c r="AA50" i="4"/>
  <c r="Z50" i="4"/>
  <c r="Y50" i="4"/>
  <c r="X50" i="4"/>
  <c r="W50" i="4"/>
  <c r="V50" i="4"/>
  <c r="U50" i="4"/>
  <c r="T50" i="4"/>
  <c r="S50" i="4"/>
  <c r="R50" i="4"/>
  <c r="P50" i="4"/>
  <c r="O50" i="4"/>
  <c r="N50" i="4"/>
  <c r="M50" i="4"/>
  <c r="L50" i="4"/>
  <c r="K50" i="4"/>
  <c r="J50" i="4"/>
  <c r="I50" i="4"/>
  <c r="H50" i="4"/>
  <c r="G50" i="4"/>
  <c r="F50" i="4"/>
  <c r="E50" i="4"/>
  <c r="B50" i="4"/>
  <c r="AN49" i="4"/>
  <c r="AM49" i="4"/>
  <c r="AL49" i="4"/>
  <c r="AK49" i="4"/>
  <c r="AJ49" i="4"/>
  <c r="AI49" i="4"/>
  <c r="AH49" i="4"/>
  <c r="AG49" i="4"/>
  <c r="AF49" i="4"/>
  <c r="AE49" i="4"/>
  <c r="AC49" i="4"/>
  <c r="AB49" i="4"/>
  <c r="AA49" i="4"/>
  <c r="Z49" i="4"/>
  <c r="Y49" i="4"/>
  <c r="X49" i="4"/>
  <c r="W49" i="4"/>
  <c r="V49" i="4"/>
  <c r="U49" i="4"/>
  <c r="T49" i="4"/>
  <c r="S49" i="4"/>
  <c r="R49" i="4"/>
  <c r="P49" i="4"/>
  <c r="O49" i="4"/>
  <c r="N49" i="4"/>
  <c r="M49" i="4"/>
  <c r="L49" i="4"/>
  <c r="K49" i="4"/>
  <c r="J49" i="4"/>
  <c r="I49" i="4"/>
  <c r="H49" i="4"/>
  <c r="G49" i="4"/>
  <c r="F49" i="4"/>
  <c r="E49" i="4"/>
  <c r="B49" i="4"/>
  <c r="B56" i="4"/>
  <c r="AN39" i="4"/>
  <c r="AM39" i="4"/>
  <c r="AL39" i="4"/>
  <c r="AK39" i="4"/>
  <c r="AJ39" i="4"/>
  <c r="AI39" i="4"/>
  <c r="AH39" i="4"/>
  <c r="AG39" i="4"/>
  <c r="AF39" i="4"/>
  <c r="AE39" i="4"/>
  <c r="AC39" i="4"/>
  <c r="AB39" i="4"/>
  <c r="AA39" i="4"/>
  <c r="Z39" i="4"/>
  <c r="Y39" i="4"/>
  <c r="X39" i="4"/>
  <c r="W39" i="4"/>
  <c r="V39" i="4"/>
  <c r="U39" i="4"/>
  <c r="T39" i="4"/>
  <c r="S39" i="4"/>
  <c r="R39" i="4"/>
  <c r="P39" i="4"/>
  <c r="O39" i="4"/>
  <c r="N39" i="4"/>
  <c r="M39" i="4"/>
  <c r="L39" i="4"/>
  <c r="K39" i="4"/>
  <c r="J39" i="4"/>
  <c r="I39" i="4"/>
  <c r="H39" i="4"/>
  <c r="G39" i="4"/>
  <c r="F39" i="4"/>
  <c r="E39" i="4"/>
  <c r="B39" i="4"/>
  <c r="AN37" i="4"/>
  <c r="AM37" i="4"/>
  <c r="AL37" i="4"/>
  <c r="AK37" i="4"/>
  <c r="AJ37" i="4"/>
  <c r="AI37" i="4"/>
  <c r="AH37" i="4"/>
  <c r="AG37" i="4"/>
  <c r="AF37" i="4"/>
  <c r="AE37" i="4"/>
  <c r="AC37" i="4"/>
  <c r="AB37" i="4"/>
  <c r="AA37" i="4"/>
  <c r="Z37" i="4"/>
  <c r="Y37" i="4"/>
  <c r="X37" i="4"/>
  <c r="W37" i="4"/>
  <c r="V37" i="4"/>
  <c r="U37" i="4"/>
  <c r="T37" i="4"/>
  <c r="S37" i="4"/>
  <c r="R37" i="4"/>
  <c r="P37" i="4"/>
  <c r="O37" i="4"/>
  <c r="N37" i="4"/>
  <c r="M37" i="4"/>
  <c r="L37" i="4"/>
  <c r="K37" i="4"/>
  <c r="J37" i="4"/>
  <c r="I37" i="4"/>
  <c r="H37" i="4"/>
  <c r="G37" i="4"/>
  <c r="F37" i="4"/>
  <c r="E37" i="4"/>
  <c r="B37" i="4"/>
  <c r="AN29" i="4"/>
  <c r="AM29" i="4"/>
  <c r="AL29" i="4"/>
  <c r="AK29" i="4"/>
  <c r="AJ29" i="4"/>
  <c r="AI29" i="4"/>
  <c r="AH29" i="4"/>
  <c r="AG29" i="4"/>
  <c r="AF29" i="4"/>
  <c r="AE29" i="4"/>
  <c r="AC29" i="4"/>
  <c r="AB29" i="4"/>
  <c r="AA29" i="4"/>
  <c r="Z29" i="4"/>
  <c r="Y29" i="4"/>
  <c r="X29" i="4"/>
  <c r="W29" i="4"/>
  <c r="V29" i="4"/>
  <c r="U29" i="4"/>
  <c r="T29" i="4"/>
  <c r="S29" i="4"/>
  <c r="R29" i="4"/>
  <c r="P29" i="4"/>
  <c r="O29" i="4"/>
  <c r="N29" i="4"/>
  <c r="M29" i="4"/>
  <c r="L29" i="4"/>
  <c r="K29" i="4"/>
  <c r="J29" i="4"/>
  <c r="I29" i="4"/>
  <c r="H29" i="4"/>
  <c r="G29" i="4"/>
  <c r="F29" i="4"/>
  <c r="E29" i="4"/>
  <c r="B29" i="4"/>
  <c r="AN28" i="4"/>
  <c r="AM28" i="4"/>
  <c r="AL28" i="4"/>
  <c r="AK28" i="4"/>
  <c r="AJ28" i="4"/>
  <c r="AI28" i="4"/>
  <c r="AH28" i="4"/>
  <c r="AG28" i="4"/>
  <c r="AF28" i="4"/>
  <c r="AE28" i="4"/>
  <c r="AC28" i="4"/>
  <c r="AB28" i="4"/>
  <c r="AA28" i="4"/>
  <c r="Z28" i="4"/>
  <c r="Y28" i="4"/>
  <c r="X28" i="4"/>
  <c r="W28" i="4"/>
  <c r="V28" i="4"/>
  <c r="U28" i="4"/>
  <c r="T28" i="4"/>
  <c r="S28" i="4"/>
  <c r="R28" i="4"/>
  <c r="P28" i="4"/>
  <c r="O28" i="4"/>
  <c r="N28" i="4"/>
  <c r="M28" i="4"/>
  <c r="L28" i="4"/>
  <c r="K28" i="4"/>
  <c r="J28" i="4"/>
  <c r="I28" i="4"/>
  <c r="H28" i="4"/>
  <c r="G28" i="4"/>
  <c r="F28" i="4"/>
  <c r="E28" i="4"/>
  <c r="B28" i="4"/>
  <c r="AN27" i="4"/>
  <c r="AM27" i="4"/>
  <c r="AL27" i="4"/>
  <c r="AK27" i="4"/>
  <c r="AJ27" i="4"/>
  <c r="AI27" i="4"/>
  <c r="AH27" i="4"/>
  <c r="AG27" i="4"/>
  <c r="AF27" i="4"/>
  <c r="AE27" i="4"/>
  <c r="AC27" i="4"/>
  <c r="AB27" i="4"/>
  <c r="AA27" i="4"/>
  <c r="Z27" i="4"/>
  <c r="Y27" i="4"/>
  <c r="X27" i="4"/>
  <c r="W27" i="4"/>
  <c r="V27" i="4"/>
  <c r="U27" i="4"/>
  <c r="T27" i="4"/>
  <c r="S27" i="4"/>
  <c r="R27" i="4"/>
  <c r="P27" i="4"/>
  <c r="O27" i="4"/>
  <c r="N27" i="4"/>
  <c r="M27" i="4"/>
  <c r="L27" i="4"/>
  <c r="K27" i="4"/>
  <c r="J27" i="4"/>
  <c r="I27" i="4"/>
  <c r="H27" i="4"/>
  <c r="G27" i="4"/>
  <c r="F27" i="4"/>
  <c r="E27" i="4"/>
  <c r="B27" i="4"/>
  <c r="AN26" i="4"/>
  <c r="AM26" i="4"/>
  <c r="AL26" i="4"/>
  <c r="AK26" i="4"/>
  <c r="AJ26" i="4"/>
  <c r="AI26" i="4"/>
  <c r="AH26" i="4"/>
  <c r="AG26" i="4"/>
  <c r="AF26" i="4"/>
  <c r="AE26" i="4"/>
  <c r="AC26" i="4"/>
  <c r="AB26" i="4"/>
  <c r="AA26" i="4"/>
  <c r="Z26" i="4"/>
  <c r="Y26" i="4"/>
  <c r="X26" i="4"/>
  <c r="W26" i="4"/>
  <c r="V26" i="4"/>
  <c r="U26" i="4"/>
  <c r="T26" i="4"/>
  <c r="S26" i="4"/>
  <c r="R26" i="4"/>
  <c r="P26" i="4"/>
  <c r="O26" i="4"/>
  <c r="N26" i="4"/>
  <c r="M26" i="4"/>
  <c r="L26" i="4"/>
  <c r="K26" i="4"/>
  <c r="J26" i="4"/>
  <c r="I26" i="4"/>
  <c r="H26" i="4"/>
  <c r="G26" i="4"/>
  <c r="F26" i="4"/>
  <c r="E26" i="4"/>
  <c r="B26" i="4"/>
  <c r="AN25" i="4"/>
  <c r="AM25" i="4"/>
  <c r="AL25" i="4"/>
  <c r="AK25" i="4"/>
  <c r="AJ25" i="4"/>
  <c r="AI25" i="4"/>
  <c r="AH25" i="4"/>
  <c r="AG25" i="4"/>
  <c r="AF25" i="4"/>
  <c r="AE25" i="4"/>
  <c r="AC25" i="4"/>
  <c r="AB25" i="4"/>
  <c r="AA25" i="4"/>
  <c r="Z25" i="4"/>
  <c r="Y25" i="4"/>
  <c r="X25" i="4"/>
  <c r="W25" i="4"/>
  <c r="V25" i="4"/>
  <c r="U25" i="4"/>
  <c r="T25" i="4"/>
  <c r="S25" i="4"/>
  <c r="R25" i="4"/>
  <c r="P25" i="4"/>
  <c r="O25" i="4"/>
  <c r="N25" i="4"/>
  <c r="M25" i="4"/>
  <c r="L25" i="4"/>
  <c r="K25" i="4"/>
  <c r="J25" i="4"/>
  <c r="I25" i="4"/>
  <c r="H25" i="4"/>
  <c r="G25" i="4"/>
  <c r="F25" i="4"/>
  <c r="E25" i="4"/>
  <c r="B25" i="4"/>
  <c r="AN24" i="4"/>
  <c r="AM24" i="4"/>
  <c r="AL24" i="4"/>
  <c r="AK24" i="4"/>
  <c r="AJ24" i="4"/>
  <c r="AI24" i="4"/>
  <c r="AH24" i="4"/>
  <c r="AG24" i="4"/>
  <c r="AF24" i="4"/>
  <c r="AE24" i="4"/>
  <c r="AC24" i="4"/>
  <c r="AB24" i="4"/>
  <c r="AA24" i="4"/>
  <c r="Z24" i="4"/>
  <c r="Y24" i="4"/>
  <c r="X24" i="4"/>
  <c r="W24" i="4"/>
  <c r="V24" i="4"/>
  <c r="U24" i="4"/>
  <c r="T24" i="4"/>
  <c r="S24" i="4"/>
  <c r="R24" i="4"/>
  <c r="P24" i="4"/>
  <c r="O24" i="4"/>
  <c r="N24" i="4"/>
  <c r="M24" i="4"/>
  <c r="L24" i="4"/>
  <c r="K24" i="4"/>
  <c r="J24" i="4"/>
  <c r="I24" i="4"/>
  <c r="H24" i="4"/>
  <c r="G24" i="4"/>
  <c r="F24" i="4"/>
  <c r="E24" i="4"/>
  <c r="B24" i="4"/>
  <c r="B30" i="4"/>
  <c r="B34" i="4"/>
  <c r="B33" i="4"/>
  <c r="AN34" i="4"/>
  <c r="AM34" i="4"/>
  <c r="AL34" i="4"/>
  <c r="AK34" i="4"/>
  <c r="AJ34" i="4"/>
  <c r="AI34" i="4"/>
  <c r="AH34" i="4"/>
  <c r="AG34" i="4"/>
  <c r="AF34" i="4"/>
  <c r="AE34" i="4"/>
  <c r="AC34" i="4"/>
  <c r="AB34" i="4"/>
  <c r="AA34" i="4"/>
  <c r="Z34" i="4"/>
  <c r="Y34" i="4"/>
  <c r="X34" i="4"/>
  <c r="W34" i="4"/>
  <c r="V34" i="4"/>
  <c r="U34" i="4"/>
  <c r="T34" i="4"/>
  <c r="S34" i="4"/>
  <c r="R34" i="4"/>
  <c r="P34" i="4"/>
  <c r="O34" i="4"/>
  <c r="N34" i="4"/>
  <c r="M34" i="4"/>
  <c r="L34" i="4"/>
  <c r="K34" i="4"/>
  <c r="J34" i="4"/>
  <c r="I34" i="4"/>
  <c r="H34" i="4"/>
  <c r="G34" i="4"/>
  <c r="F34" i="4"/>
  <c r="E34" i="4"/>
  <c r="AN33" i="4"/>
  <c r="AM33" i="4"/>
  <c r="AL33" i="4"/>
  <c r="AK33" i="4"/>
  <c r="AJ33" i="4"/>
  <c r="AI33" i="4"/>
  <c r="AH33" i="4"/>
  <c r="AG33" i="4"/>
  <c r="AF33" i="4"/>
  <c r="AE33" i="4"/>
  <c r="AC33" i="4"/>
  <c r="AB33" i="4"/>
  <c r="AA33" i="4"/>
  <c r="Z33" i="4"/>
  <c r="Y33" i="4"/>
  <c r="X33" i="4"/>
  <c r="W33" i="4"/>
  <c r="V33" i="4"/>
  <c r="U33" i="4"/>
  <c r="T33" i="4"/>
  <c r="S33" i="4"/>
  <c r="R33" i="4"/>
  <c r="P33" i="4"/>
  <c r="O33" i="4"/>
  <c r="N33" i="4"/>
  <c r="M33" i="4"/>
  <c r="L33" i="4"/>
  <c r="K33" i="4"/>
  <c r="J33" i="4"/>
  <c r="I33" i="4"/>
  <c r="H33" i="4"/>
  <c r="G33" i="4"/>
  <c r="F33" i="4"/>
  <c r="E33" i="4"/>
  <c r="B35" i="4"/>
  <c r="AN17" i="4"/>
  <c r="AM17" i="4"/>
  <c r="AL17" i="4"/>
  <c r="AK17" i="4"/>
  <c r="AJ17" i="4"/>
  <c r="AI17" i="4"/>
  <c r="AH17" i="4"/>
  <c r="AG17" i="4"/>
  <c r="AF17" i="4"/>
  <c r="AE17" i="4"/>
  <c r="AC17" i="4"/>
  <c r="AB17" i="4"/>
  <c r="AA17" i="4"/>
  <c r="Z17" i="4"/>
  <c r="Y17" i="4"/>
  <c r="X17" i="4"/>
  <c r="W17" i="4"/>
  <c r="V17" i="4"/>
  <c r="U17" i="4"/>
  <c r="T17" i="4"/>
  <c r="S17" i="4"/>
  <c r="R17" i="4"/>
  <c r="P17" i="4"/>
  <c r="O17" i="4"/>
  <c r="N17" i="4"/>
  <c r="M17" i="4"/>
  <c r="L17" i="4"/>
  <c r="K17" i="4"/>
  <c r="J17" i="4"/>
  <c r="I17" i="4"/>
  <c r="H17" i="4"/>
  <c r="G17" i="4"/>
  <c r="F17" i="4"/>
  <c r="E17" i="4"/>
  <c r="AN15" i="4"/>
  <c r="AM15" i="4"/>
  <c r="AL15" i="4"/>
  <c r="AK15" i="4"/>
  <c r="AJ15" i="4"/>
  <c r="AI15" i="4"/>
  <c r="AH15" i="4"/>
  <c r="AG15" i="4"/>
  <c r="AF15" i="4"/>
  <c r="AE15" i="4"/>
  <c r="AC15" i="4"/>
  <c r="AB15" i="4"/>
  <c r="AA15" i="4"/>
  <c r="Z15" i="4"/>
  <c r="Y15" i="4"/>
  <c r="X15" i="4"/>
  <c r="W15" i="4"/>
  <c r="V15" i="4"/>
  <c r="U15" i="4"/>
  <c r="T15" i="4"/>
  <c r="S15" i="4"/>
  <c r="R15" i="4"/>
  <c r="P15" i="4"/>
  <c r="O15" i="4"/>
  <c r="N15" i="4"/>
  <c r="M15" i="4"/>
  <c r="L15" i="4"/>
  <c r="K15" i="4"/>
  <c r="J15" i="4"/>
  <c r="I15" i="4"/>
  <c r="I109" i="11" s="1"/>
  <c r="H15" i="4"/>
  <c r="G15" i="4"/>
  <c r="G109" i="11" s="1"/>
  <c r="F15" i="4"/>
  <c r="F109" i="11" s="1"/>
  <c r="E15" i="4"/>
  <c r="AN13" i="4"/>
  <c r="AM13" i="4"/>
  <c r="AL13" i="4"/>
  <c r="AK13" i="4"/>
  <c r="AJ13" i="4"/>
  <c r="AI13" i="4"/>
  <c r="AH13" i="4"/>
  <c r="AG13" i="4"/>
  <c r="AF13" i="4"/>
  <c r="AE13" i="4"/>
  <c r="AC13" i="4"/>
  <c r="AB13" i="4"/>
  <c r="AA13" i="4"/>
  <c r="Z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K13" i="4"/>
  <c r="J13" i="4"/>
  <c r="I13" i="4"/>
  <c r="H13" i="4"/>
  <c r="G13" i="4"/>
  <c r="F13" i="4"/>
  <c r="E13" i="4"/>
  <c r="AN11" i="4"/>
  <c r="AM11" i="4"/>
  <c r="AL11" i="4"/>
  <c r="AK11" i="4"/>
  <c r="AJ11" i="4"/>
  <c r="AI11" i="4"/>
  <c r="AH11" i="4"/>
  <c r="AG11" i="4"/>
  <c r="AF11" i="4"/>
  <c r="AE11" i="4"/>
  <c r="AC11" i="4"/>
  <c r="AB11" i="4"/>
  <c r="AA11" i="4"/>
  <c r="Z11" i="4"/>
  <c r="Y11" i="4"/>
  <c r="X11" i="4"/>
  <c r="W11" i="4"/>
  <c r="V11" i="4"/>
  <c r="U11" i="4"/>
  <c r="T11" i="4"/>
  <c r="S11" i="4"/>
  <c r="R11" i="4"/>
  <c r="P11" i="4"/>
  <c r="O11" i="4"/>
  <c r="N11" i="4"/>
  <c r="M11" i="4"/>
  <c r="L11" i="4"/>
  <c r="K11" i="4"/>
  <c r="J11" i="4"/>
  <c r="I11" i="4"/>
  <c r="H11" i="4"/>
  <c r="G11" i="4"/>
  <c r="F11" i="4"/>
  <c r="E11" i="4"/>
  <c r="AN9" i="4"/>
  <c r="AM9" i="4"/>
  <c r="AL9" i="4"/>
  <c r="AK9" i="4"/>
  <c r="AJ9" i="4"/>
  <c r="AI9" i="4"/>
  <c r="AH9" i="4"/>
  <c r="AG9" i="4"/>
  <c r="AF9" i="4"/>
  <c r="AE9" i="4"/>
  <c r="AC9" i="4"/>
  <c r="AB9" i="4"/>
  <c r="AA9" i="4"/>
  <c r="Z9" i="4"/>
  <c r="Y9" i="4"/>
  <c r="X9" i="4"/>
  <c r="W9" i="4"/>
  <c r="V9" i="4"/>
  <c r="U9" i="4"/>
  <c r="T9" i="4"/>
  <c r="S9" i="4"/>
  <c r="R9" i="4"/>
  <c r="B17" i="4"/>
  <c r="B15" i="4"/>
  <c r="B13" i="4"/>
  <c r="B11" i="4"/>
  <c r="B9" i="4"/>
  <c r="B133" i="4"/>
  <c r="B131" i="4"/>
  <c r="AO130" i="4"/>
  <c r="AP130" i="4" s="1"/>
  <c r="AD130" i="4"/>
  <c r="Q130" i="4"/>
  <c r="B124" i="4"/>
  <c r="AN122" i="4"/>
  <c r="AM122" i="4"/>
  <c r="AL122" i="4"/>
  <c r="AK122" i="4"/>
  <c r="AJ122" i="4"/>
  <c r="AI122" i="4"/>
  <c r="AH122" i="4"/>
  <c r="AG122" i="4"/>
  <c r="AF122" i="4"/>
  <c r="AE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B122" i="4"/>
  <c r="AO121" i="4"/>
  <c r="AP121" i="4" s="1"/>
  <c r="AD121" i="4"/>
  <c r="Q121" i="4"/>
  <c r="AO120" i="4"/>
  <c r="AP120" i="4" s="1"/>
  <c r="AD120" i="4"/>
  <c r="Q120" i="4"/>
  <c r="B115" i="4"/>
  <c r="AO114" i="4"/>
  <c r="AP114" i="4" s="1"/>
  <c r="AD114" i="4"/>
  <c r="Q114" i="4"/>
  <c r="AO112" i="4"/>
  <c r="AP112" i="4" s="1"/>
  <c r="AD112" i="4"/>
  <c r="Q112" i="4"/>
  <c r="B105" i="4"/>
  <c r="B95" i="4"/>
  <c r="B41" i="4"/>
  <c r="B19" i="4"/>
  <c r="F6" i="4"/>
  <c r="G6" i="4" s="1"/>
  <c r="H6" i="4" s="1"/>
  <c r="I6" i="4" s="1"/>
  <c r="J6" i="4" s="1"/>
  <c r="K6" i="4" s="1"/>
  <c r="L6" i="4" s="1"/>
  <c r="M6" i="4" s="1"/>
  <c r="N6" i="4" s="1"/>
  <c r="O6" i="4" s="1"/>
  <c r="P6" i="4" s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M109" i="11" l="1"/>
  <c r="K109" i="11"/>
  <c r="P109" i="11"/>
  <c r="N82" i="4"/>
  <c r="L109" i="11"/>
  <c r="T109" i="11"/>
  <c r="O109" i="11"/>
  <c r="L93" i="4"/>
  <c r="U109" i="11"/>
  <c r="V109" i="11"/>
  <c r="R109" i="11"/>
  <c r="X109" i="11"/>
  <c r="S93" i="4"/>
  <c r="Y109" i="11"/>
  <c r="W109" i="11"/>
  <c r="AF105" i="4"/>
  <c r="V82" i="4"/>
  <c r="Z109" i="11"/>
  <c r="AE109" i="11"/>
  <c r="AF109" i="11"/>
  <c r="AM109" i="11"/>
  <c r="AH109" i="11"/>
  <c r="AI109" i="11"/>
  <c r="AJ109" i="11"/>
  <c r="AB109" i="11"/>
  <c r="F82" i="4"/>
  <c r="AK109" i="11"/>
  <c r="AL109" i="11"/>
  <c r="AH105" i="4"/>
  <c r="M93" i="4"/>
  <c r="AL93" i="4"/>
  <c r="AM93" i="4"/>
  <c r="Z93" i="4"/>
  <c r="T93" i="4"/>
  <c r="U93" i="4"/>
  <c r="AK93" i="4"/>
  <c r="AI93" i="4"/>
  <c r="N93" i="4"/>
  <c r="X93" i="4"/>
  <c r="O93" i="4"/>
  <c r="P93" i="4"/>
  <c r="AN93" i="4"/>
  <c r="V93" i="4"/>
  <c r="AA93" i="4"/>
  <c r="W93" i="4"/>
  <c r="Y93" i="4"/>
  <c r="E93" i="4"/>
  <c r="AB93" i="4"/>
  <c r="F93" i="4"/>
  <c r="G93" i="4"/>
  <c r="AE93" i="4"/>
  <c r="AJ93" i="4"/>
  <c r="H93" i="4"/>
  <c r="AF93" i="4"/>
  <c r="R93" i="4"/>
  <c r="I93" i="4"/>
  <c r="AG93" i="4"/>
  <c r="J93" i="4"/>
  <c r="AH93" i="4"/>
  <c r="AC93" i="4"/>
  <c r="K93" i="4"/>
  <c r="E82" i="4"/>
  <c r="AE82" i="4"/>
  <c r="AF82" i="4"/>
  <c r="AM82" i="4"/>
  <c r="M82" i="4"/>
  <c r="AN82" i="4"/>
  <c r="Z82" i="4"/>
  <c r="FX7" i="13"/>
  <c r="FY7" i="13" s="1"/>
  <c r="FZ7" i="13" s="1"/>
  <c r="GA7" i="13" s="1"/>
  <c r="GB7" i="13" s="1"/>
  <c r="GC7" i="13" s="1"/>
  <c r="GD7" i="13" s="1"/>
  <c r="GE7" i="13" s="1"/>
  <c r="GF7" i="13" s="1"/>
  <c r="GG7" i="13" s="1"/>
  <c r="GH7" i="13" s="1"/>
  <c r="GI7" i="13" s="1"/>
  <c r="X82" i="14"/>
  <c r="V35" i="14"/>
  <c r="AO91" i="14"/>
  <c r="W35" i="14"/>
  <c r="L70" i="14"/>
  <c r="AJ70" i="14"/>
  <c r="V70" i="14"/>
  <c r="AI105" i="14"/>
  <c r="Z35" i="14"/>
  <c r="AJ35" i="14"/>
  <c r="AO53" i="14"/>
  <c r="AC82" i="14"/>
  <c r="M35" i="14"/>
  <c r="L62" i="14"/>
  <c r="AJ62" i="14"/>
  <c r="N105" i="14"/>
  <c r="AD86" i="14"/>
  <c r="O105" i="14"/>
  <c r="K30" i="14"/>
  <c r="T62" i="14"/>
  <c r="AL70" i="14"/>
  <c r="AB82" i="14"/>
  <c r="AL82" i="14"/>
  <c r="AL35" i="14"/>
  <c r="AK62" i="14"/>
  <c r="H82" i="14"/>
  <c r="AE35" i="14"/>
  <c r="Q50" i="14"/>
  <c r="AM105" i="14"/>
  <c r="AH30" i="14"/>
  <c r="AH41" i="14" s="1"/>
  <c r="X35" i="14"/>
  <c r="AK70" i="14"/>
  <c r="Y35" i="14"/>
  <c r="AI35" i="14"/>
  <c r="N70" i="14"/>
  <c r="X70" i="14"/>
  <c r="N35" i="14"/>
  <c r="O35" i="14"/>
  <c r="Y30" i="14"/>
  <c r="T35" i="14"/>
  <c r="AK82" i="14"/>
  <c r="M56" i="14"/>
  <c r="I93" i="14"/>
  <c r="AO25" i="14"/>
  <c r="N62" i="14"/>
  <c r="AL62" i="14"/>
  <c r="AG93" i="14"/>
  <c r="P62" i="14"/>
  <c r="AI82" i="14"/>
  <c r="L93" i="14"/>
  <c r="AO88" i="14"/>
  <c r="AH35" i="14"/>
  <c r="L82" i="14"/>
  <c r="AJ82" i="14"/>
  <c r="P105" i="14"/>
  <c r="AN105" i="14"/>
  <c r="V41" i="14"/>
  <c r="O70" i="14"/>
  <c r="AP91" i="14"/>
  <c r="AO75" i="14"/>
  <c r="AP75" i="14" s="1"/>
  <c r="AM82" i="14"/>
  <c r="AN82" i="14"/>
  <c r="M77" i="14"/>
  <c r="L105" i="14"/>
  <c r="L30" i="14"/>
  <c r="AD104" i="14"/>
  <c r="AA30" i="14"/>
  <c r="I30" i="14"/>
  <c r="AP53" i="14"/>
  <c r="O93" i="14"/>
  <c r="AN77" i="14"/>
  <c r="P93" i="14"/>
  <c r="W70" i="14"/>
  <c r="O82" i="14"/>
  <c r="P82" i="14"/>
  <c r="P35" i="14"/>
  <c r="P41" i="14" s="1"/>
  <c r="AN35" i="14"/>
  <c r="AN41" i="14" s="1"/>
  <c r="E77" i="14"/>
  <c r="AB77" i="14"/>
  <c r="AL77" i="14"/>
  <c r="M105" i="14"/>
  <c r="Y62" i="14"/>
  <c r="Y77" i="14"/>
  <c r="T82" i="14"/>
  <c r="AE77" i="14"/>
  <c r="U82" i="14"/>
  <c r="G82" i="14"/>
  <c r="AE82" i="14"/>
  <c r="AM70" i="14"/>
  <c r="V30" i="14"/>
  <c r="O62" i="14"/>
  <c r="L35" i="14"/>
  <c r="AC93" i="14"/>
  <c r="AF56" i="14"/>
  <c r="V82" i="14"/>
  <c r="AO59" i="14"/>
  <c r="AP59" i="14" s="1"/>
  <c r="AN70" i="14"/>
  <c r="AK35" i="14"/>
  <c r="Y82" i="14"/>
  <c r="AO13" i="14"/>
  <c r="U35" i="14"/>
  <c r="W82" i="14"/>
  <c r="AK105" i="14"/>
  <c r="AF93" i="14"/>
  <c r="AD88" i="14"/>
  <c r="T30" i="14"/>
  <c r="T41" i="14" s="1"/>
  <c r="S56" i="14"/>
  <c r="AB56" i="14"/>
  <c r="AO61" i="14"/>
  <c r="AP61" i="14" s="1"/>
  <c r="I70" i="14"/>
  <c r="P77" i="14"/>
  <c r="J93" i="14"/>
  <c r="N93" i="14"/>
  <c r="W30" i="14"/>
  <c r="R30" i="14"/>
  <c r="H56" i="14"/>
  <c r="AO50" i="14"/>
  <c r="J62" i="14"/>
  <c r="P70" i="14"/>
  <c r="AD66" i="14"/>
  <c r="J77" i="14"/>
  <c r="AD75" i="14"/>
  <c r="AF82" i="14"/>
  <c r="AA93" i="14"/>
  <c r="AH105" i="14"/>
  <c r="Z93" i="14"/>
  <c r="AP13" i="14"/>
  <c r="X30" i="14"/>
  <c r="S30" i="14"/>
  <c r="W56" i="14"/>
  <c r="Q52" i="14"/>
  <c r="N56" i="14"/>
  <c r="R70" i="14"/>
  <c r="K77" i="14"/>
  <c r="AD87" i="14"/>
  <c r="V112" i="14"/>
  <c r="X56" i="14"/>
  <c r="AO55" i="14"/>
  <c r="AP55" i="14" s="1"/>
  <c r="Q69" i="14"/>
  <c r="AD74" i="14"/>
  <c r="AD76" i="14"/>
  <c r="J82" i="14"/>
  <c r="AJ105" i="14"/>
  <c r="Z30" i="14"/>
  <c r="R35" i="14"/>
  <c r="AK77" i="14"/>
  <c r="S105" i="14"/>
  <c r="Y93" i="14"/>
  <c r="AP25" i="14"/>
  <c r="Q61" i="14"/>
  <c r="U70" i="14"/>
  <c r="I77" i="14"/>
  <c r="AG77" i="14"/>
  <c r="AD29" i="14"/>
  <c r="AF35" i="14"/>
  <c r="Y56" i="14"/>
  <c r="U56" i="14"/>
  <c r="AJ56" i="14"/>
  <c r="S62" i="14"/>
  <c r="AA62" i="14"/>
  <c r="AG35" i="14"/>
  <c r="S35" i="14"/>
  <c r="V56" i="14"/>
  <c r="AD53" i="14"/>
  <c r="AD54" i="14"/>
  <c r="Q55" i="14"/>
  <c r="AB62" i="14"/>
  <c r="X77" i="14"/>
  <c r="Z82" i="14"/>
  <c r="U105" i="14"/>
  <c r="AP88" i="14"/>
  <c r="W77" i="14"/>
  <c r="J35" i="14"/>
  <c r="AA56" i="14"/>
  <c r="U62" i="14"/>
  <c r="F62" i="14"/>
  <c r="H70" i="14"/>
  <c r="AF70" i="14"/>
  <c r="O77" i="14"/>
  <c r="AM77" i="14"/>
  <c r="AA82" i="14"/>
  <c r="AD15" i="14"/>
  <c r="V62" i="14"/>
  <c r="Q92" i="14"/>
  <c r="AO24" i="14"/>
  <c r="AP24" i="14" s="1"/>
  <c r="W62" i="14"/>
  <c r="AD61" i="14"/>
  <c r="AD73" i="14"/>
  <c r="AD77" i="14" s="1"/>
  <c r="F82" i="14"/>
  <c r="K93" i="14"/>
  <c r="AF105" i="14"/>
  <c r="R105" i="14"/>
  <c r="AD37" i="14"/>
  <c r="AO104" i="14"/>
  <c r="AP104" i="14" s="1"/>
  <c r="Z56" i="14"/>
  <c r="N30" i="14"/>
  <c r="K35" i="14"/>
  <c r="Q68" i="14"/>
  <c r="X62" i="14"/>
  <c r="AD67" i="14"/>
  <c r="S77" i="14"/>
  <c r="AJ93" i="14"/>
  <c r="G93" i="14"/>
  <c r="AO90" i="14"/>
  <c r="AP90" i="14" s="1"/>
  <c r="AG105" i="14"/>
  <c r="AL105" i="14"/>
  <c r="AD55" i="14"/>
  <c r="AD81" i="14"/>
  <c r="AO81" i="14"/>
  <c r="AP81" i="14" s="1"/>
  <c r="AK93" i="14"/>
  <c r="R56" i="14"/>
  <c r="AK30" i="14"/>
  <c r="AM35" i="14"/>
  <c r="AM41" i="14" s="1"/>
  <c r="AO49" i="14"/>
  <c r="AP49" i="14" s="1"/>
  <c r="AG56" i="14"/>
  <c r="AO74" i="14"/>
  <c r="AP74" i="14" s="1"/>
  <c r="AL93" i="14"/>
  <c r="Q104" i="14"/>
  <c r="AO29" i="14"/>
  <c r="AP29" i="14" s="1"/>
  <c r="Q74" i="14"/>
  <c r="AO80" i="14"/>
  <c r="AP80" i="14" s="1"/>
  <c r="AJ30" i="14"/>
  <c r="AC70" i="14"/>
  <c r="AO89" i="14"/>
  <c r="AP89" i="14" s="1"/>
  <c r="AO68" i="14"/>
  <c r="AP68" i="14" s="1"/>
  <c r="AA77" i="14"/>
  <c r="U30" i="14"/>
  <c r="Q27" i="14"/>
  <c r="AD13" i="14"/>
  <c r="M30" i="14"/>
  <c r="M41" i="14" s="1"/>
  <c r="Q26" i="14"/>
  <c r="L56" i="14"/>
  <c r="AC62" i="14"/>
  <c r="G70" i="14"/>
  <c r="AD90" i="14"/>
  <c r="AD26" i="14"/>
  <c r="AA35" i="14"/>
  <c r="AN56" i="14"/>
  <c r="AF30" i="14"/>
  <c r="AC35" i="14"/>
  <c r="AM62" i="14"/>
  <c r="M82" i="14"/>
  <c r="S93" i="14"/>
  <c r="Q91" i="14"/>
  <c r="Q9" i="14"/>
  <c r="J30" i="14"/>
  <c r="AG30" i="14"/>
  <c r="AG41" i="14" s="1"/>
  <c r="G35" i="14"/>
  <c r="T56" i="14"/>
  <c r="H62" i="14"/>
  <c r="AN62" i="14"/>
  <c r="Z77" i="14"/>
  <c r="N82" i="14"/>
  <c r="R6" i="14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Q6" i="14"/>
  <c r="AD51" i="14"/>
  <c r="T70" i="14"/>
  <c r="Q66" i="14"/>
  <c r="AO73" i="14"/>
  <c r="E93" i="14"/>
  <c r="Q85" i="14"/>
  <c r="AA41" i="14"/>
  <c r="AP50" i="14"/>
  <c r="AB70" i="14"/>
  <c r="Q73" i="14"/>
  <c r="AD27" i="14"/>
  <c r="Q28" i="14"/>
  <c r="E35" i="14"/>
  <c r="Q34" i="14"/>
  <c r="AO69" i="14"/>
  <c r="AP69" i="14" s="1"/>
  <c r="R77" i="14"/>
  <c r="Q86" i="14"/>
  <c r="P30" i="14"/>
  <c r="AD9" i="14"/>
  <c r="AO9" i="14"/>
  <c r="Q13" i="14"/>
  <c r="E30" i="14"/>
  <c r="Q25" i="14"/>
  <c r="AD34" i="14"/>
  <c r="AD91" i="14"/>
  <c r="AD33" i="14"/>
  <c r="AO34" i="14"/>
  <c r="AP34" i="14" s="1"/>
  <c r="Q49" i="14"/>
  <c r="Q60" i="14"/>
  <c r="E62" i="14"/>
  <c r="AO85" i="14"/>
  <c r="AH93" i="14"/>
  <c r="H30" i="14"/>
  <c r="Y41" i="14"/>
  <c r="Q54" i="14"/>
  <c r="Z70" i="14"/>
  <c r="Z112" i="14"/>
  <c r="Z105" i="14"/>
  <c r="F56" i="14"/>
  <c r="Q11" i="14"/>
  <c r="AO26" i="14"/>
  <c r="I62" i="14"/>
  <c r="AA112" i="14"/>
  <c r="AA105" i="14"/>
  <c r="AD11" i="14"/>
  <c r="AD50" i="14"/>
  <c r="J56" i="14"/>
  <c r="AH56" i="14"/>
  <c r="Z62" i="14"/>
  <c r="AM93" i="14"/>
  <c r="Q90" i="14"/>
  <c r="Q102" i="14"/>
  <c r="E112" i="14"/>
  <c r="E105" i="14"/>
  <c r="AB112" i="14"/>
  <c r="AB105" i="14"/>
  <c r="Q15" i="14"/>
  <c r="AB30" i="14"/>
  <c r="K56" i="14"/>
  <c r="AI56" i="14"/>
  <c r="AO54" i="14"/>
  <c r="AP54" i="14" s="1"/>
  <c r="AO60" i="14"/>
  <c r="AP60" i="14" s="1"/>
  <c r="F70" i="14"/>
  <c r="F112" i="14"/>
  <c r="F105" i="14"/>
  <c r="AC112" i="14"/>
  <c r="AC105" i="14"/>
  <c r="F30" i="14"/>
  <c r="Q39" i="14"/>
  <c r="F77" i="14"/>
  <c r="I82" i="14"/>
  <c r="Q81" i="14"/>
  <c r="G112" i="14"/>
  <c r="G105" i="14"/>
  <c r="AE112" i="14"/>
  <c r="AO112" i="14" s="1"/>
  <c r="AE105" i="14"/>
  <c r="AO102" i="14"/>
  <c r="AD24" i="14"/>
  <c r="AD39" i="14"/>
  <c r="AO39" i="14"/>
  <c r="AK56" i="14"/>
  <c r="E56" i="14"/>
  <c r="R62" i="14"/>
  <c r="G77" i="14"/>
  <c r="AC77" i="14"/>
  <c r="AF77" i="14"/>
  <c r="AO76" i="14"/>
  <c r="AP76" i="14" s="1"/>
  <c r="O30" i="14"/>
  <c r="AL30" i="14"/>
  <c r="AO11" i="14"/>
  <c r="AO15" i="14"/>
  <c r="AM30" i="14"/>
  <c r="AD28" i="14"/>
  <c r="AE30" i="14"/>
  <c r="AE41" i="14" s="1"/>
  <c r="H35" i="14"/>
  <c r="Q59" i="14"/>
  <c r="G62" i="14"/>
  <c r="AD59" i="14"/>
  <c r="S70" i="14"/>
  <c r="J70" i="14"/>
  <c r="H77" i="14"/>
  <c r="Q89" i="14"/>
  <c r="AN30" i="14"/>
  <c r="I35" i="14"/>
  <c r="O56" i="14"/>
  <c r="AO51" i="14"/>
  <c r="AP51" i="14" s="1"/>
  <c r="AD52" i="14"/>
  <c r="AE62" i="14"/>
  <c r="Q67" i="14"/>
  <c r="AD25" i="14"/>
  <c r="Q29" i="14"/>
  <c r="AF62" i="14"/>
  <c r="H93" i="14"/>
  <c r="AO27" i="14"/>
  <c r="AP27" i="14" s="1"/>
  <c r="Q51" i="14"/>
  <c r="AD60" i="14"/>
  <c r="AO67" i="14"/>
  <c r="AP67" i="14" s="1"/>
  <c r="AE70" i="14"/>
  <c r="Q80" i="14"/>
  <c r="E82" i="14"/>
  <c r="W93" i="14"/>
  <c r="AO86" i="14"/>
  <c r="AP86" i="14" s="1"/>
  <c r="AE93" i="14"/>
  <c r="AI30" i="14"/>
  <c r="Q37" i="14"/>
  <c r="Q53" i="14"/>
  <c r="AH62" i="14"/>
  <c r="AD68" i="14"/>
  <c r="AI77" i="14"/>
  <c r="Q75" i="14"/>
  <c r="Y70" i="14"/>
  <c r="T77" i="14"/>
  <c r="F93" i="14"/>
  <c r="AB93" i="14"/>
  <c r="T112" i="14"/>
  <c r="U77" i="14"/>
  <c r="AO92" i="14"/>
  <c r="AP92" i="14" s="1"/>
  <c r="I112" i="14"/>
  <c r="I105" i="14"/>
  <c r="F35" i="14"/>
  <c r="AB35" i="14"/>
  <c r="G56" i="14"/>
  <c r="AC56" i="14"/>
  <c r="AD49" i="14"/>
  <c r="E70" i="14"/>
  <c r="AA70" i="14"/>
  <c r="V77" i="14"/>
  <c r="Q88" i="14"/>
  <c r="J105" i="14"/>
  <c r="I56" i="14"/>
  <c r="AE56" i="14"/>
  <c r="AG82" i="14"/>
  <c r="K105" i="14"/>
  <c r="G30" i="14"/>
  <c r="AC30" i="14"/>
  <c r="K82" i="14"/>
  <c r="AI93" i="14"/>
  <c r="AG70" i="14"/>
  <c r="M93" i="14"/>
  <c r="AO28" i="14"/>
  <c r="AP28" i="14" s="1"/>
  <c r="K70" i="14"/>
  <c r="AH70" i="14"/>
  <c r="AH82" i="14"/>
  <c r="AD103" i="14"/>
  <c r="K62" i="14"/>
  <c r="AG62" i="14"/>
  <c r="AI70" i="14"/>
  <c r="AD89" i="14"/>
  <c r="AD102" i="14"/>
  <c r="AO37" i="14"/>
  <c r="P56" i="14"/>
  <c r="AL56" i="14"/>
  <c r="AO52" i="14"/>
  <c r="AP52" i="14" s="1"/>
  <c r="M70" i="14"/>
  <c r="AO66" i="14"/>
  <c r="AP66" i="14" s="1"/>
  <c r="V93" i="14"/>
  <c r="Q87" i="14"/>
  <c r="AM56" i="14"/>
  <c r="M62" i="14"/>
  <c r="AI62" i="14"/>
  <c r="R82" i="14"/>
  <c r="AD80" i="14"/>
  <c r="AN93" i="14"/>
  <c r="AD92" i="14"/>
  <c r="Q33" i="14"/>
  <c r="S82" i="14"/>
  <c r="AD85" i="14"/>
  <c r="R93" i="14"/>
  <c r="X93" i="14"/>
  <c r="Q103" i="14"/>
  <c r="AD69" i="14"/>
  <c r="Q76" i="14"/>
  <c r="AO87" i="14"/>
  <c r="AP87" i="14" s="1"/>
  <c r="Q24" i="14"/>
  <c r="AO33" i="14"/>
  <c r="Q65" i="14"/>
  <c r="L77" i="14"/>
  <c r="AH77" i="14"/>
  <c r="T93" i="14"/>
  <c r="W112" i="14"/>
  <c r="W105" i="14"/>
  <c r="AO103" i="14"/>
  <c r="AP103" i="14" s="1"/>
  <c r="AD65" i="14"/>
  <c r="AO65" i="14"/>
  <c r="U93" i="14"/>
  <c r="N77" i="14"/>
  <c r="AJ77" i="14"/>
  <c r="Y105" i="14"/>
  <c r="H105" i="14"/>
  <c r="EY8" i="13"/>
  <c r="X7" i="13"/>
  <c r="Y7" i="13" s="1"/>
  <c r="Z7" i="13" s="1"/>
  <c r="AA7" i="13" s="1"/>
  <c r="AB7" i="13" s="1"/>
  <c r="AC7" i="13" s="1"/>
  <c r="AD7" i="13" s="1"/>
  <c r="AE7" i="13" s="1"/>
  <c r="AF7" i="13" s="1"/>
  <c r="AG7" i="13" s="1"/>
  <c r="AH7" i="13" s="1"/>
  <c r="AI7" i="13" s="1"/>
  <c r="W7" i="13"/>
  <c r="HJ7" i="13"/>
  <c r="HK7" i="13"/>
  <c r="HL7" i="13" s="1"/>
  <c r="HM7" i="13" s="1"/>
  <c r="HN7" i="13" s="1"/>
  <c r="HO7" i="13" s="1"/>
  <c r="HP7" i="13" s="1"/>
  <c r="HQ7" i="13" s="1"/>
  <c r="HR7" i="13" s="1"/>
  <c r="HS7" i="13" s="1"/>
  <c r="HT7" i="13" s="1"/>
  <c r="HU7" i="13" s="1"/>
  <c r="HV7" i="13" s="1"/>
  <c r="CW7" i="13"/>
  <c r="CX7" i="13"/>
  <c r="CY7" i="13" s="1"/>
  <c r="CZ7" i="13" s="1"/>
  <c r="DA7" i="13" s="1"/>
  <c r="DB7" i="13" s="1"/>
  <c r="DC7" i="13" s="1"/>
  <c r="DD7" i="13" s="1"/>
  <c r="DE7" i="13" s="1"/>
  <c r="DF7" i="13" s="1"/>
  <c r="DG7" i="13" s="1"/>
  <c r="DH7" i="13" s="1"/>
  <c r="DI7" i="13" s="1"/>
  <c r="EK7" i="13"/>
  <c r="EL7" i="13" s="1"/>
  <c r="EM7" i="13" s="1"/>
  <c r="EN7" i="13" s="1"/>
  <c r="EO7" i="13" s="1"/>
  <c r="EP7" i="13" s="1"/>
  <c r="EQ7" i="13" s="1"/>
  <c r="ER7" i="13" s="1"/>
  <c r="ES7" i="13" s="1"/>
  <c r="ET7" i="13" s="1"/>
  <c r="EU7" i="13" s="1"/>
  <c r="EV7" i="13" s="1"/>
  <c r="EJ7" i="13"/>
  <c r="GK7" i="13"/>
  <c r="GL7" i="13" s="1"/>
  <c r="GM7" i="13" s="1"/>
  <c r="GN7" i="13" s="1"/>
  <c r="GO7" i="13" s="1"/>
  <c r="GP7" i="13" s="1"/>
  <c r="GQ7" i="13" s="1"/>
  <c r="GR7" i="13" s="1"/>
  <c r="GS7" i="13" s="1"/>
  <c r="GT7" i="13" s="1"/>
  <c r="GU7" i="13" s="1"/>
  <c r="GV7" i="13" s="1"/>
  <c r="GJ7" i="13"/>
  <c r="EM8" i="13"/>
  <c r="EU8" i="13"/>
  <c r="IA9" i="13"/>
  <c r="IH9" i="13" s="1"/>
  <c r="II9" i="13" s="1"/>
  <c r="DN9" i="13"/>
  <c r="FA9" i="13" s="1"/>
  <c r="DI10" i="13"/>
  <c r="EV10" i="13" s="1"/>
  <c r="BW10" i="13"/>
  <c r="CH11" i="13"/>
  <c r="CI11" i="13" s="1"/>
  <c r="EO8" i="13"/>
  <c r="DT12" i="13"/>
  <c r="FG12" i="13" s="1"/>
  <c r="CH12" i="13"/>
  <c r="CI12" i="13" s="1"/>
  <c r="GR48" i="13"/>
  <c r="IE8" i="13"/>
  <c r="HF9" i="13"/>
  <c r="AU12" i="13"/>
  <c r="AV12" i="13" s="1"/>
  <c r="HY12" i="13"/>
  <c r="DL12" i="13"/>
  <c r="EY12" i="13" s="1"/>
  <c r="HS15" i="13"/>
  <c r="DF15" i="13"/>
  <c r="ES15" i="13" s="1"/>
  <c r="AJ15" i="13"/>
  <c r="HD9" i="13"/>
  <c r="CQ9" i="13"/>
  <c r="ED9" i="13" s="1"/>
  <c r="CO12" i="13"/>
  <c r="EB12" i="13" s="1"/>
  <c r="HB12" i="13"/>
  <c r="HX11" i="13"/>
  <c r="AU11" i="13"/>
  <c r="AV11" i="13" s="1"/>
  <c r="DK11" i="13"/>
  <c r="HB11" i="13"/>
  <c r="CO11" i="13"/>
  <c r="EB11" i="13" s="1"/>
  <c r="W11" i="13"/>
  <c r="CE48" i="13"/>
  <c r="CH8" i="13"/>
  <c r="AJ9" i="13"/>
  <c r="HM9" i="13"/>
  <c r="CZ9" i="13"/>
  <c r="EM9" i="13" s="1"/>
  <c r="DJ11" i="13"/>
  <c r="CM10" i="13"/>
  <c r="DZ10" i="13" s="1"/>
  <c r="EK10" i="13"/>
  <c r="AM48" i="13"/>
  <c r="DM8" i="13"/>
  <c r="DA9" i="13"/>
  <c r="EN9" i="13" s="1"/>
  <c r="HN9" i="13"/>
  <c r="P48" i="13"/>
  <c r="CP8" i="13"/>
  <c r="HC8" i="13"/>
  <c r="W8" i="13"/>
  <c r="BJ9" i="13"/>
  <c r="CK9" i="13"/>
  <c r="BJ7" i="13"/>
  <c r="BK7" i="13"/>
  <c r="BL7" i="13" s="1"/>
  <c r="BM7" i="13" s="1"/>
  <c r="BN7" i="13" s="1"/>
  <c r="BO7" i="13" s="1"/>
  <c r="BP7" i="13" s="1"/>
  <c r="BQ7" i="13" s="1"/>
  <c r="BR7" i="13" s="1"/>
  <c r="BS7" i="13" s="1"/>
  <c r="BT7" i="13" s="1"/>
  <c r="BU7" i="13" s="1"/>
  <c r="BV7" i="13" s="1"/>
  <c r="AL48" i="13"/>
  <c r="HY8" i="13"/>
  <c r="BJ8" i="13"/>
  <c r="Q48" i="13"/>
  <c r="HD8" i="13"/>
  <c r="CQ8" i="13"/>
  <c r="BW8" i="13"/>
  <c r="HZ8" i="13"/>
  <c r="FW15" i="13"/>
  <c r="GZ15" i="13"/>
  <c r="EX12" i="13"/>
  <c r="FW8" i="13"/>
  <c r="DG9" i="13"/>
  <c r="ET9" i="13" s="1"/>
  <c r="EG8" i="13"/>
  <c r="EP8" i="13"/>
  <c r="BJ11" i="13"/>
  <c r="AT48" i="13"/>
  <c r="DT8" i="13"/>
  <c r="IG8" i="13"/>
  <c r="BR48" i="13"/>
  <c r="DE8" i="13"/>
  <c r="EQ8" i="13"/>
  <c r="CI9" i="13"/>
  <c r="X48" i="13"/>
  <c r="CX8" i="13"/>
  <c r="AJ8" i="13"/>
  <c r="HK8" i="13"/>
  <c r="AU8" i="13"/>
  <c r="CY9" i="13"/>
  <c r="EL9" i="13" s="1"/>
  <c r="BW9" i="13"/>
  <c r="Y48" i="13"/>
  <c r="CY8" i="13"/>
  <c r="HL8" i="13"/>
  <c r="DX8" i="13"/>
  <c r="ET8" i="13"/>
  <c r="HO10" i="13"/>
  <c r="FW12" i="13"/>
  <c r="BA48" i="13"/>
  <c r="FM48" i="13"/>
  <c r="AI48" i="13"/>
  <c r="BF48" i="13"/>
  <c r="O48" i="13"/>
  <c r="AK48" i="13"/>
  <c r="BH48" i="13"/>
  <c r="CD48" i="13"/>
  <c r="FT48" i="13"/>
  <c r="GQ48" i="13"/>
  <c r="HQ8" i="13"/>
  <c r="IE9" i="13"/>
  <c r="DA10" i="13"/>
  <c r="EN10" i="13" s="1"/>
  <c r="CR10" i="13"/>
  <c r="EE10" i="13" s="1"/>
  <c r="DQ10" i="13"/>
  <c r="FD10" i="13" s="1"/>
  <c r="HN10" i="13"/>
  <c r="AJ11" i="13"/>
  <c r="HM13" i="13"/>
  <c r="CQ15" i="13"/>
  <c r="ED15" i="13" s="1"/>
  <c r="BJ15" i="13"/>
  <c r="HV16" i="13"/>
  <c r="DI16" i="13"/>
  <c r="EV16" i="13" s="1"/>
  <c r="EX18" i="13"/>
  <c r="R48" i="13"/>
  <c r="HE8" i="13"/>
  <c r="AN48" i="13"/>
  <c r="IA8" i="13"/>
  <c r="BK48" i="13"/>
  <c r="CG48" i="13"/>
  <c r="GT48" i="13"/>
  <c r="HT8" i="13"/>
  <c r="CU10" i="13"/>
  <c r="EH10" i="13" s="1"/>
  <c r="DT10" i="13"/>
  <c r="FG10" i="13" s="1"/>
  <c r="HD11" i="13"/>
  <c r="CQ11" i="13"/>
  <c r="ED11" i="13" s="1"/>
  <c r="IB13" i="13"/>
  <c r="BJ14" i="13"/>
  <c r="W15" i="13"/>
  <c r="GX15" i="13"/>
  <c r="CK15" i="13"/>
  <c r="HU15" i="13"/>
  <c r="DH15" i="13"/>
  <c r="EU15" i="13" s="1"/>
  <c r="GZ16" i="13"/>
  <c r="CM16" i="13"/>
  <c r="DZ16" i="13" s="1"/>
  <c r="AU16" i="13"/>
  <c r="AV16" i="13" s="1"/>
  <c r="HX16" i="13"/>
  <c r="DK16" i="13"/>
  <c r="BW16" i="13"/>
  <c r="CI16" i="13"/>
  <c r="IB17" i="13"/>
  <c r="DO17" i="13"/>
  <c r="FB17" i="13" s="1"/>
  <c r="DL18" i="13"/>
  <c r="EY18" i="13" s="1"/>
  <c r="HY18" i="13"/>
  <c r="AU18" i="13"/>
  <c r="AV18" i="13" s="1"/>
  <c r="S48" i="13"/>
  <c r="HF8" i="13"/>
  <c r="AO48" i="13"/>
  <c r="IB8" i="13"/>
  <c r="BL48" i="13"/>
  <c r="DF8" i="13"/>
  <c r="FX48" i="13"/>
  <c r="GJ8" i="13"/>
  <c r="GU8" i="13"/>
  <c r="GJ9" i="13"/>
  <c r="HE11" i="13"/>
  <c r="CR11" i="13"/>
  <c r="EE11" i="13" s="1"/>
  <c r="IA11" i="13"/>
  <c r="DN11" i="13"/>
  <c r="FA11" i="13" s="1"/>
  <c r="EK11" i="13"/>
  <c r="HK12" i="13"/>
  <c r="GJ12" i="13"/>
  <c r="ID13" i="13"/>
  <c r="HS14" i="13"/>
  <c r="DF14" i="13"/>
  <c r="ES14" i="13" s="1"/>
  <c r="GU14" i="13"/>
  <c r="GV14" i="13" s="1"/>
  <c r="GY15" i="13"/>
  <c r="CL15" i="13"/>
  <c r="DY15" i="13" s="1"/>
  <c r="HV15" i="13"/>
  <c r="DI15" i="13"/>
  <c r="EV15" i="13" s="1"/>
  <c r="DX16" i="13"/>
  <c r="BW19" i="13"/>
  <c r="DO9" i="13"/>
  <c r="FB9" i="13" s="1"/>
  <c r="GU9" i="13"/>
  <c r="GV9" i="13" s="1"/>
  <c r="HF11" i="13"/>
  <c r="CS11" i="13"/>
  <c r="EF11" i="13" s="1"/>
  <c r="IB11" i="13"/>
  <c r="DO11" i="13"/>
  <c r="FB11" i="13" s="1"/>
  <c r="HF12" i="13"/>
  <c r="CS12" i="13"/>
  <c r="EF12" i="13" s="1"/>
  <c r="DP12" i="13"/>
  <c r="FC12" i="13" s="1"/>
  <c r="CL12" i="13"/>
  <c r="DQ14" i="13"/>
  <c r="FD14" i="13" s="1"/>
  <c r="HB16" i="13"/>
  <c r="CO16" i="13"/>
  <c r="EB16" i="13" s="1"/>
  <c r="CS17" i="13"/>
  <c r="EF17" i="13" s="1"/>
  <c r="HF17" i="13"/>
  <c r="W17" i="13"/>
  <c r="CP18" i="13"/>
  <c r="EC18" i="13" s="1"/>
  <c r="W18" i="13"/>
  <c r="HC18" i="13"/>
  <c r="DB13" i="13"/>
  <c r="EO13" i="13" s="1"/>
  <c r="HO13" i="13"/>
  <c r="T48" i="13"/>
  <c r="HG8" i="13"/>
  <c r="AP48" i="13"/>
  <c r="IC8" i="13"/>
  <c r="BM48" i="13"/>
  <c r="U48" i="13"/>
  <c r="AQ48" i="13"/>
  <c r="BN48" i="13"/>
  <c r="FZ48" i="13"/>
  <c r="GX8" i="13"/>
  <c r="DP9" i="13"/>
  <c r="FC9" i="13" s="1"/>
  <c r="HG11" i="13"/>
  <c r="DP11" i="13"/>
  <c r="FC11" i="13" s="1"/>
  <c r="IC11" i="13"/>
  <c r="HQ11" i="13"/>
  <c r="HW11" i="13" s="1"/>
  <c r="HG12" i="13"/>
  <c r="CT12" i="13"/>
  <c r="EG12" i="13" s="1"/>
  <c r="ID12" i="13"/>
  <c r="DQ12" i="13"/>
  <c r="FD12" i="13" s="1"/>
  <c r="CP12" i="13"/>
  <c r="EC12" i="13" s="1"/>
  <c r="GZ12" i="13"/>
  <c r="DH13" i="13"/>
  <c r="EU13" i="13" s="1"/>
  <c r="GX14" i="13"/>
  <c r="DR14" i="13"/>
  <c r="FE14" i="13" s="1"/>
  <c r="HC16" i="13"/>
  <c r="HP10" i="13"/>
  <c r="GA48" i="13"/>
  <c r="HX8" i="13"/>
  <c r="CR9" i="13"/>
  <c r="EE9" i="13" s="1"/>
  <c r="HU10" i="13"/>
  <c r="CU11" i="13"/>
  <c r="EH11" i="13" s="1"/>
  <c r="ID11" i="13"/>
  <c r="DL11" i="13"/>
  <c r="EY11" i="13" s="1"/>
  <c r="IE12" i="13"/>
  <c r="DR12" i="13"/>
  <c r="FE12" i="13" s="1"/>
  <c r="CQ12" i="13"/>
  <c r="ED12" i="13" s="1"/>
  <c r="HA12" i="13"/>
  <c r="GB48" i="13"/>
  <c r="GU10" i="13"/>
  <c r="GV10" i="13" s="1"/>
  <c r="CV11" i="13"/>
  <c r="EI11" i="13" s="1"/>
  <c r="HI11" i="13"/>
  <c r="DR11" i="13"/>
  <c r="FE11" i="13" s="1"/>
  <c r="IE11" i="13"/>
  <c r="GY13" i="13"/>
  <c r="GJ13" i="13"/>
  <c r="GU13" i="13"/>
  <c r="GV13" i="13" s="1"/>
  <c r="HO9" i="13"/>
  <c r="HY14" i="13"/>
  <c r="DL14" i="13"/>
  <c r="EY14" i="13" s="1"/>
  <c r="HP9" i="13"/>
  <c r="DT11" i="13"/>
  <c r="FG11" i="13" s="1"/>
  <c r="CX12" i="13"/>
  <c r="DL13" i="13"/>
  <c r="EY13" i="13" s="1"/>
  <c r="BW14" i="13"/>
  <c r="DS18" i="13"/>
  <c r="FF18" i="13" s="1"/>
  <c r="W14" i="13"/>
  <c r="HC14" i="13"/>
  <c r="DN14" i="13"/>
  <c r="FA14" i="13" s="1"/>
  <c r="IA14" i="13"/>
  <c r="GU15" i="13"/>
  <c r="GV15" i="13" s="1"/>
  <c r="CV18" i="13"/>
  <c r="EI18" i="13" s="1"/>
  <c r="HI18" i="13"/>
  <c r="HZ10" i="13"/>
  <c r="CP11" i="13"/>
  <c r="EC11" i="13" s="1"/>
  <c r="BJ13" i="13"/>
  <c r="IB14" i="13"/>
  <c r="DO14" i="13"/>
  <c r="FB14" i="13" s="1"/>
  <c r="DX14" i="13"/>
  <c r="HN19" i="13"/>
  <c r="AJ19" i="13"/>
  <c r="DA19" i="13"/>
  <c r="EN19" i="13" s="1"/>
  <c r="AB48" i="13"/>
  <c r="AY48" i="13"/>
  <c r="BU48" i="13"/>
  <c r="FK48" i="13"/>
  <c r="GG48" i="13"/>
  <c r="HH8" i="13"/>
  <c r="CH10" i="13"/>
  <c r="CI10" i="13" s="1"/>
  <c r="IA10" i="13"/>
  <c r="CT11" i="13"/>
  <c r="EG11" i="13" s="1"/>
  <c r="CQ13" i="13"/>
  <c r="ED13" i="13" s="1"/>
  <c r="HD13" i="13"/>
  <c r="BW13" i="13"/>
  <c r="DP14" i="13"/>
  <c r="FC14" i="13" s="1"/>
  <c r="IC14" i="13"/>
  <c r="GJ14" i="13"/>
  <c r="HK14" i="13"/>
  <c r="HE14" i="13"/>
  <c r="HK15" i="13"/>
  <c r="AC48" i="13"/>
  <c r="AZ48" i="13"/>
  <c r="BV48" i="13"/>
  <c r="FL48" i="13"/>
  <c r="HI8" i="13"/>
  <c r="GJ11" i="13"/>
  <c r="HC13" i="13"/>
  <c r="CS14" i="13"/>
  <c r="EF14" i="13" s="1"/>
  <c r="HF14" i="13"/>
  <c r="HG14" i="13"/>
  <c r="IF11" i="13"/>
  <c r="DP13" i="13"/>
  <c r="FC13" i="13" s="1"/>
  <c r="IC13" i="13"/>
  <c r="DX13" i="13"/>
  <c r="HE13" i="13"/>
  <c r="AE48" i="13"/>
  <c r="CU8" i="13"/>
  <c r="DR8" i="13"/>
  <c r="HD10" i="13"/>
  <c r="BW11" i="13"/>
  <c r="HR12" i="13"/>
  <c r="HG13" i="13"/>
  <c r="CT13" i="13"/>
  <c r="EG13" i="13" s="1"/>
  <c r="HH14" i="13"/>
  <c r="CU14" i="13"/>
  <c r="EH14" i="13" s="1"/>
  <c r="GZ19" i="13"/>
  <c r="FW19" i="13"/>
  <c r="DO20" i="13"/>
  <c r="FB20" i="13" s="1"/>
  <c r="IB20" i="13"/>
  <c r="AA48" i="13"/>
  <c r="AX48" i="13"/>
  <c r="HT9" i="13"/>
  <c r="AF48" i="13"/>
  <c r="BC48" i="13"/>
  <c r="BY48" i="13"/>
  <c r="CV8" i="13"/>
  <c r="DS8" i="13"/>
  <c r="FO48" i="13"/>
  <c r="GL48" i="13"/>
  <c r="GX9" i="13"/>
  <c r="W9" i="13"/>
  <c r="HI10" i="13"/>
  <c r="IF10" i="13"/>
  <c r="HS12" i="13"/>
  <c r="DE12" i="13"/>
  <c r="ER12" i="13" s="1"/>
  <c r="HT12" i="13"/>
  <c r="IE13" i="13"/>
  <c r="DR13" i="13"/>
  <c r="FE13" i="13" s="1"/>
  <c r="DT14" i="13"/>
  <c r="FG14" i="13" s="1"/>
  <c r="CP14" i="13"/>
  <c r="EC14" i="13" s="1"/>
  <c r="IE18" i="13"/>
  <c r="Z48" i="13"/>
  <c r="IF8" i="13"/>
  <c r="BD48" i="13"/>
  <c r="BZ48" i="13"/>
  <c r="HM8" i="13"/>
  <c r="DI9" i="13"/>
  <c r="EV9" i="13" s="1"/>
  <c r="DM10" i="13"/>
  <c r="EZ10" i="13" s="1"/>
  <c r="HI13" i="13"/>
  <c r="CV13" i="13"/>
  <c r="EI13" i="13" s="1"/>
  <c r="IF13" i="13"/>
  <c r="DS13" i="13"/>
  <c r="FF13" i="13" s="1"/>
  <c r="CX14" i="13"/>
  <c r="AU14" i="13"/>
  <c r="AV14" i="13" s="1"/>
  <c r="CS20" i="13"/>
  <c r="EF20" i="13" s="1"/>
  <c r="HF20" i="13"/>
  <c r="FQ48" i="13"/>
  <c r="GN48" i="13"/>
  <c r="HN8" i="13"/>
  <c r="CM9" i="13"/>
  <c r="DZ9" i="13" s="1"/>
  <c r="HK10" i="13"/>
  <c r="AJ10" i="13"/>
  <c r="W12" i="13"/>
  <c r="HV12" i="13"/>
  <c r="W13" i="13"/>
  <c r="IG13" i="13"/>
  <c r="DT13" i="13"/>
  <c r="FG13" i="13" s="1"/>
  <c r="GV19" i="13"/>
  <c r="BT48" i="13"/>
  <c r="GO48" i="13"/>
  <c r="HO8" i="13"/>
  <c r="CN9" i="13"/>
  <c r="EA9" i="13" s="1"/>
  <c r="DK9" i="13"/>
  <c r="AU9" i="13"/>
  <c r="AV9" i="13" s="1"/>
  <c r="DE9" i="13"/>
  <c r="ER9" i="13" s="1"/>
  <c r="HH11" i="13"/>
  <c r="HK13" i="13"/>
  <c r="AJ13" i="13"/>
  <c r="CX13" i="13"/>
  <c r="AU13" i="13"/>
  <c r="AV13" i="13" s="1"/>
  <c r="HM14" i="13"/>
  <c r="CZ14" i="13"/>
  <c r="EM14" i="13" s="1"/>
  <c r="CY14" i="13"/>
  <c r="EL14" i="13" s="1"/>
  <c r="CH15" i="13"/>
  <c r="CI15" i="13" s="1"/>
  <c r="CH18" i="13"/>
  <c r="CI18" i="13" s="1"/>
  <c r="CC48" i="13"/>
  <c r="DA8" i="13"/>
  <c r="DY8" i="13"/>
  <c r="FS48" i="13"/>
  <c r="GP48" i="13"/>
  <c r="HP8" i="13"/>
  <c r="CO9" i="13"/>
  <c r="EB9" i="13" s="1"/>
  <c r="DF9" i="13"/>
  <c r="ES9" i="13" s="1"/>
  <c r="HM10" i="13"/>
  <c r="CZ10" i="13"/>
  <c r="EM10" i="13" s="1"/>
  <c r="AJ12" i="13"/>
  <c r="HL13" i="13"/>
  <c r="CS13" i="13"/>
  <c r="EF13" i="13" s="1"/>
  <c r="CQ23" i="13"/>
  <c r="ED23" i="13" s="1"/>
  <c r="HD23" i="13"/>
  <c r="DU27" i="13"/>
  <c r="EX27" i="13"/>
  <c r="IG31" i="13"/>
  <c r="DT31" i="13"/>
  <c r="FG31" i="13" s="1"/>
  <c r="GH48" i="13"/>
  <c r="HI12" i="13"/>
  <c r="CX15" i="13"/>
  <c r="HA15" i="13"/>
  <c r="DD16" i="13"/>
  <c r="EQ16" i="13" s="1"/>
  <c r="HE16" i="13"/>
  <c r="IF18" i="13"/>
  <c r="CM20" i="13"/>
  <c r="DZ20" i="13" s="1"/>
  <c r="DH21" i="13"/>
  <c r="EU21" i="13" s="1"/>
  <c r="GU21" i="13"/>
  <c r="GV21" i="13" s="1"/>
  <c r="FW22" i="13"/>
  <c r="HS26" i="13"/>
  <c r="DF26" i="13"/>
  <c r="ES26" i="13" s="1"/>
  <c r="DL42" i="13"/>
  <c r="EY42" i="13" s="1"/>
  <c r="HY42" i="13"/>
  <c r="GI48" i="13"/>
  <c r="GU12" i="13"/>
  <c r="GV12" i="13" s="1"/>
  <c r="HB15" i="13"/>
  <c r="HK16" i="13"/>
  <c r="DP18" i="13"/>
  <c r="FC18" i="13" s="1"/>
  <c r="DC19" i="13"/>
  <c r="EP19" i="13" s="1"/>
  <c r="CZ19" i="13"/>
  <c r="EM19" i="13" s="1"/>
  <c r="CU20" i="13"/>
  <c r="EH20" i="13" s="1"/>
  <c r="CN20" i="13"/>
  <c r="EA20" i="13" s="1"/>
  <c r="HG20" i="13"/>
  <c r="CM21" i="13"/>
  <c r="DZ21" i="13" s="1"/>
  <c r="DI21" i="13"/>
  <c r="EV21" i="13" s="1"/>
  <c r="GJ21" i="13"/>
  <c r="HE22" i="13"/>
  <c r="CT23" i="13"/>
  <c r="EG23" i="13" s="1"/>
  <c r="HA25" i="13"/>
  <c r="W25" i="13"/>
  <c r="CN25" i="13"/>
  <c r="EA25" i="13" s="1"/>
  <c r="EX25" i="13"/>
  <c r="L48" i="13"/>
  <c r="AH48" i="13"/>
  <c r="BE48" i="13"/>
  <c r="CA48" i="13"/>
  <c r="FN48" i="13"/>
  <c r="GZ14" i="13"/>
  <c r="HC15" i="13"/>
  <c r="HS17" i="13"/>
  <c r="CH19" i="13"/>
  <c r="CI19" i="13" s="1"/>
  <c r="CV20" i="13"/>
  <c r="EI20" i="13" s="1"/>
  <c r="CN21" i="13"/>
  <c r="EA21" i="13" s="1"/>
  <c r="AJ21" i="13"/>
  <c r="GX21" i="13"/>
  <c r="HF22" i="13"/>
  <c r="GJ23" i="13"/>
  <c r="IC24" i="13"/>
  <c r="GU24" i="13"/>
  <c r="GV24" i="13" s="1"/>
  <c r="BW25" i="13"/>
  <c r="HA14" i="13"/>
  <c r="AJ14" i="13"/>
  <c r="W20" i="13"/>
  <c r="FW20" i="13"/>
  <c r="DK21" i="13"/>
  <c r="GY21" i="13"/>
  <c r="HI22" i="13"/>
  <c r="DR24" i="13"/>
  <c r="FE24" i="13" s="1"/>
  <c r="HZ25" i="13"/>
  <c r="DM25" i="13"/>
  <c r="EZ25" i="13" s="1"/>
  <c r="DX25" i="13"/>
  <c r="GY26" i="13"/>
  <c r="CL26" i="13"/>
  <c r="DY26" i="13" s="1"/>
  <c r="DI26" i="13"/>
  <c r="EV26" i="13" s="1"/>
  <c r="HV26" i="13"/>
  <c r="GU29" i="13"/>
  <c r="GV29" i="13" s="1"/>
  <c r="IG14" i="13"/>
  <c r="CL16" i="13"/>
  <c r="DY16" i="13" s="1"/>
  <c r="BW17" i="13"/>
  <c r="HT19" i="13"/>
  <c r="DT20" i="13"/>
  <c r="FG20" i="13" s="1"/>
  <c r="HD25" i="13"/>
  <c r="CQ25" i="13"/>
  <c r="ED25" i="13" s="1"/>
  <c r="IA25" i="13"/>
  <c r="DN25" i="13"/>
  <c r="FA25" i="13" s="1"/>
  <c r="CM26" i="13"/>
  <c r="DZ26" i="13" s="1"/>
  <c r="GZ26" i="13"/>
  <c r="AJ26" i="13"/>
  <c r="CK19" i="13"/>
  <c r="GJ20" i="13"/>
  <c r="HA21" i="13"/>
  <c r="DK22" i="13"/>
  <c r="CX23" i="13"/>
  <c r="HK23" i="13"/>
  <c r="AJ23" i="13"/>
  <c r="HE25" i="13"/>
  <c r="CR25" i="13"/>
  <c r="EE25" i="13" s="1"/>
  <c r="DO25" i="13"/>
  <c r="FB25" i="13" s="1"/>
  <c r="IB25" i="13"/>
  <c r="HD14" i="13"/>
  <c r="CQ14" i="13"/>
  <c r="ED14" i="13" s="1"/>
  <c r="HZ14" i="13"/>
  <c r="DM14" i="13"/>
  <c r="EZ14" i="13" s="1"/>
  <c r="AJ16" i="13"/>
  <c r="DP17" i="13"/>
  <c r="FC17" i="13" s="1"/>
  <c r="FW17" i="13"/>
  <c r="CO21" i="13"/>
  <c r="EB21" i="13" s="1"/>
  <c r="DL22" i="13"/>
  <c r="EY22" i="13" s="1"/>
  <c r="HL23" i="13"/>
  <c r="CS25" i="13"/>
  <c r="EF25" i="13" s="1"/>
  <c r="HF25" i="13"/>
  <c r="HH17" i="13"/>
  <c r="CU17" i="13"/>
  <c r="EH17" i="13" s="1"/>
  <c r="ID17" i="13"/>
  <c r="DQ17" i="13"/>
  <c r="FD17" i="13" s="1"/>
  <c r="AJ22" i="13"/>
  <c r="HO22" i="13"/>
  <c r="EM26" i="13"/>
  <c r="DX27" i="13"/>
  <c r="DH27" i="13"/>
  <c r="EU27" i="13" s="1"/>
  <c r="HU27" i="13"/>
  <c r="HB30" i="13"/>
  <c r="W30" i="13"/>
  <c r="CO30" i="13"/>
  <c r="EB30" i="13" s="1"/>
  <c r="HX19" i="13"/>
  <c r="DX21" i="13"/>
  <c r="CL27" i="13"/>
  <c r="DY27" i="13" s="1"/>
  <c r="GY27" i="13"/>
  <c r="W27" i="13"/>
  <c r="DR28" i="13"/>
  <c r="FE28" i="13" s="1"/>
  <c r="CH28" i="13"/>
  <c r="CI28" i="13" s="1"/>
  <c r="IE38" i="13"/>
  <c r="DR38" i="13"/>
  <c r="FE38" i="13" s="1"/>
  <c r="HK18" i="13"/>
  <c r="DU19" i="13"/>
  <c r="HC22" i="13"/>
  <c r="EX23" i="13"/>
  <c r="HZ27" i="13"/>
  <c r="IH27" i="13" s="1"/>
  <c r="GU27" i="13"/>
  <c r="GV27" i="13" s="1"/>
  <c r="CU28" i="13"/>
  <c r="EH28" i="13" s="1"/>
  <c r="BJ28" i="13"/>
  <c r="HY29" i="13"/>
  <c r="DL29" i="13"/>
  <c r="EY29" i="13" s="1"/>
  <c r="AU29" i="13"/>
  <c r="AV29" i="13" s="1"/>
  <c r="DI32" i="13"/>
  <c r="EV32" i="13" s="1"/>
  <c r="HV32" i="13"/>
  <c r="AJ32" i="13"/>
  <c r="HK17" i="13"/>
  <c r="DT17" i="13"/>
  <c r="FG17" i="13" s="1"/>
  <c r="HL18" i="13"/>
  <c r="GJ19" i="13"/>
  <c r="IG19" i="13"/>
  <c r="BW22" i="13"/>
  <c r="DR22" i="13"/>
  <c r="FE22" i="13" s="1"/>
  <c r="HC29" i="13"/>
  <c r="CP29" i="13"/>
  <c r="EC29" i="13" s="1"/>
  <c r="HZ29" i="13"/>
  <c r="DM29" i="13"/>
  <c r="EZ29" i="13" s="1"/>
  <c r="CS16" i="13"/>
  <c r="EF16" i="13" s="1"/>
  <c r="HF16" i="13"/>
  <c r="DT16" i="13"/>
  <c r="FG16" i="13" s="1"/>
  <c r="CY17" i="13"/>
  <c r="EL17" i="13" s="1"/>
  <c r="HL17" i="13"/>
  <c r="IC17" i="13"/>
  <c r="GU18" i="13"/>
  <c r="GV18" i="13" s="1"/>
  <c r="EX19" i="13"/>
  <c r="HR20" i="13"/>
  <c r="DF20" i="13"/>
  <c r="ES20" i="13" s="1"/>
  <c r="W21" i="13"/>
  <c r="HN21" i="13"/>
  <c r="DP23" i="13"/>
  <c r="FC23" i="13" s="1"/>
  <c r="HP24" i="13"/>
  <c r="DC24" i="13"/>
  <c r="EP24" i="13" s="1"/>
  <c r="HD29" i="13"/>
  <c r="CQ29" i="13"/>
  <c r="ED29" i="13" s="1"/>
  <c r="HZ15" i="13"/>
  <c r="DM15" i="13"/>
  <c r="EZ15" i="13" s="1"/>
  <c r="HG16" i="13"/>
  <c r="HM17" i="13"/>
  <c r="IE17" i="13"/>
  <c r="HN18" i="13"/>
  <c r="GX19" i="13"/>
  <c r="DO22" i="13"/>
  <c r="FB22" i="13" s="1"/>
  <c r="IB22" i="13"/>
  <c r="HT36" i="13"/>
  <c r="DG36" i="13"/>
  <c r="ET36" i="13" s="1"/>
  <c r="HD15" i="13"/>
  <c r="DO15" i="13"/>
  <c r="FB15" i="13" s="1"/>
  <c r="CU16" i="13"/>
  <c r="EH16" i="13" s="1"/>
  <c r="HH16" i="13"/>
  <c r="DQ16" i="13"/>
  <c r="FD16" i="13" s="1"/>
  <c r="ID16" i="13"/>
  <c r="CP16" i="13"/>
  <c r="EC16" i="13" s="1"/>
  <c r="CX17" i="13"/>
  <c r="IF17" i="13"/>
  <c r="DC18" i="13"/>
  <c r="EP18" i="13" s="1"/>
  <c r="EK18" i="13"/>
  <c r="HO18" i="13"/>
  <c r="CN19" i="13"/>
  <c r="EA19" i="13" s="1"/>
  <c r="GX20" i="13"/>
  <c r="IC20" i="13"/>
  <c r="AU21" i="13"/>
  <c r="AV21" i="13" s="1"/>
  <c r="HR21" i="13"/>
  <c r="HG22" i="13"/>
  <c r="CT22" i="13"/>
  <c r="EG22" i="13" s="1"/>
  <c r="DP22" i="13"/>
  <c r="FC22" i="13" s="1"/>
  <c r="IC22" i="13"/>
  <c r="DX22" i="13"/>
  <c r="DF23" i="13"/>
  <c r="ES23" i="13" s="1"/>
  <c r="HS23" i="13"/>
  <c r="DE24" i="13"/>
  <c r="ER24" i="13" s="1"/>
  <c r="HR24" i="13"/>
  <c r="HO24" i="13"/>
  <c r="CV26" i="13"/>
  <c r="EI26" i="13" s="1"/>
  <c r="CK36" i="13"/>
  <c r="GX36" i="13"/>
  <c r="W36" i="13"/>
  <c r="DH36" i="13"/>
  <c r="EU36" i="13" s="1"/>
  <c r="HU36" i="13"/>
  <c r="CR15" i="13"/>
  <c r="EE15" i="13" s="1"/>
  <c r="HE15" i="13"/>
  <c r="CT16" i="13"/>
  <c r="EG16" i="13" s="1"/>
  <c r="GJ16" i="13"/>
  <c r="CZ17" i="13"/>
  <c r="EM17" i="13" s="1"/>
  <c r="IG17" i="13"/>
  <c r="CO19" i="13"/>
  <c r="EB19" i="13" s="1"/>
  <c r="GY20" i="13"/>
  <c r="HU20" i="13"/>
  <c r="DI20" i="13"/>
  <c r="EV20" i="13" s="1"/>
  <c r="HT21" i="13"/>
  <c r="GU22" i="13"/>
  <c r="GV22" i="13" s="1"/>
  <c r="DG23" i="13"/>
  <c r="ET23" i="13" s="1"/>
  <c r="HT23" i="13"/>
  <c r="DF24" i="13"/>
  <c r="ES24" i="13" s="1"/>
  <c r="HS24" i="13"/>
  <c r="DP15" i="13"/>
  <c r="FC15" i="13" s="1"/>
  <c r="IC15" i="13"/>
  <c r="W16" i="13"/>
  <c r="DS16" i="13"/>
  <c r="FF16" i="13" s="1"/>
  <c r="IF16" i="13"/>
  <c r="CP19" i="13"/>
  <c r="EC19" i="13" s="1"/>
  <c r="BJ21" i="13"/>
  <c r="CX21" i="13"/>
  <c r="CN22" i="13"/>
  <c r="EA22" i="13" s="1"/>
  <c r="W23" i="13"/>
  <c r="GX23" i="13"/>
  <c r="CK23" i="13"/>
  <c r="CQ28" i="13"/>
  <c r="ED28" i="13" s="1"/>
  <c r="HD28" i="13"/>
  <c r="IB28" i="13"/>
  <c r="DO28" i="13"/>
  <c r="FB28" i="13" s="1"/>
  <c r="IC33" i="13"/>
  <c r="DQ15" i="13"/>
  <c r="FD15" i="13" s="1"/>
  <c r="ID15" i="13"/>
  <c r="IB16" i="13"/>
  <c r="HE17" i="13"/>
  <c r="HT18" i="13"/>
  <c r="IE19" i="13"/>
  <c r="AJ20" i="13"/>
  <c r="W22" i="13"/>
  <c r="CO22" i="13"/>
  <c r="EB22" i="13" s="1"/>
  <c r="FW23" i="13"/>
  <c r="HE28" i="13"/>
  <c r="CR28" i="13"/>
  <c r="EE28" i="13" s="1"/>
  <c r="DP28" i="13"/>
  <c r="FC28" i="13" s="1"/>
  <c r="IC28" i="13"/>
  <c r="CU15" i="13"/>
  <c r="EH15" i="13" s="1"/>
  <c r="HX15" i="13"/>
  <c r="IC16" i="13"/>
  <c r="W19" i="13"/>
  <c r="IF19" i="13"/>
  <c r="DK20" i="13"/>
  <c r="AU20" i="13"/>
  <c r="AV20" i="13" s="1"/>
  <c r="IG20" i="13"/>
  <c r="HP21" i="13"/>
  <c r="DC21" i="13"/>
  <c r="EP21" i="13" s="1"/>
  <c r="CX22" i="13"/>
  <c r="HK22" i="13"/>
  <c r="DT22" i="13"/>
  <c r="FG22" i="13" s="1"/>
  <c r="IG22" i="13"/>
  <c r="CP22" i="13"/>
  <c r="EC22" i="13" s="1"/>
  <c r="HX23" i="13"/>
  <c r="AU23" i="13"/>
  <c r="AV23" i="13" s="1"/>
  <c r="CL24" i="13"/>
  <c r="DY24" i="13" s="1"/>
  <c r="W24" i="13"/>
  <c r="HV24" i="13"/>
  <c r="DI24" i="13"/>
  <c r="EV24" i="13" s="1"/>
  <c r="HG17" i="13"/>
  <c r="GZ18" i="13"/>
  <c r="HV18" i="13"/>
  <c r="EK19" i="13"/>
  <c r="HK19" i="13"/>
  <c r="HC20" i="13"/>
  <c r="CP20" i="13"/>
  <c r="EC20" i="13" s="1"/>
  <c r="HY20" i="13"/>
  <c r="DL20" i="13"/>
  <c r="EY20" i="13" s="1"/>
  <c r="BW20" i="13"/>
  <c r="CH21" i="13"/>
  <c r="CI21" i="13" s="1"/>
  <c r="HX21" i="13"/>
  <c r="IH21" i="13" s="1"/>
  <c r="II21" i="13" s="1"/>
  <c r="CY22" i="13"/>
  <c r="EL22" i="13" s="1"/>
  <c r="AU22" i="13"/>
  <c r="AV22" i="13" s="1"/>
  <c r="HY23" i="13"/>
  <c r="BW23" i="13"/>
  <c r="CH26" i="13"/>
  <c r="CI26" i="13" s="1"/>
  <c r="CT28" i="13"/>
  <c r="EG28" i="13" s="1"/>
  <c r="HG28" i="13"/>
  <c r="CZ13" i="13"/>
  <c r="EM13" i="13" s="1"/>
  <c r="IG15" i="13"/>
  <c r="CT15" i="13"/>
  <c r="EG15" i="13" s="1"/>
  <c r="IA15" i="13"/>
  <c r="HI17" i="13"/>
  <c r="AJ18" i="13"/>
  <c r="HL19" i="13"/>
  <c r="CY19" i="13"/>
  <c r="EL19" i="13" s="1"/>
  <c r="AU19" i="13"/>
  <c r="AV19" i="13" s="1"/>
  <c r="HD20" i="13"/>
  <c r="HZ20" i="13"/>
  <c r="DD21" i="13"/>
  <c r="EQ21" i="13" s="1"/>
  <c r="CZ22" i="13"/>
  <c r="EM22" i="13" s="1"/>
  <c r="HB23" i="13"/>
  <c r="DM23" i="13"/>
  <c r="EZ23" i="13" s="1"/>
  <c r="HZ23" i="13"/>
  <c r="DA13" i="13"/>
  <c r="EN13" i="13" s="1"/>
  <c r="AU15" i="13"/>
  <c r="AV15" i="13" s="1"/>
  <c r="HX18" i="13"/>
  <c r="DX20" i="13"/>
  <c r="HB20" i="13"/>
  <c r="HS21" i="13"/>
  <c r="DA22" i="13"/>
  <c r="EN22" i="13" s="1"/>
  <c r="BJ22" i="13"/>
  <c r="CU22" i="13"/>
  <c r="EH22" i="13" s="1"/>
  <c r="HC23" i="13"/>
  <c r="CP23" i="13"/>
  <c r="EC23" i="13" s="1"/>
  <c r="DN23" i="13"/>
  <c r="FA23" i="13" s="1"/>
  <c r="IA23" i="13"/>
  <c r="HQ26" i="13"/>
  <c r="DD26" i="13"/>
  <c r="EQ26" i="13" s="1"/>
  <c r="CV31" i="13"/>
  <c r="EI31" i="13" s="1"/>
  <c r="HI31" i="13"/>
  <c r="IF31" i="13"/>
  <c r="AU31" i="13"/>
  <c r="AV31" i="13" s="1"/>
  <c r="HI27" i="13"/>
  <c r="CV27" i="13"/>
  <c r="EI27" i="13" s="1"/>
  <c r="BW27" i="13"/>
  <c r="HD27" i="13"/>
  <c r="FW27" i="13"/>
  <c r="DX32" i="13"/>
  <c r="DI23" i="13"/>
  <c r="EV23" i="13" s="1"/>
  <c r="HV23" i="13"/>
  <c r="FW25" i="13"/>
  <c r="DE26" i="13"/>
  <c r="ER26" i="13" s="1"/>
  <c r="FW26" i="13"/>
  <c r="DD27" i="13"/>
  <c r="EQ27" i="13" s="1"/>
  <c r="HX28" i="13"/>
  <c r="AU28" i="13"/>
  <c r="AV28" i="13" s="1"/>
  <c r="BW31" i="13"/>
  <c r="HY32" i="13"/>
  <c r="DL32" i="13"/>
  <c r="EY32" i="13" s="1"/>
  <c r="HD22" i="13"/>
  <c r="HZ22" i="13"/>
  <c r="GZ23" i="13"/>
  <c r="CM23" i="13"/>
  <c r="DZ23" i="13" s="1"/>
  <c r="DA24" i="13"/>
  <c r="HK27" i="13"/>
  <c r="AJ27" i="13"/>
  <c r="CX27" i="13"/>
  <c r="AU27" i="13"/>
  <c r="AV27" i="13" s="1"/>
  <c r="HY28" i="13"/>
  <c r="BW28" i="13"/>
  <c r="CS31" i="13"/>
  <c r="EF31" i="13" s="1"/>
  <c r="HF31" i="13"/>
  <c r="HQ36" i="13"/>
  <c r="IB42" i="13"/>
  <c r="DO42" i="13"/>
  <c r="FB42" i="13" s="1"/>
  <c r="GY47" i="13"/>
  <c r="CL47" i="13"/>
  <c r="DY47" i="13" s="1"/>
  <c r="DI47" i="13"/>
  <c r="EV47" i="13" s="1"/>
  <c r="HV47" i="13"/>
  <c r="BJ24" i="13"/>
  <c r="GX25" i="13"/>
  <c r="HT25" i="13"/>
  <c r="HL27" i="13"/>
  <c r="CY27" i="13"/>
  <c r="EL27" i="13" s="1"/>
  <c r="HB28" i="13"/>
  <c r="CO28" i="13"/>
  <c r="EB28" i="13" s="1"/>
  <c r="W28" i="13"/>
  <c r="DM28" i="13"/>
  <c r="EZ28" i="13" s="1"/>
  <c r="HZ28" i="13"/>
  <c r="GU28" i="13"/>
  <c r="GV28" i="13" s="1"/>
  <c r="GJ24" i="13"/>
  <c r="HY25" i="13"/>
  <c r="GU25" i="13"/>
  <c r="GV25" i="13" s="1"/>
  <c r="BJ26" i="13"/>
  <c r="CZ27" i="13"/>
  <c r="EM27" i="13" s="1"/>
  <c r="HM27" i="13"/>
  <c r="BJ27" i="13"/>
  <c r="HC28" i="13"/>
  <c r="CP28" i="13"/>
  <c r="EC28" i="13" s="1"/>
  <c r="IA28" i="13"/>
  <c r="DX28" i="13"/>
  <c r="DP29" i="13"/>
  <c r="FC29" i="13" s="1"/>
  <c r="CH29" i="13"/>
  <c r="CI29" i="13" s="1"/>
  <c r="HF42" i="13"/>
  <c r="CS42" i="13"/>
  <c r="EF42" i="13" s="1"/>
  <c r="HQ24" i="13"/>
  <c r="HX25" i="13"/>
  <c r="AU25" i="13"/>
  <c r="AV25" i="13" s="1"/>
  <c r="HF28" i="13"/>
  <c r="CS28" i="13"/>
  <c r="EF28" i="13" s="1"/>
  <c r="HA29" i="13"/>
  <c r="CN29" i="13"/>
  <c r="EA29" i="13" s="1"/>
  <c r="W29" i="13"/>
  <c r="AJ31" i="13"/>
  <c r="CX31" i="13"/>
  <c r="CH34" i="13"/>
  <c r="CI34" i="13" s="1"/>
  <c r="CL36" i="13"/>
  <c r="DY36" i="13" s="1"/>
  <c r="GY36" i="13"/>
  <c r="CU38" i="13"/>
  <c r="EH38" i="13" s="1"/>
  <c r="HH38" i="13"/>
  <c r="W38" i="13"/>
  <c r="IF38" i="13"/>
  <c r="DS38" i="13"/>
  <c r="FF38" i="13" s="1"/>
  <c r="GJ35" i="13"/>
  <c r="HI38" i="13"/>
  <c r="CV38" i="13"/>
  <c r="EI38" i="13" s="1"/>
  <c r="DN40" i="13"/>
  <c r="FA40" i="13" s="1"/>
  <c r="IA40" i="13"/>
  <c r="HW28" i="13"/>
  <c r="EX28" i="13"/>
  <c r="HF40" i="13"/>
  <c r="CS40" i="13"/>
  <c r="EF40" i="13" s="1"/>
  <c r="CR45" i="13"/>
  <c r="EE45" i="13" s="1"/>
  <c r="HE45" i="13"/>
  <c r="CN24" i="13"/>
  <c r="EA24" i="13" s="1"/>
  <c r="AJ24" i="13"/>
  <c r="HH25" i="13"/>
  <c r="CU25" i="13"/>
  <c r="EH25" i="13" s="1"/>
  <c r="DI27" i="13"/>
  <c r="EV27" i="13" s="1"/>
  <c r="DK35" i="13"/>
  <c r="AU35" i="13"/>
  <c r="AV35" i="13" s="1"/>
  <c r="HX35" i="13"/>
  <c r="HY39" i="13"/>
  <c r="DL39" i="13"/>
  <c r="EY39" i="13" s="1"/>
  <c r="FW21" i="13"/>
  <c r="GJ22" i="13"/>
  <c r="CO24" i="13"/>
  <c r="EB24" i="13" s="1"/>
  <c r="DK24" i="13"/>
  <c r="AU24" i="13"/>
  <c r="AV24" i="13" s="1"/>
  <c r="HX24" i="13"/>
  <c r="FW24" i="13"/>
  <c r="CV25" i="13"/>
  <c r="EI25" i="13" s="1"/>
  <c r="HI25" i="13"/>
  <c r="EX40" i="13"/>
  <c r="HL16" i="13"/>
  <c r="HQ18" i="13"/>
  <c r="DL24" i="13"/>
  <c r="EY24" i="13" s="1"/>
  <c r="DS25" i="13"/>
  <c r="FF25" i="13" s="1"/>
  <c r="CP26" i="13"/>
  <c r="EC26" i="13" s="1"/>
  <c r="HM26" i="13"/>
  <c r="GJ26" i="13"/>
  <c r="HE30" i="13"/>
  <c r="CR30" i="13"/>
  <c r="EE30" i="13" s="1"/>
  <c r="HO33" i="13"/>
  <c r="DB33" i="13"/>
  <c r="EO33" i="13" s="1"/>
  <c r="BJ33" i="13"/>
  <c r="CY23" i="13"/>
  <c r="EL23" i="13" s="1"/>
  <c r="CQ24" i="13"/>
  <c r="ED24" i="13" s="1"/>
  <c r="DM24" i="13"/>
  <c r="EZ24" i="13" s="1"/>
  <c r="HK25" i="13"/>
  <c r="CX25" i="13"/>
  <c r="IG25" i="13"/>
  <c r="DT25" i="13"/>
  <c r="FG25" i="13" s="1"/>
  <c r="HB25" i="13"/>
  <c r="CQ26" i="13"/>
  <c r="ED26" i="13" s="1"/>
  <c r="DN26" i="13"/>
  <c r="FA26" i="13" s="1"/>
  <c r="HC26" i="13"/>
  <c r="ID30" i="13"/>
  <c r="DQ30" i="13"/>
  <c r="FD30" i="13" s="1"/>
  <c r="BJ16" i="13"/>
  <c r="HD26" i="13"/>
  <c r="HL29" i="13"/>
  <c r="CY29" i="13"/>
  <c r="EL29" i="13" s="1"/>
  <c r="DO35" i="13"/>
  <c r="FB35" i="13" s="1"/>
  <c r="IB35" i="13"/>
  <c r="CK18" i="13"/>
  <c r="DG18" i="13"/>
  <c r="ET18" i="13" s="1"/>
  <c r="GX18" i="13"/>
  <c r="HG19" i="13"/>
  <c r="IC19" i="13"/>
  <c r="CS24" i="13"/>
  <c r="EF24" i="13" s="1"/>
  <c r="HF24" i="13"/>
  <c r="EX30" i="13"/>
  <c r="DE33" i="13"/>
  <c r="ER33" i="13" s="1"/>
  <c r="HR33" i="13"/>
  <c r="DC16" i="13"/>
  <c r="GY18" i="13"/>
  <c r="CL18" i="13"/>
  <c r="DY18" i="13" s="1"/>
  <c r="HU18" i="13"/>
  <c r="DH18" i="13"/>
  <c r="EU18" i="13" s="1"/>
  <c r="HH19" i="13"/>
  <c r="ID19" i="13"/>
  <c r="HG24" i="13"/>
  <c r="DA25" i="13"/>
  <c r="EN25" i="13" s="1"/>
  <c r="HN25" i="13"/>
  <c r="DQ26" i="13"/>
  <c r="FD26" i="13" s="1"/>
  <c r="DQ31" i="13"/>
  <c r="FD31" i="13" s="1"/>
  <c r="ID31" i="13"/>
  <c r="GZ32" i="13"/>
  <c r="CM32" i="13"/>
  <c r="DZ32" i="13" s="1"/>
  <c r="HP33" i="13"/>
  <c r="DC33" i="13"/>
  <c r="EP33" i="13" s="1"/>
  <c r="HA35" i="13"/>
  <c r="HY35" i="13"/>
  <c r="DL35" i="13"/>
  <c r="EY35" i="13" s="1"/>
  <c r="BW35" i="13"/>
  <c r="AU38" i="13"/>
  <c r="AV38" i="13" s="1"/>
  <c r="IB38" i="13"/>
  <c r="EL39" i="13"/>
  <c r="FW39" i="13"/>
  <c r="CS43" i="13"/>
  <c r="EF43" i="13" s="1"/>
  <c r="HF43" i="13"/>
  <c r="HX29" i="13"/>
  <c r="DR31" i="13"/>
  <c r="FE31" i="13" s="1"/>
  <c r="IE31" i="13"/>
  <c r="HH31" i="13"/>
  <c r="HA32" i="13"/>
  <c r="CN32" i="13"/>
  <c r="EA32" i="13" s="1"/>
  <c r="HX32" i="13"/>
  <c r="AU32" i="13"/>
  <c r="AV32" i="13" s="1"/>
  <c r="CO35" i="13"/>
  <c r="EB35" i="13" s="1"/>
  <c r="HB35" i="13"/>
  <c r="DM35" i="13"/>
  <c r="EZ35" i="13" s="1"/>
  <c r="HZ35" i="13"/>
  <c r="CN35" i="13"/>
  <c r="EA35" i="13" s="1"/>
  <c r="FW35" i="13"/>
  <c r="BJ36" i="13"/>
  <c r="HE40" i="13"/>
  <c r="CR40" i="13"/>
  <c r="EE40" i="13" s="1"/>
  <c r="CP42" i="13"/>
  <c r="EC42" i="13" s="1"/>
  <c r="HC42" i="13"/>
  <c r="CR44" i="13"/>
  <c r="EE44" i="13" s="1"/>
  <c r="HE44" i="13"/>
  <c r="GX24" i="13"/>
  <c r="CK24" i="13"/>
  <c r="HT24" i="13"/>
  <c r="DG24" i="13"/>
  <c r="ET24" i="13" s="1"/>
  <c r="HG25" i="13"/>
  <c r="IC25" i="13"/>
  <c r="HT26" i="13"/>
  <c r="HO27" i="13"/>
  <c r="DB27" i="13"/>
  <c r="EO27" i="13" s="1"/>
  <c r="DQ28" i="13"/>
  <c r="FD28" i="13" s="1"/>
  <c r="CR32" i="13"/>
  <c r="EE32" i="13" s="1"/>
  <c r="HE32" i="13"/>
  <c r="DH33" i="13"/>
  <c r="EU33" i="13" s="1"/>
  <c r="HU33" i="13"/>
  <c r="BJ37" i="13"/>
  <c r="IG38" i="13"/>
  <c r="DT38" i="13"/>
  <c r="FG38" i="13" s="1"/>
  <c r="GX26" i="13"/>
  <c r="W26" i="13"/>
  <c r="HU26" i="13"/>
  <c r="HV27" i="13"/>
  <c r="IF30" i="13"/>
  <c r="DS30" i="13"/>
  <c r="FF30" i="13" s="1"/>
  <c r="IA30" i="13"/>
  <c r="BJ31" i="13"/>
  <c r="W33" i="13"/>
  <c r="GY33" i="13"/>
  <c r="HR37" i="13"/>
  <c r="DE37" i="13"/>
  <c r="ER37" i="13" s="1"/>
  <c r="DS28" i="13"/>
  <c r="FF28" i="13" s="1"/>
  <c r="HN31" i="13"/>
  <c r="ID32" i="13"/>
  <c r="DQ32" i="13"/>
  <c r="FD32" i="13" s="1"/>
  <c r="CM33" i="13"/>
  <c r="DZ33" i="13" s="1"/>
  <c r="GZ33" i="13"/>
  <c r="DK33" i="13"/>
  <c r="HX33" i="13"/>
  <c r="AU33" i="13"/>
  <c r="AV33" i="13" s="1"/>
  <c r="CN34" i="13"/>
  <c r="EA34" i="13" s="1"/>
  <c r="HA34" i="13"/>
  <c r="DK34" i="13"/>
  <c r="HX34" i="13"/>
  <c r="DO38" i="13"/>
  <c r="FB38" i="13" s="1"/>
  <c r="GJ40" i="13"/>
  <c r="AJ30" i="13"/>
  <c r="CU32" i="13"/>
  <c r="EH32" i="13" s="1"/>
  <c r="DL33" i="13"/>
  <c r="EY33" i="13" s="1"/>
  <c r="HY33" i="13"/>
  <c r="HX37" i="13"/>
  <c r="AJ42" i="13"/>
  <c r="HX26" i="13"/>
  <c r="DK26" i="13"/>
  <c r="AU26" i="13"/>
  <c r="AV26" i="13" s="1"/>
  <c r="DF27" i="13"/>
  <c r="ES27" i="13" s="1"/>
  <c r="GX27" i="13"/>
  <c r="DR29" i="13"/>
  <c r="FE29" i="13" s="1"/>
  <c r="HP31" i="13"/>
  <c r="DC31" i="13"/>
  <c r="EP31" i="13" s="1"/>
  <c r="EK32" i="13"/>
  <c r="CO33" i="13"/>
  <c r="EB33" i="13" s="1"/>
  <c r="W37" i="13"/>
  <c r="CK37" i="13"/>
  <c r="HU37" i="13"/>
  <c r="DH37" i="13"/>
  <c r="EU37" i="13" s="1"/>
  <c r="CH38" i="13"/>
  <c r="CI38" i="13" s="1"/>
  <c r="DL38" i="13"/>
  <c r="EY38" i="13" s="1"/>
  <c r="CX41" i="13"/>
  <c r="AJ41" i="13"/>
  <c r="HK41" i="13"/>
  <c r="CY25" i="13"/>
  <c r="EL25" i="13" s="1"/>
  <c r="HB26" i="13"/>
  <c r="CO26" i="13"/>
  <c r="EB26" i="13" s="1"/>
  <c r="DL26" i="13"/>
  <c r="EY26" i="13" s="1"/>
  <c r="DH26" i="13"/>
  <c r="EU26" i="13" s="1"/>
  <c r="DS29" i="13"/>
  <c r="FF29" i="13" s="1"/>
  <c r="BJ30" i="13"/>
  <c r="HK32" i="13"/>
  <c r="HC33" i="13"/>
  <c r="CP33" i="13"/>
  <c r="EC33" i="13" s="1"/>
  <c r="GY37" i="13"/>
  <c r="CL37" i="13"/>
  <c r="DY37" i="13" s="1"/>
  <c r="HV37" i="13"/>
  <c r="DI37" i="13"/>
  <c r="EV37" i="13" s="1"/>
  <c r="HO44" i="13"/>
  <c r="AJ44" i="13"/>
  <c r="DB44" i="13"/>
  <c r="EO44" i="13" s="1"/>
  <c r="HN30" i="13"/>
  <c r="DA30" i="13"/>
  <c r="EN30" i="13" s="1"/>
  <c r="HD33" i="13"/>
  <c r="CQ33" i="13"/>
  <c r="ED33" i="13" s="1"/>
  <c r="GZ37" i="13"/>
  <c r="CM37" i="13"/>
  <c r="DZ37" i="13" s="1"/>
  <c r="AJ37" i="13"/>
  <c r="CX28" i="13"/>
  <c r="DD31" i="13"/>
  <c r="EQ31" i="13" s="1"/>
  <c r="CN37" i="13"/>
  <c r="EA37" i="13" s="1"/>
  <c r="EX41" i="13"/>
  <c r="HE46" i="13"/>
  <c r="CR46" i="13"/>
  <c r="EE46" i="13" s="1"/>
  <c r="DB25" i="13"/>
  <c r="EO25" i="13" s="1"/>
  <c r="CK26" i="13"/>
  <c r="DC30" i="13"/>
  <c r="EP30" i="13" s="1"/>
  <c r="HP30" i="13"/>
  <c r="CX30" i="13"/>
  <c r="EK33" i="13"/>
  <c r="EK37" i="13"/>
  <c r="DB41" i="13"/>
  <c r="EO41" i="13" s="1"/>
  <c r="HO41" i="13"/>
  <c r="HP22" i="13"/>
  <c r="CS26" i="13"/>
  <c r="EF26" i="13" s="1"/>
  <c r="IF28" i="13"/>
  <c r="DD30" i="13"/>
  <c r="EQ30" i="13" s="1"/>
  <c r="CY30" i="13"/>
  <c r="EL30" i="13" s="1"/>
  <c r="BJ32" i="13"/>
  <c r="HG33" i="13"/>
  <c r="CT33" i="13"/>
  <c r="EG33" i="13" s="1"/>
  <c r="IG36" i="13"/>
  <c r="DT36" i="13"/>
  <c r="FG36" i="13" s="1"/>
  <c r="IB40" i="13"/>
  <c r="DC41" i="13"/>
  <c r="EP41" i="13" s="1"/>
  <c r="HP41" i="13"/>
  <c r="CT25" i="13"/>
  <c r="EG25" i="13" s="1"/>
  <c r="CV29" i="13"/>
  <c r="EI29" i="13" s="1"/>
  <c r="CZ30" i="13"/>
  <c r="EM30" i="13" s="1"/>
  <c r="FW30" i="13"/>
  <c r="GZ31" i="13"/>
  <c r="DI31" i="13"/>
  <c r="EV31" i="13" s="1"/>
  <c r="AJ36" i="13"/>
  <c r="CX36" i="13"/>
  <c r="HK36" i="13"/>
  <c r="AU36" i="13"/>
  <c r="AV36" i="13" s="1"/>
  <c r="DG40" i="13"/>
  <c r="ET40" i="13" s="1"/>
  <c r="HT40" i="13"/>
  <c r="IE46" i="13"/>
  <c r="CH27" i="13"/>
  <c r="CI27" i="13" s="1"/>
  <c r="HQ29" i="13"/>
  <c r="DD29" i="13"/>
  <c r="EQ29" i="13" s="1"/>
  <c r="HS30" i="13"/>
  <c r="DB30" i="13"/>
  <c r="EO30" i="13" s="1"/>
  <c r="HX31" i="13"/>
  <c r="DK31" i="13"/>
  <c r="DK32" i="13"/>
  <c r="IG33" i="13"/>
  <c r="DT33" i="13"/>
  <c r="FG33" i="13" s="1"/>
  <c r="FW33" i="13"/>
  <c r="DE34" i="13"/>
  <c r="ER34" i="13" s="1"/>
  <c r="BW34" i="13"/>
  <c r="FW34" i="13"/>
  <c r="CY36" i="13"/>
  <c r="EL36" i="13" s="1"/>
  <c r="HL36" i="13"/>
  <c r="CK40" i="13"/>
  <c r="W40" i="13"/>
  <c r="CH42" i="13"/>
  <c r="CI42" i="13" s="1"/>
  <c r="DF45" i="13"/>
  <c r="ES45" i="13" s="1"/>
  <c r="HS45" i="13"/>
  <c r="DS46" i="13"/>
  <c r="FF46" i="13" s="1"/>
  <c r="IF46" i="13"/>
  <c r="GJ25" i="13"/>
  <c r="EK29" i="13"/>
  <c r="CK30" i="13"/>
  <c r="HI30" i="13"/>
  <c r="HB31" i="13"/>
  <c r="AJ33" i="13"/>
  <c r="DM33" i="13"/>
  <c r="EZ33" i="13" s="1"/>
  <c r="HV33" i="13"/>
  <c r="AU34" i="13"/>
  <c r="AV34" i="13" s="1"/>
  <c r="EX37" i="13"/>
  <c r="GU42" i="13"/>
  <c r="GV42" i="13" s="1"/>
  <c r="W46" i="13"/>
  <c r="CL28" i="13"/>
  <c r="DY28" i="13" s="1"/>
  <c r="DH28" i="13"/>
  <c r="EU28" i="13" s="1"/>
  <c r="HS29" i="13"/>
  <c r="DF29" i="13"/>
  <c r="ES29" i="13" s="1"/>
  <c r="FW29" i="13"/>
  <c r="DH30" i="13"/>
  <c r="EU30" i="13" s="1"/>
  <c r="HK30" i="13"/>
  <c r="DM31" i="13"/>
  <c r="EZ31" i="13" s="1"/>
  <c r="DF32" i="13"/>
  <c r="ES32" i="13" s="1"/>
  <c r="HS32" i="13"/>
  <c r="FW32" i="13"/>
  <c r="CZ34" i="13"/>
  <c r="EM34" i="13" s="1"/>
  <c r="HM34" i="13"/>
  <c r="GU34" i="13"/>
  <c r="GV34" i="13" s="1"/>
  <c r="W39" i="13"/>
  <c r="CK39" i="13"/>
  <c r="DH39" i="13"/>
  <c r="EU39" i="13" s="1"/>
  <c r="HU39" i="13"/>
  <c r="AU40" i="13"/>
  <c r="AV40" i="13" s="1"/>
  <c r="HX40" i="13"/>
  <c r="HU42" i="13"/>
  <c r="DH42" i="13"/>
  <c r="EU42" i="13" s="1"/>
  <c r="CK29" i="13"/>
  <c r="HT29" i="13"/>
  <c r="DG29" i="13"/>
  <c r="ET29" i="13" s="1"/>
  <c r="HV30" i="13"/>
  <c r="DI30" i="13"/>
  <c r="EV30" i="13" s="1"/>
  <c r="IA31" i="13"/>
  <c r="DN31" i="13"/>
  <c r="FA31" i="13" s="1"/>
  <c r="DG32" i="13"/>
  <c r="ET32" i="13" s="1"/>
  <c r="HT32" i="13"/>
  <c r="HM33" i="13"/>
  <c r="DA34" i="13"/>
  <c r="EN34" i="13" s="1"/>
  <c r="HN34" i="13"/>
  <c r="BJ34" i="13"/>
  <c r="DR37" i="13"/>
  <c r="FE37" i="13" s="1"/>
  <c r="IE37" i="13"/>
  <c r="AU37" i="13"/>
  <c r="AV37" i="13" s="1"/>
  <c r="GY42" i="13"/>
  <c r="W42" i="13"/>
  <c r="CL42" i="13"/>
  <c r="DY42" i="13" s="1"/>
  <c r="HY26" i="13"/>
  <c r="AJ28" i="13"/>
  <c r="GJ29" i="13"/>
  <c r="HE31" i="13"/>
  <c r="CR31" i="13"/>
  <c r="EE31" i="13" s="1"/>
  <c r="CK31" i="13"/>
  <c r="W32" i="13"/>
  <c r="HN33" i="13"/>
  <c r="CH33" i="13"/>
  <c r="CI33" i="13" s="1"/>
  <c r="DP33" i="13"/>
  <c r="FC33" i="13" s="1"/>
  <c r="DB34" i="13"/>
  <c r="EO34" i="13" s="1"/>
  <c r="HO34" i="13"/>
  <c r="GY35" i="13"/>
  <c r="CL35" i="13"/>
  <c r="DY35" i="13" s="1"/>
  <c r="DI35" i="13"/>
  <c r="EV35" i="13" s="1"/>
  <c r="HV35" i="13"/>
  <c r="GJ36" i="13"/>
  <c r="CV37" i="13"/>
  <c r="EI37" i="13" s="1"/>
  <c r="HI37" i="13"/>
  <c r="GJ37" i="13"/>
  <c r="GX37" i="13"/>
  <c r="W45" i="13"/>
  <c r="AJ45" i="13"/>
  <c r="GU39" i="13"/>
  <c r="GV39" i="13" s="1"/>
  <c r="CY41" i="13"/>
  <c r="EL41" i="13" s="1"/>
  <c r="BJ41" i="13"/>
  <c r="GJ42" i="13"/>
  <c r="DQ45" i="13"/>
  <c r="FD45" i="13" s="1"/>
  <c r="CH45" i="13"/>
  <c r="CI45" i="13" s="1"/>
  <c r="CT38" i="13"/>
  <c r="EG38" i="13" s="1"/>
  <c r="HG38" i="13"/>
  <c r="DQ38" i="13"/>
  <c r="FD38" i="13" s="1"/>
  <c r="ID38" i="13"/>
  <c r="GU40" i="13"/>
  <c r="GV40" i="13" s="1"/>
  <c r="DO44" i="13"/>
  <c r="FB44" i="13" s="1"/>
  <c r="IB44" i="13"/>
  <c r="ID46" i="13"/>
  <c r="DQ46" i="13"/>
  <c r="FD46" i="13" s="1"/>
  <c r="CR35" i="13"/>
  <c r="EE35" i="13" s="1"/>
  <c r="DF36" i="13"/>
  <c r="ES36" i="13" s="1"/>
  <c r="HB37" i="13"/>
  <c r="BJ38" i="13"/>
  <c r="DO39" i="13"/>
  <c r="FB39" i="13" s="1"/>
  <c r="IB39" i="13"/>
  <c r="BJ46" i="13"/>
  <c r="CK46" i="13"/>
  <c r="HC32" i="13"/>
  <c r="HZ32" i="13"/>
  <c r="DM32" i="13"/>
  <c r="EZ32" i="13" s="1"/>
  <c r="CP37" i="13"/>
  <c r="EC37" i="13" s="1"/>
  <c r="CZ38" i="13"/>
  <c r="EM38" i="13" s="1"/>
  <c r="IF40" i="13"/>
  <c r="HA42" i="13"/>
  <c r="CN42" i="13"/>
  <c r="EA42" i="13" s="1"/>
  <c r="IA32" i="13"/>
  <c r="CT35" i="13"/>
  <c r="EG35" i="13" s="1"/>
  <c r="DN36" i="13"/>
  <c r="FA36" i="13" s="1"/>
  <c r="DH38" i="13"/>
  <c r="EU38" i="13" s="1"/>
  <c r="HF38" i="13"/>
  <c r="HF39" i="13"/>
  <c r="CO42" i="13"/>
  <c r="EB42" i="13" s="1"/>
  <c r="HB42" i="13"/>
  <c r="DK42" i="13"/>
  <c r="AU42" i="13"/>
  <c r="AV42" i="13" s="1"/>
  <c r="HX42" i="13"/>
  <c r="BW42" i="13"/>
  <c r="CH43" i="13"/>
  <c r="CI43" i="13" s="1"/>
  <c r="DE30" i="13"/>
  <c r="ER30" i="13" s="1"/>
  <c r="CH30" i="13"/>
  <c r="CI30" i="13" s="1"/>
  <c r="IG35" i="13"/>
  <c r="DT35" i="13"/>
  <c r="FG35" i="13" s="1"/>
  <c r="CS37" i="13"/>
  <c r="EF37" i="13" s="1"/>
  <c r="IB37" i="13"/>
  <c r="DO37" i="13"/>
  <c r="FB37" i="13" s="1"/>
  <c r="CO37" i="13"/>
  <c r="EB37" i="13" s="1"/>
  <c r="GY39" i="13"/>
  <c r="HC40" i="13"/>
  <c r="HY40" i="13"/>
  <c r="BW40" i="13"/>
  <c r="CH40" i="13"/>
  <c r="CI40" i="13" s="1"/>
  <c r="W41" i="13"/>
  <c r="HT47" i="13"/>
  <c r="DG47" i="13"/>
  <c r="ET47" i="13" s="1"/>
  <c r="AJ47" i="13"/>
  <c r="GU47" i="13"/>
  <c r="GV47" i="13" s="1"/>
  <c r="HX47" i="13"/>
  <c r="IH47" i="13" s="1"/>
  <c r="W34" i="13"/>
  <c r="CK34" i="13"/>
  <c r="CX35" i="13"/>
  <c r="HK35" i="13"/>
  <c r="AJ35" i="13"/>
  <c r="IF37" i="13"/>
  <c r="DC38" i="13"/>
  <c r="EP38" i="13" s="1"/>
  <c r="HD40" i="13"/>
  <c r="HE42" i="13"/>
  <c r="CR42" i="13"/>
  <c r="EE42" i="13" s="1"/>
  <c r="IA42" i="13"/>
  <c r="HR43" i="13"/>
  <c r="DE43" i="13"/>
  <c r="ER43" i="13" s="1"/>
  <c r="CH35" i="13"/>
  <c r="CI35" i="13" s="1"/>
  <c r="AJ39" i="13"/>
  <c r="CT40" i="13"/>
  <c r="EG40" i="13" s="1"/>
  <c r="HG40" i="13"/>
  <c r="BW41" i="13"/>
  <c r="DN29" i="13"/>
  <c r="FA29" i="13" s="1"/>
  <c r="HA31" i="13"/>
  <c r="CZ33" i="13"/>
  <c r="EM33" i="13" s="1"/>
  <c r="HL33" i="13"/>
  <c r="DL34" i="13"/>
  <c r="EY34" i="13" s="1"/>
  <c r="HY34" i="13"/>
  <c r="DM34" i="13"/>
  <c r="EZ34" i="13" s="1"/>
  <c r="DG38" i="13"/>
  <c r="ET38" i="13" s="1"/>
  <c r="HT38" i="13"/>
  <c r="FW38" i="13"/>
  <c r="HS38" i="13"/>
  <c r="HN39" i="13"/>
  <c r="DA39" i="13"/>
  <c r="EN39" i="13" s="1"/>
  <c r="HA40" i="13"/>
  <c r="CK41" i="13"/>
  <c r="CV42" i="13"/>
  <c r="EI42" i="13" s="1"/>
  <c r="HI42" i="13"/>
  <c r="FW36" i="13"/>
  <c r="HX38" i="13"/>
  <c r="GU38" i="13"/>
  <c r="GV38" i="13" s="1"/>
  <c r="HO39" i="13"/>
  <c r="CH39" i="13"/>
  <c r="CI39" i="13" s="1"/>
  <c r="HM39" i="13"/>
  <c r="HL41" i="13"/>
  <c r="IF42" i="13"/>
  <c r="DS42" i="13"/>
  <c r="FF42" i="13" s="1"/>
  <c r="DX43" i="13"/>
  <c r="HS44" i="13"/>
  <c r="DF44" i="13"/>
  <c r="ES44" i="13" s="1"/>
  <c r="GU46" i="13"/>
  <c r="GV46" i="13" s="1"/>
  <c r="HR30" i="13"/>
  <c r="HD34" i="13"/>
  <c r="HQ35" i="13"/>
  <c r="DI39" i="13"/>
  <c r="EV39" i="13" s="1"/>
  <c r="CX42" i="13"/>
  <c r="IG42" i="13"/>
  <c r="BW43" i="13"/>
  <c r="CY43" i="13"/>
  <c r="EL43" i="13" s="1"/>
  <c r="GU43" i="13"/>
  <c r="GV43" i="13" s="1"/>
  <c r="DG44" i="13"/>
  <c r="ET44" i="13" s="1"/>
  <c r="HT44" i="13"/>
  <c r="HD31" i="13"/>
  <c r="HZ31" i="13"/>
  <c r="HE34" i="13"/>
  <c r="IB34" i="13"/>
  <c r="GJ34" i="13"/>
  <c r="HR35" i="13"/>
  <c r="DE35" i="13"/>
  <c r="ER35" i="13" s="1"/>
  <c r="CQ36" i="13"/>
  <c r="ED36" i="13" s="1"/>
  <c r="HD36" i="13"/>
  <c r="BW36" i="13"/>
  <c r="HQ39" i="13"/>
  <c r="ID41" i="13"/>
  <c r="DQ41" i="13"/>
  <c r="FD41" i="13" s="1"/>
  <c r="HF34" i="13"/>
  <c r="HE36" i="13"/>
  <c r="BW38" i="13"/>
  <c r="IE41" i="13"/>
  <c r="GX34" i="13"/>
  <c r="CL38" i="13"/>
  <c r="CZ40" i="13"/>
  <c r="EM40" i="13" s="1"/>
  <c r="BJ40" i="13"/>
  <c r="HH41" i="13"/>
  <c r="CU41" i="13"/>
  <c r="EH41" i="13" s="1"/>
  <c r="GU45" i="13"/>
  <c r="GV45" i="13" s="1"/>
  <c r="CH32" i="13"/>
  <c r="CI32" i="13" s="1"/>
  <c r="CN33" i="13"/>
  <c r="EA33" i="13" s="1"/>
  <c r="HA33" i="13"/>
  <c r="DR34" i="13"/>
  <c r="FE34" i="13" s="1"/>
  <c r="IE34" i="13"/>
  <c r="CP34" i="13"/>
  <c r="EC34" i="13" s="1"/>
  <c r="GX35" i="13"/>
  <c r="W35" i="13"/>
  <c r="CK35" i="13"/>
  <c r="DH35" i="13"/>
  <c r="EU35" i="13" s="1"/>
  <c r="HU35" i="13"/>
  <c r="CH37" i="13"/>
  <c r="CI37" i="13" s="1"/>
  <c r="FW40" i="13"/>
  <c r="HM40" i="13"/>
  <c r="DT42" i="13"/>
  <c r="FG42" i="13" s="1"/>
  <c r="HU43" i="13"/>
  <c r="HQ45" i="13"/>
  <c r="DD45" i="13"/>
  <c r="EQ45" i="13" s="1"/>
  <c r="GJ45" i="13"/>
  <c r="HF46" i="13"/>
  <c r="CS46" i="13"/>
  <c r="EF46" i="13" s="1"/>
  <c r="IB46" i="13"/>
  <c r="DO46" i="13"/>
  <c r="FB46" i="13" s="1"/>
  <c r="GZ42" i="13"/>
  <c r="HV42" i="13"/>
  <c r="HR45" i="13"/>
  <c r="HS47" i="13"/>
  <c r="DF47" i="13"/>
  <c r="ES47" i="13" s="1"/>
  <c r="GZ35" i="13"/>
  <c r="CM35" i="13"/>
  <c r="DZ35" i="13" s="1"/>
  <c r="DL36" i="13"/>
  <c r="EY36" i="13" s="1"/>
  <c r="HY36" i="13"/>
  <c r="GZ38" i="13"/>
  <c r="HV38" i="13"/>
  <c r="AU39" i="13"/>
  <c r="AV39" i="13" s="1"/>
  <c r="HF41" i="13"/>
  <c r="CQ42" i="13"/>
  <c r="ED42" i="13" s="1"/>
  <c r="DX42" i="13"/>
  <c r="CK44" i="13"/>
  <c r="GX44" i="13"/>
  <c r="W44" i="13"/>
  <c r="CZ46" i="13"/>
  <c r="EM46" i="13" s="1"/>
  <c r="CL43" i="13"/>
  <c r="DY43" i="13" s="1"/>
  <c r="GY43" i="13"/>
  <c r="HX44" i="13"/>
  <c r="AU44" i="13"/>
  <c r="AV44" i="13" s="1"/>
  <c r="BW44" i="13"/>
  <c r="CX44" i="13"/>
  <c r="HI41" i="13"/>
  <c r="IF41" i="13"/>
  <c r="IC42" i="13"/>
  <c r="GZ43" i="13"/>
  <c r="CM43" i="13"/>
  <c r="DZ43" i="13" s="1"/>
  <c r="HB45" i="13"/>
  <c r="CO45" i="13"/>
  <c r="EB45" i="13" s="1"/>
  <c r="CN45" i="13"/>
  <c r="EA45" i="13" s="1"/>
  <c r="HX45" i="13"/>
  <c r="CK33" i="13"/>
  <c r="DG33" i="13"/>
  <c r="ET33" i="13" s="1"/>
  <c r="HF36" i="13"/>
  <c r="IC36" i="13"/>
  <c r="DB39" i="13"/>
  <c r="EO39" i="13" s="1"/>
  <c r="DT41" i="13"/>
  <c r="FG41" i="13" s="1"/>
  <c r="IG41" i="13"/>
  <c r="CU42" i="13"/>
  <c r="EH42" i="13" s="1"/>
  <c r="HH42" i="13"/>
  <c r="DQ42" i="13"/>
  <c r="FD42" i="13" s="1"/>
  <c r="ID42" i="13"/>
  <c r="HB44" i="13"/>
  <c r="CO44" i="13"/>
  <c r="EB44" i="13" s="1"/>
  <c r="HF44" i="13"/>
  <c r="HZ45" i="13"/>
  <c r="HO46" i="13"/>
  <c r="HB43" i="13"/>
  <c r="HX43" i="13"/>
  <c r="AU43" i="13"/>
  <c r="AV43" i="13" s="1"/>
  <c r="DK43" i="13"/>
  <c r="HC44" i="13"/>
  <c r="CP44" i="13"/>
  <c r="EC44" i="13" s="1"/>
  <c r="IA44" i="13"/>
  <c r="HD45" i="13"/>
  <c r="CQ45" i="13"/>
  <c r="ED45" i="13" s="1"/>
  <c r="FW45" i="13"/>
  <c r="GX45" i="13"/>
  <c r="IA45" i="13"/>
  <c r="HS41" i="13"/>
  <c r="CO43" i="13"/>
  <c r="EB43" i="13" s="1"/>
  <c r="HG45" i="13"/>
  <c r="HG34" i="13"/>
  <c r="IC34" i="13"/>
  <c r="GZ34" i="13"/>
  <c r="HM36" i="13"/>
  <c r="DM37" i="13"/>
  <c r="EZ37" i="13" s="1"/>
  <c r="AJ38" i="13"/>
  <c r="CX40" i="13"/>
  <c r="DT40" i="13"/>
  <c r="FG40" i="13" s="1"/>
  <c r="CQ40" i="13"/>
  <c r="ED40" i="13" s="1"/>
  <c r="DD41" i="13"/>
  <c r="EQ41" i="13" s="1"/>
  <c r="CU43" i="13"/>
  <c r="EH43" i="13" s="1"/>
  <c r="HH43" i="13"/>
  <c r="ID43" i="13"/>
  <c r="CV44" i="13"/>
  <c r="EI44" i="13" s="1"/>
  <c r="DK45" i="13"/>
  <c r="BJ47" i="13"/>
  <c r="GZ47" i="13"/>
  <c r="BW37" i="13"/>
  <c r="HX39" i="13"/>
  <c r="CY40" i="13"/>
  <c r="EL40" i="13" s="1"/>
  <c r="DE41" i="13"/>
  <c r="ER41" i="13" s="1"/>
  <c r="DI42" i="13"/>
  <c r="EV42" i="13" s="1"/>
  <c r="FW44" i="13"/>
  <c r="HA46" i="13"/>
  <c r="CN46" i="13"/>
  <c r="EA46" i="13" s="1"/>
  <c r="AJ46" i="13"/>
  <c r="W43" i="13"/>
  <c r="HQ43" i="13"/>
  <c r="GJ43" i="13"/>
  <c r="BJ44" i="13"/>
  <c r="BJ45" i="13"/>
  <c r="HN47" i="13"/>
  <c r="DA47" i="13"/>
  <c r="EN47" i="13" s="1"/>
  <c r="CH47" i="13"/>
  <c r="CI47" i="13" s="1"/>
  <c r="CL32" i="13"/>
  <c r="DY32" i="13" s="1"/>
  <c r="HP36" i="13"/>
  <c r="CT37" i="13"/>
  <c r="EG37" i="13" s="1"/>
  <c r="DA38" i="13"/>
  <c r="EN38" i="13" s="1"/>
  <c r="HC39" i="13"/>
  <c r="CP39" i="13"/>
  <c r="EC39" i="13" s="1"/>
  <c r="HZ39" i="13"/>
  <c r="DM39" i="13"/>
  <c r="EZ39" i="13" s="1"/>
  <c r="HN40" i="13"/>
  <c r="GX41" i="13"/>
  <c r="DG41" i="13"/>
  <c r="ET41" i="13" s="1"/>
  <c r="HK43" i="13"/>
  <c r="CX43" i="13"/>
  <c r="IG43" i="13"/>
  <c r="DT43" i="13"/>
  <c r="FG43" i="13" s="1"/>
  <c r="DK44" i="13"/>
  <c r="GU44" i="13"/>
  <c r="GV44" i="13" s="1"/>
  <c r="HO47" i="13"/>
  <c r="DB47" i="13"/>
  <c r="EO47" i="13" s="1"/>
  <c r="CX34" i="13"/>
  <c r="DT34" i="13"/>
  <c r="FG34" i="13" s="1"/>
  <c r="CH36" i="13"/>
  <c r="CI36" i="13" s="1"/>
  <c r="CU37" i="13"/>
  <c r="EH37" i="13" s="1"/>
  <c r="DB38" i="13"/>
  <c r="EO38" i="13" s="1"/>
  <c r="HK38" i="13"/>
  <c r="HD39" i="13"/>
  <c r="DN39" i="13"/>
  <c r="FA39" i="13" s="1"/>
  <c r="BW39" i="13"/>
  <c r="GJ39" i="13"/>
  <c r="HO40" i="13"/>
  <c r="DA40" i="13"/>
  <c r="EN40" i="13" s="1"/>
  <c r="GY41" i="13"/>
  <c r="HU41" i="13"/>
  <c r="DL44" i="13"/>
  <c r="EY44" i="13" s="1"/>
  <c r="EK46" i="13"/>
  <c r="HB46" i="13"/>
  <c r="CO46" i="13"/>
  <c r="EB46" i="13" s="1"/>
  <c r="HX46" i="13"/>
  <c r="DK46" i="13"/>
  <c r="AU46" i="13"/>
  <c r="AV46" i="13" s="1"/>
  <c r="HC46" i="13"/>
  <c r="HY46" i="13"/>
  <c r="BW46" i="13"/>
  <c r="HG46" i="13"/>
  <c r="CT46" i="13"/>
  <c r="EG46" i="13" s="1"/>
  <c r="IC46" i="13"/>
  <c r="DP46" i="13"/>
  <c r="FC46" i="13" s="1"/>
  <c r="DI45" i="13"/>
  <c r="EV45" i="13" s="1"/>
  <c r="CT43" i="13"/>
  <c r="EG43" i="13" s="1"/>
  <c r="DP43" i="13"/>
  <c r="FC43" i="13" s="1"/>
  <c r="HD44" i="13"/>
  <c r="CP45" i="13"/>
  <c r="EC45" i="13" s="1"/>
  <c r="DL45" i="13"/>
  <c r="EY45" i="13" s="1"/>
  <c r="HY45" i="13"/>
  <c r="CY46" i="13"/>
  <c r="EL46" i="13" s="1"/>
  <c r="GX47" i="13"/>
  <c r="W47" i="13"/>
  <c r="CK47" i="13"/>
  <c r="HU47" i="13"/>
  <c r="DH47" i="13"/>
  <c r="EU47" i="13" s="1"/>
  <c r="DP44" i="13"/>
  <c r="FC44" i="13" s="1"/>
  <c r="DM44" i="13"/>
  <c r="EZ44" i="13" s="1"/>
  <c r="HF45" i="13"/>
  <c r="DB46" i="13"/>
  <c r="EO46" i="13" s="1"/>
  <c r="HA47" i="13"/>
  <c r="HL42" i="13"/>
  <c r="CP47" i="13"/>
  <c r="EC47" i="13" s="1"/>
  <c r="HM37" i="13"/>
  <c r="CT39" i="13"/>
  <c r="EG39" i="13" s="1"/>
  <c r="DP39" i="13"/>
  <c r="FC39" i="13" s="1"/>
  <c r="HG39" i="13"/>
  <c r="BJ42" i="13"/>
  <c r="HM43" i="13"/>
  <c r="GZ45" i="13"/>
  <c r="HI35" i="13"/>
  <c r="IE35" i="13"/>
  <c r="CU39" i="13"/>
  <c r="EH39" i="13" s="1"/>
  <c r="DQ39" i="13"/>
  <c r="FD39" i="13" s="1"/>
  <c r="HH39" i="13"/>
  <c r="HP40" i="13"/>
  <c r="BJ43" i="13"/>
  <c r="DS45" i="13"/>
  <c r="FF45" i="13" s="1"/>
  <c r="GJ46" i="13"/>
  <c r="HK46" i="13"/>
  <c r="DO47" i="13"/>
  <c r="FB47" i="13" s="1"/>
  <c r="ID36" i="13"/>
  <c r="HQ40" i="13"/>
  <c r="CY44" i="13"/>
  <c r="EL44" i="13" s="1"/>
  <c r="CQ44" i="13"/>
  <c r="ED44" i="13" s="1"/>
  <c r="HK45" i="13"/>
  <c r="CX45" i="13"/>
  <c r="IG45" i="13"/>
  <c r="DT45" i="13"/>
  <c r="FG45" i="13" s="1"/>
  <c r="CS45" i="13"/>
  <c r="EF45" i="13" s="1"/>
  <c r="DX45" i="13"/>
  <c r="GX46" i="13"/>
  <c r="CS47" i="13"/>
  <c r="EF47" i="13" s="1"/>
  <c r="HH36" i="13"/>
  <c r="IE36" i="13"/>
  <c r="CP41" i="13"/>
  <c r="EC41" i="13" s="1"/>
  <c r="DL41" i="13"/>
  <c r="EY41" i="13" s="1"/>
  <c r="DC42" i="13"/>
  <c r="EP42" i="13" s="1"/>
  <c r="DC43" i="13"/>
  <c r="EP43" i="13" s="1"/>
  <c r="HL45" i="13"/>
  <c r="HC45" i="13"/>
  <c r="HI36" i="13"/>
  <c r="DD37" i="13"/>
  <c r="EQ37" i="13" s="1"/>
  <c r="HD38" i="13"/>
  <c r="HZ38" i="13"/>
  <c r="HC41" i="13"/>
  <c r="DD43" i="13"/>
  <c r="EQ43" i="13" s="1"/>
  <c r="IC44" i="13"/>
  <c r="DE47" i="13"/>
  <c r="ER47" i="13" s="1"/>
  <c r="AU47" i="13"/>
  <c r="AV47" i="13" s="1"/>
  <c r="O14" i="10"/>
  <c r="R6" i="10"/>
  <c r="P14" i="10"/>
  <c r="S6" i="10"/>
  <c r="R8" i="10"/>
  <c r="S8" i="10"/>
  <c r="T8" i="10" s="1"/>
  <c r="U8" i="10" s="1"/>
  <c r="R9" i="10"/>
  <c r="S9" i="10"/>
  <c r="T9" i="10" s="1"/>
  <c r="U9" i="10" s="1"/>
  <c r="R10" i="10"/>
  <c r="S10" i="10"/>
  <c r="T10" i="10" s="1"/>
  <c r="U10" i="10" s="1"/>
  <c r="R7" i="10"/>
  <c r="S7" i="10"/>
  <c r="T7" i="10" s="1"/>
  <c r="U7" i="10" s="1"/>
  <c r="S12" i="10"/>
  <c r="T12" i="10" s="1"/>
  <c r="U12" i="10" s="1"/>
  <c r="R12" i="10"/>
  <c r="R13" i="10"/>
  <c r="S13" i="10"/>
  <c r="T13" i="10" s="1"/>
  <c r="U13" i="10" s="1"/>
  <c r="S11" i="10"/>
  <c r="T11" i="10" s="1"/>
  <c r="U11" i="10" s="1"/>
  <c r="R11" i="10"/>
  <c r="L14" i="10"/>
  <c r="M14" i="10" s="1"/>
  <c r="O7" i="12"/>
  <c r="Q7" i="12" s="1"/>
  <c r="R7" i="12" s="1"/>
  <c r="O8" i="12"/>
  <c r="Q8" i="12" s="1"/>
  <c r="R8" i="12" s="1"/>
  <c r="P10" i="12"/>
  <c r="P9" i="12"/>
  <c r="O9" i="12"/>
  <c r="Q9" i="12" s="1"/>
  <c r="R9" i="12" s="1"/>
  <c r="O10" i="12"/>
  <c r="K69" i="12"/>
  <c r="L69" i="12" s="1"/>
  <c r="K7" i="12"/>
  <c r="L7" i="12" s="1"/>
  <c r="K18" i="12"/>
  <c r="L18" i="12" s="1"/>
  <c r="K39" i="12"/>
  <c r="L39" i="12" s="1"/>
  <c r="J78" i="12"/>
  <c r="K9" i="12"/>
  <c r="L9" i="12" s="1"/>
  <c r="K20" i="12"/>
  <c r="L20" i="12" s="1"/>
  <c r="K42" i="12"/>
  <c r="L42" i="12" s="1"/>
  <c r="K53" i="12"/>
  <c r="L53" i="12" s="1"/>
  <c r="K64" i="12"/>
  <c r="L64" i="12" s="1"/>
  <c r="K75" i="12"/>
  <c r="L75" i="12" s="1"/>
  <c r="K32" i="12"/>
  <c r="L32" i="12" s="1"/>
  <c r="K60" i="12"/>
  <c r="L60" i="12" s="1"/>
  <c r="K71" i="12"/>
  <c r="L71" i="12" s="1"/>
  <c r="K63" i="12"/>
  <c r="L63" i="12" s="1"/>
  <c r="K12" i="12"/>
  <c r="L12" i="12" s="1"/>
  <c r="K55" i="12"/>
  <c r="L55" i="12" s="1"/>
  <c r="K66" i="12"/>
  <c r="L66" i="12" s="1"/>
  <c r="I78" i="12"/>
  <c r="K25" i="12"/>
  <c r="L25" i="12" s="1"/>
  <c r="K46" i="12"/>
  <c r="L46" i="12" s="1"/>
  <c r="K10" i="12"/>
  <c r="L10" i="12" s="1"/>
  <c r="K36" i="12"/>
  <c r="L36" i="12" s="1"/>
  <c r="K57" i="12"/>
  <c r="L57" i="12" s="1"/>
  <c r="K47" i="12"/>
  <c r="L47" i="12" s="1"/>
  <c r="K38" i="12"/>
  <c r="L38" i="12" s="1"/>
  <c r="K48" i="12"/>
  <c r="L48" i="12" s="1"/>
  <c r="K58" i="12"/>
  <c r="L58" i="12" s="1"/>
  <c r="K68" i="12"/>
  <c r="L68" i="12" s="1"/>
  <c r="K49" i="12"/>
  <c r="L49" i="12" s="1"/>
  <c r="K19" i="12"/>
  <c r="L19" i="12" s="1"/>
  <c r="K29" i="12"/>
  <c r="L29" i="12" s="1"/>
  <c r="K30" i="12"/>
  <c r="L30" i="12" s="1"/>
  <c r="K40" i="12"/>
  <c r="L40" i="12" s="1"/>
  <c r="K52" i="12"/>
  <c r="L52" i="12" s="1"/>
  <c r="K11" i="12"/>
  <c r="L11" i="12" s="1"/>
  <c r="K21" i="12"/>
  <c r="L21" i="12" s="1"/>
  <c r="K51" i="12"/>
  <c r="L51" i="12" s="1"/>
  <c r="K62" i="12"/>
  <c r="L62" i="12" s="1"/>
  <c r="K13" i="12"/>
  <c r="L13" i="12" s="1"/>
  <c r="K23" i="12"/>
  <c r="L23" i="12" s="1"/>
  <c r="K33" i="12"/>
  <c r="L33" i="12" s="1"/>
  <c r="K43" i="12"/>
  <c r="L43" i="12" s="1"/>
  <c r="K73" i="12"/>
  <c r="L73" i="12" s="1"/>
  <c r="K74" i="12"/>
  <c r="L74" i="12" s="1"/>
  <c r="K14" i="12"/>
  <c r="L14" i="12" s="1"/>
  <c r="K24" i="12"/>
  <c r="L24" i="12" s="1"/>
  <c r="K34" i="12"/>
  <c r="L34" i="12" s="1"/>
  <c r="K44" i="12"/>
  <c r="L44" i="12" s="1"/>
  <c r="K54" i="12"/>
  <c r="L54" i="12" s="1"/>
  <c r="K37" i="12"/>
  <c r="L37" i="12" s="1"/>
  <c r="AO96" i="11"/>
  <c r="AO98" i="11"/>
  <c r="AG108" i="11"/>
  <c r="AG109" i="11" s="1"/>
  <c r="AD95" i="11"/>
  <c r="AD100" i="11"/>
  <c r="AD93" i="11"/>
  <c r="Q100" i="11"/>
  <c r="Q101" i="11"/>
  <c r="Q98" i="11"/>
  <c r="AO104" i="11"/>
  <c r="AP104" i="11" s="1"/>
  <c r="Q103" i="11"/>
  <c r="AD104" i="11"/>
  <c r="Q105" i="11"/>
  <c r="AO93" i="11"/>
  <c r="E109" i="11"/>
  <c r="AD98" i="11"/>
  <c r="AO99" i="11"/>
  <c r="AP99" i="11" s="1"/>
  <c r="AP96" i="11"/>
  <c r="AP98" i="11"/>
  <c r="AD99" i="11"/>
  <c r="AO101" i="11"/>
  <c r="AP101" i="11" s="1"/>
  <c r="AP107" i="11"/>
  <c r="Q93" i="11"/>
  <c r="AD101" i="11"/>
  <c r="Q102" i="11"/>
  <c r="AD102" i="11"/>
  <c r="AO94" i="11"/>
  <c r="AP94" i="11" s="1"/>
  <c r="AD94" i="11"/>
  <c r="Q95" i="11"/>
  <c r="Q96" i="11"/>
  <c r="AO102" i="11"/>
  <c r="AP102" i="11" s="1"/>
  <c r="Q104" i="11"/>
  <c r="AD103" i="11"/>
  <c r="AO95" i="11"/>
  <c r="AP95" i="11" s="1"/>
  <c r="AD96" i="11"/>
  <c r="Q97" i="11"/>
  <c r="AD105" i="11"/>
  <c r="Q106" i="11"/>
  <c r="Q107" i="11"/>
  <c r="AO100" i="11"/>
  <c r="AP100" i="11" s="1"/>
  <c r="AO103" i="11"/>
  <c r="AP103" i="11" s="1"/>
  <c r="Q99" i="11"/>
  <c r="AP93" i="11"/>
  <c r="R92" i="11"/>
  <c r="S92" i="11" s="1"/>
  <c r="T92" i="11" s="1"/>
  <c r="U92" i="11" s="1"/>
  <c r="V92" i="11" s="1"/>
  <c r="W92" i="11" s="1"/>
  <c r="X92" i="11" s="1"/>
  <c r="Y92" i="11" s="1"/>
  <c r="Z92" i="11" s="1"/>
  <c r="AA92" i="11" s="1"/>
  <c r="AB92" i="11" s="1"/>
  <c r="AC92" i="11" s="1"/>
  <c r="Q92" i="11"/>
  <c r="Q94" i="11"/>
  <c r="Q80" i="11"/>
  <c r="O87" i="11"/>
  <c r="O88" i="11" s="1"/>
  <c r="AO86" i="11"/>
  <c r="AP86" i="11" s="1"/>
  <c r="AO75" i="11"/>
  <c r="Q77" i="11"/>
  <c r="AO77" i="11"/>
  <c r="AP77" i="11" s="1"/>
  <c r="AO73" i="11"/>
  <c r="AP73" i="11" s="1"/>
  <c r="AO84" i="11"/>
  <c r="AP84" i="11" s="1"/>
  <c r="M87" i="11"/>
  <c r="M88" i="11" s="1"/>
  <c r="X87" i="11"/>
  <c r="X88" i="11" s="1"/>
  <c r="AO83" i="11"/>
  <c r="AP83" i="11" s="1"/>
  <c r="N87" i="11"/>
  <c r="N88" i="11" s="1"/>
  <c r="AO78" i="11"/>
  <c r="AP78" i="11" s="1"/>
  <c r="AD79" i="11"/>
  <c r="AD77" i="11"/>
  <c r="Q83" i="11"/>
  <c r="F87" i="11"/>
  <c r="F88" i="11" s="1"/>
  <c r="AC87" i="11"/>
  <c r="AC88" i="11" s="1"/>
  <c r="AO76" i="11"/>
  <c r="AP76" i="11" s="1"/>
  <c r="AD82" i="11"/>
  <c r="G87" i="11"/>
  <c r="G88" i="11" s="1"/>
  <c r="AL87" i="11"/>
  <c r="AL88" i="11" s="1"/>
  <c r="Q82" i="11"/>
  <c r="AO82" i="11"/>
  <c r="AP82" i="11" s="1"/>
  <c r="AD83" i="11"/>
  <c r="Q84" i="11"/>
  <c r="AD81" i="11"/>
  <c r="Z87" i="11"/>
  <c r="Z88" i="11" s="1"/>
  <c r="AO80" i="11"/>
  <c r="AP80" i="11" s="1"/>
  <c r="AA87" i="11"/>
  <c r="AA88" i="11" s="1"/>
  <c r="AF87" i="11"/>
  <c r="AF88" i="11" s="1"/>
  <c r="Q76" i="11"/>
  <c r="AM87" i="11"/>
  <c r="AM88" i="11" s="1"/>
  <c r="AG87" i="11"/>
  <c r="AG88" i="11" s="1"/>
  <c r="P87" i="11"/>
  <c r="P88" i="11" s="1"/>
  <c r="AN87" i="11"/>
  <c r="AN88" i="11" s="1"/>
  <c r="J87" i="11"/>
  <c r="J88" i="11" s="1"/>
  <c r="AP75" i="11"/>
  <c r="R87" i="11"/>
  <c r="R88" i="11" s="1"/>
  <c r="K87" i="11"/>
  <c r="K88" i="11" s="1"/>
  <c r="Y87" i="11"/>
  <c r="Y88" i="11" s="1"/>
  <c r="Q75" i="11"/>
  <c r="Q86" i="11"/>
  <c r="AD74" i="11"/>
  <c r="AD80" i="11"/>
  <c r="Q81" i="11"/>
  <c r="AO79" i="11"/>
  <c r="AP79" i="11" s="1"/>
  <c r="AE87" i="11"/>
  <c r="AE88" i="11" s="1"/>
  <c r="AO81" i="11"/>
  <c r="AP81" i="11" s="1"/>
  <c r="AD85" i="11"/>
  <c r="H87" i="11"/>
  <c r="H88" i="11" s="1"/>
  <c r="S87" i="11"/>
  <c r="S88" i="11" s="1"/>
  <c r="Q74" i="11"/>
  <c r="Q79" i="11"/>
  <c r="I87" i="11"/>
  <c r="I88" i="11" s="1"/>
  <c r="T87" i="11"/>
  <c r="T88" i="11" s="1"/>
  <c r="AH87" i="11"/>
  <c r="AH88" i="11" s="1"/>
  <c r="U87" i="11"/>
  <c r="U88" i="11" s="1"/>
  <c r="AO74" i="11"/>
  <c r="AP74" i="11" s="1"/>
  <c r="AD75" i="11"/>
  <c r="AD84" i="11"/>
  <c r="Q85" i="11"/>
  <c r="AI87" i="11"/>
  <c r="AI88" i="11" s="1"/>
  <c r="V87" i="11"/>
  <c r="V88" i="11" s="1"/>
  <c r="AD78" i="11"/>
  <c r="L87" i="11"/>
  <c r="L88" i="11" s="1"/>
  <c r="AJ87" i="11"/>
  <c r="AJ88" i="11" s="1"/>
  <c r="W87" i="11"/>
  <c r="W88" i="11" s="1"/>
  <c r="Q78" i="11"/>
  <c r="AO85" i="11"/>
  <c r="AP85" i="11" s="1"/>
  <c r="AD86" i="11"/>
  <c r="R71" i="11"/>
  <c r="S71" i="11" s="1"/>
  <c r="T71" i="11" s="1"/>
  <c r="U71" i="11" s="1"/>
  <c r="V71" i="11" s="1"/>
  <c r="W71" i="11" s="1"/>
  <c r="X71" i="11" s="1"/>
  <c r="Y71" i="11" s="1"/>
  <c r="Z71" i="11" s="1"/>
  <c r="AA71" i="11" s="1"/>
  <c r="AB71" i="11" s="1"/>
  <c r="AC71" i="11" s="1"/>
  <c r="Q71" i="11"/>
  <c r="AD73" i="11"/>
  <c r="AO72" i="11"/>
  <c r="AD76" i="11"/>
  <c r="E87" i="11"/>
  <c r="E88" i="11" s="1"/>
  <c r="AK87" i="11"/>
  <c r="AK88" i="11" s="1"/>
  <c r="Q72" i="11"/>
  <c r="N66" i="11"/>
  <c r="N67" i="11" s="1"/>
  <c r="O66" i="11"/>
  <c r="O67" i="11" s="1"/>
  <c r="Q62" i="11"/>
  <c r="P66" i="11"/>
  <c r="P67" i="11" s="1"/>
  <c r="AP57" i="11"/>
  <c r="AD51" i="11"/>
  <c r="Q52" i="11"/>
  <c r="AO63" i="11"/>
  <c r="AP63" i="11" s="1"/>
  <c r="AO54" i="11"/>
  <c r="AP54" i="11" s="1"/>
  <c r="AD55" i="11"/>
  <c r="Q56" i="11"/>
  <c r="AE66" i="11"/>
  <c r="AE67" i="11" s="1"/>
  <c r="AL66" i="11"/>
  <c r="AL67" i="11" s="1"/>
  <c r="Q61" i="11"/>
  <c r="AO61" i="11"/>
  <c r="AP61" i="11" s="1"/>
  <c r="AD62" i="11"/>
  <c r="Q63" i="11"/>
  <c r="AF66" i="11"/>
  <c r="AF67" i="11" s="1"/>
  <c r="Q55" i="11"/>
  <c r="AM66" i="11"/>
  <c r="AM67" i="11" s="1"/>
  <c r="Y66" i="11"/>
  <c r="Y67" i="11" s="1"/>
  <c r="L66" i="11"/>
  <c r="L67" i="11" s="1"/>
  <c r="Q54" i="11"/>
  <c r="AO56" i="11"/>
  <c r="AP56" i="11" s="1"/>
  <c r="AO65" i="11"/>
  <c r="AP65" i="11" s="1"/>
  <c r="J66" i="11"/>
  <c r="J67" i="11" s="1"/>
  <c r="AH66" i="11"/>
  <c r="AH67" i="11" s="1"/>
  <c r="AD60" i="11"/>
  <c r="Z66" i="11"/>
  <c r="Z67" i="11" s="1"/>
  <c r="AO59" i="11"/>
  <c r="AP59" i="11" s="1"/>
  <c r="AD56" i="11"/>
  <c r="I66" i="11"/>
  <c r="I67" i="11" s="1"/>
  <c r="AN66" i="11"/>
  <c r="AN67" i="11" s="1"/>
  <c r="AO58" i="11"/>
  <c r="AP58" i="11" s="1"/>
  <c r="AO52" i="11"/>
  <c r="AP52" i="11" s="1"/>
  <c r="AA66" i="11"/>
  <c r="AA67" i="11" s="1"/>
  <c r="AO60" i="11"/>
  <c r="AP60" i="11" s="1"/>
  <c r="AD64" i="11"/>
  <c r="S66" i="11"/>
  <c r="S67" i="11" s="1"/>
  <c r="Q53" i="11"/>
  <c r="AB66" i="11"/>
  <c r="AB67" i="11" s="1"/>
  <c r="Q58" i="11"/>
  <c r="AG66" i="11"/>
  <c r="AG67" i="11" s="1"/>
  <c r="T66" i="11"/>
  <c r="T67" i="11" s="1"/>
  <c r="F66" i="11"/>
  <c r="F67" i="11" s="1"/>
  <c r="AC66" i="11"/>
  <c r="AC67" i="11" s="1"/>
  <c r="U66" i="11"/>
  <c r="U67" i="11" s="1"/>
  <c r="G66" i="11"/>
  <c r="G67" i="11" s="1"/>
  <c r="AO53" i="11"/>
  <c r="AP53" i="11" s="1"/>
  <c r="AD54" i="11"/>
  <c r="AD63" i="11"/>
  <c r="Q64" i="11"/>
  <c r="K66" i="11"/>
  <c r="K67" i="11" s="1"/>
  <c r="AI66" i="11"/>
  <c r="AI67" i="11" s="1"/>
  <c r="V66" i="11"/>
  <c r="V67" i="11" s="1"/>
  <c r="H66" i="11"/>
  <c r="H67" i="11" s="1"/>
  <c r="AD57" i="11"/>
  <c r="AJ66" i="11"/>
  <c r="AJ67" i="11" s="1"/>
  <c r="W66" i="11"/>
  <c r="W67" i="11" s="1"/>
  <c r="Q57" i="11"/>
  <c r="AO64" i="11"/>
  <c r="AP64" i="11" s="1"/>
  <c r="AD65" i="11"/>
  <c r="AO55" i="11"/>
  <c r="AP55" i="11" s="1"/>
  <c r="AD61" i="11"/>
  <c r="Q65" i="11"/>
  <c r="AD53" i="11"/>
  <c r="AD59" i="11"/>
  <c r="Q60" i="11"/>
  <c r="M66" i="11"/>
  <c r="M67" i="11" s="1"/>
  <c r="X66" i="11"/>
  <c r="X67" i="11" s="1"/>
  <c r="AO62" i="11"/>
  <c r="AP62" i="11" s="1"/>
  <c r="R50" i="11"/>
  <c r="S50" i="11" s="1"/>
  <c r="T50" i="11" s="1"/>
  <c r="U50" i="11" s="1"/>
  <c r="V50" i="11" s="1"/>
  <c r="W50" i="11" s="1"/>
  <c r="X50" i="11" s="1"/>
  <c r="Y50" i="11" s="1"/>
  <c r="Z50" i="11" s="1"/>
  <c r="AA50" i="11" s="1"/>
  <c r="AB50" i="11" s="1"/>
  <c r="AC50" i="11" s="1"/>
  <c r="Q50" i="11"/>
  <c r="AD52" i="11"/>
  <c r="R66" i="11"/>
  <c r="R67" i="11" s="1"/>
  <c r="Q51" i="11"/>
  <c r="AO51" i="11"/>
  <c r="E66" i="11"/>
  <c r="E67" i="11" s="1"/>
  <c r="AK66" i="11"/>
  <c r="AK67" i="11" s="1"/>
  <c r="N45" i="11"/>
  <c r="AL45" i="11"/>
  <c r="AL46" i="11" s="1"/>
  <c r="AO36" i="11"/>
  <c r="AP36" i="11" s="1"/>
  <c r="AD37" i="11"/>
  <c r="Q38" i="11"/>
  <c r="O45" i="11"/>
  <c r="AO42" i="11"/>
  <c r="AP42" i="11" s="1"/>
  <c r="AN45" i="11"/>
  <c r="AN46" i="11" s="1"/>
  <c r="AO33" i="11"/>
  <c r="AP33" i="11" s="1"/>
  <c r="Q35" i="11"/>
  <c r="AO44" i="11"/>
  <c r="AP44" i="11" s="1"/>
  <c r="AO35" i="11"/>
  <c r="AP35" i="11" s="1"/>
  <c r="AD35" i="11"/>
  <c r="Q41" i="11"/>
  <c r="AD30" i="11"/>
  <c r="Q31" i="11"/>
  <c r="AK45" i="11"/>
  <c r="AK46" i="11" s="1"/>
  <c r="AD40" i="11"/>
  <c r="AE45" i="11"/>
  <c r="AE46" i="11" s="1"/>
  <c r="Q40" i="11"/>
  <c r="AO40" i="11"/>
  <c r="AP40" i="11" s="1"/>
  <c r="AD41" i="11"/>
  <c r="Q42" i="11"/>
  <c r="AF45" i="11"/>
  <c r="AF46" i="11" s="1"/>
  <c r="Q34" i="11"/>
  <c r="AM45" i="11"/>
  <c r="AM46" i="11" s="1"/>
  <c r="P45" i="11"/>
  <c r="I45" i="11"/>
  <c r="J45" i="11"/>
  <c r="R45" i="11"/>
  <c r="R46" i="11" s="1"/>
  <c r="AD39" i="11"/>
  <c r="Y45" i="11"/>
  <c r="Y46" i="11" s="1"/>
  <c r="Z45" i="11"/>
  <c r="Z46" i="11" s="1"/>
  <c r="AO38" i="11"/>
  <c r="AP38" i="11" s="1"/>
  <c r="AD32" i="11"/>
  <c r="AD38" i="11"/>
  <c r="Q39" i="11"/>
  <c r="Q44" i="11"/>
  <c r="AO37" i="11"/>
  <c r="AP37" i="11" s="1"/>
  <c r="AO31" i="11"/>
  <c r="AP31" i="11" s="1"/>
  <c r="AA45" i="11"/>
  <c r="AA46" i="11" s="1"/>
  <c r="AO39" i="11"/>
  <c r="AP39" i="11" s="1"/>
  <c r="AD43" i="11"/>
  <c r="S45" i="11"/>
  <c r="S46" i="11" s="1"/>
  <c r="Q32" i="11"/>
  <c r="AB45" i="11"/>
  <c r="AB46" i="11" s="1"/>
  <c r="Q37" i="11"/>
  <c r="T45" i="11"/>
  <c r="T46" i="11" s="1"/>
  <c r="F45" i="11"/>
  <c r="AC45" i="11"/>
  <c r="AC46" i="11" s="1"/>
  <c r="AH45" i="11"/>
  <c r="AH46" i="11" s="1"/>
  <c r="U45" i="11"/>
  <c r="U46" i="11" s="1"/>
  <c r="G45" i="11"/>
  <c r="G46" i="11" s="1"/>
  <c r="AO32" i="11"/>
  <c r="AP32" i="11" s="1"/>
  <c r="AD33" i="11"/>
  <c r="AD42" i="11"/>
  <c r="Q43" i="11"/>
  <c r="Q33" i="11"/>
  <c r="AI45" i="11"/>
  <c r="AI46" i="11" s="1"/>
  <c r="V45" i="11"/>
  <c r="V46" i="11" s="1"/>
  <c r="H45" i="11"/>
  <c r="AD36" i="11"/>
  <c r="L45" i="11"/>
  <c r="AJ45" i="11"/>
  <c r="AJ46" i="11" s="1"/>
  <c r="W45" i="11"/>
  <c r="W46" i="11" s="1"/>
  <c r="Q36" i="11"/>
  <c r="AO43" i="11"/>
  <c r="AP43" i="11" s="1"/>
  <c r="AD44" i="11"/>
  <c r="AG45" i="11"/>
  <c r="AG46" i="11" s="1"/>
  <c r="K45" i="11"/>
  <c r="Q30" i="11"/>
  <c r="X45" i="11"/>
  <c r="X46" i="11" s="1"/>
  <c r="AO41" i="11"/>
  <c r="AP41" i="11" s="1"/>
  <c r="R29" i="11"/>
  <c r="S29" i="11" s="1"/>
  <c r="T29" i="11" s="1"/>
  <c r="U29" i="11" s="1"/>
  <c r="V29" i="11" s="1"/>
  <c r="W29" i="11" s="1"/>
  <c r="X29" i="11" s="1"/>
  <c r="Y29" i="11" s="1"/>
  <c r="Z29" i="11" s="1"/>
  <c r="AA29" i="11" s="1"/>
  <c r="AB29" i="11" s="1"/>
  <c r="AC29" i="11" s="1"/>
  <c r="Q29" i="11"/>
  <c r="AO30" i="11"/>
  <c r="AD31" i="11"/>
  <c r="AO34" i="11"/>
  <c r="AP34" i="11" s="1"/>
  <c r="AD34" i="11"/>
  <c r="M45" i="11"/>
  <c r="E45" i="11"/>
  <c r="AI24" i="11"/>
  <c r="AI25" i="11" s="1"/>
  <c r="L24" i="11"/>
  <c r="AJ24" i="11"/>
  <c r="AJ25" i="11" s="1"/>
  <c r="M24" i="11"/>
  <c r="AK24" i="11"/>
  <c r="AK25" i="11" s="1"/>
  <c r="P24" i="11"/>
  <c r="AN24" i="11"/>
  <c r="AN25" i="11" s="1"/>
  <c r="AO17" i="11"/>
  <c r="Q14" i="11"/>
  <c r="K24" i="11"/>
  <c r="K25" i="11" s="1"/>
  <c r="S24" i="11"/>
  <c r="S25" i="11" s="1"/>
  <c r="AO19" i="11"/>
  <c r="AP19" i="11" s="1"/>
  <c r="AP17" i="11"/>
  <c r="AD17" i="11"/>
  <c r="F24" i="11"/>
  <c r="F25" i="11" s="1"/>
  <c r="AC24" i="11"/>
  <c r="AC25" i="11" s="1"/>
  <c r="T24" i="11"/>
  <c r="T25" i="11" s="1"/>
  <c r="AA24" i="11"/>
  <c r="AA25" i="11" s="1"/>
  <c r="I24" i="11"/>
  <c r="AG24" i="11"/>
  <c r="AG25" i="11" s="1"/>
  <c r="Q13" i="11"/>
  <c r="J24" i="11"/>
  <c r="AH24" i="11"/>
  <c r="AH25" i="11" s="1"/>
  <c r="AD13" i="11"/>
  <c r="AB24" i="11"/>
  <c r="AB25" i="11" s="1"/>
  <c r="N24" i="11"/>
  <c r="AL24" i="11"/>
  <c r="AL25" i="11" s="1"/>
  <c r="O24" i="11"/>
  <c r="AM24" i="11"/>
  <c r="AM25" i="11" s="1"/>
  <c r="G24" i="11"/>
  <c r="U24" i="11"/>
  <c r="U25" i="11" s="1"/>
  <c r="V24" i="11"/>
  <c r="V25" i="11" s="1"/>
  <c r="W24" i="11"/>
  <c r="W25" i="11" s="1"/>
  <c r="AE24" i="11"/>
  <c r="AE25" i="11" s="1"/>
  <c r="Q11" i="11"/>
  <c r="Z24" i="11"/>
  <c r="Z25" i="11" s="1"/>
  <c r="X24" i="11"/>
  <c r="X25" i="11" s="1"/>
  <c r="H24" i="11"/>
  <c r="H25" i="11" s="1"/>
  <c r="AF24" i="11"/>
  <c r="AF25" i="11" s="1"/>
  <c r="AD12" i="11"/>
  <c r="AO13" i="11"/>
  <c r="AP13" i="11" s="1"/>
  <c r="AD14" i="11"/>
  <c r="E24" i="11"/>
  <c r="Q9" i="11"/>
  <c r="AO11" i="11"/>
  <c r="AP11" i="11" s="1"/>
  <c r="AO15" i="11"/>
  <c r="AP15" i="11" s="1"/>
  <c r="AD23" i="11"/>
  <c r="AO18" i="11"/>
  <c r="AP18" i="11" s="1"/>
  <c r="AD9" i="11"/>
  <c r="AO9" i="11"/>
  <c r="Q18" i="11"/>
  <c r="Q17" i="11"/>
  <c r="AD18" i="11"/>
  <c r="Q19" i="11"/>
  <c r="AO21" i="11"/>
  <c r="AP21" i="11" s="1"/>
  <c r="Q21" i="11"/>
  <c r="AO23" i="11"/>
  <c r="AP23" i="11" s="1"/>
  <c r="Q23" i="11"/>
  <c r="AD15" i="11"/>
  <c r="Q16" i="11"/>
  <c r="R24" i="11"/>
  <c r="R25" i="11" s="1"/>
  <c r="AD21" i="11"/>
  <c r="Y24" i="11"/>
  <c r="Y25" i="11" s="1"/>
  <c r="AO10" i="11"/>
  <c r="AP10" i="11" s="1"/>
  <c r="Q12" i="11"/>
  <c r="AD16" i="11"/>
  <c r="Q10" i="11"/>
  <c r="AO12" i="11"/>
  <c r="AP12" i="11" s="1"/>
  <c r="AO14" i="11"/>
  <c r="AP14" i="11" s="1"/>
  <c r="AD19" i="11"/>
  <c r="Q20" i="11"/>
  <c r="AP20" i="11"/>
  <c r="AD11" i="11"/>
  <c r="AO22" i="11"/>
  <c r="AP22" i="11" s="1"/>
  <c r="AD22" i="11"/>
  <c r="AO16" i="11"/>
  <c r="AP16" i="11" s="1"/>
  <c r="AD20" i="11"/>
  <c r="R8" i="1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Q8" i="11"/>
  <c r="AO31" i="9"/>
  <c r="AP31" i="9" s="1"/>
  <c r="Q30" i="9"/>
  <c r="AD31" i="9"/>
  <c r="Q31" i="9"/>
  <c r="AO30" i="9"/>
  <c r="AP30" i="9" s="1"/>
  <c r="AD30" i="9"/>
  <c r="AD29" i="9"/>
  <c r="Q29" i="9"/>
  <c r="AO29" i="9"/>
  <c r="AP29" i="9" s="1"/>
  <c r="AE25" i="9"/>
  <c r="AE26" i="9" s="1"/>
  <c r="Q20" i="9"/>
  <c r="AO20" i="9"/>
  <c r="AP20" i="9" s="1"/>
  <c r="AD25" i="9"/>
  <c r="AD26" i="9" s="1"/>
  <c r="AD21" i="9"/>
  <c r="AD19" i="9"/>
  <c r="Q21" i="9"/>
  <c r="AD12" i="9"/>
  <c r="AO21" i="9"/>
  <c r="AP21" i="9" s="1"/>
  <c r="AD20" i="9"/>
  <c r="Q19" i="9"/>
  <c r="AO19" i="9"/>
  <c r="AP19" i="9" s="1"/>
  <c r="AD18" i="9"/>
  <c r="Q16" i="9"/>
  <c r="AO16" i="9"/>
  <c r="AP16" i="9" s="1"/>
  <c r="AD15" i="9"/>
  <c r="Q18" i="9"/>
  <c r="AD17" i="9"/>
  <c r="AO18" i="9"/>
  <c r="AP18" i="9" s="1"/>
  <c r="AD16" i="9"/>
  <c r="Q15" i="9"/>
  <c r="AO15" i="9"/>
  <c r="AP15" i="9" s="1"/>
  <c r="Q17" i="9"/>
  <c r="AO17" i="9"/>
  <c r="AP17" i="9" s="1"/>
  <c r="Q14" i="9"/>
  <c r="AD14" i="9"/>
  <c r="AO14" i="9"/>
  <c r="AP14" i="9" s="1"/>
  <c r="R6" i="9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s="1"/>
  <c r="Q6" i="9"/>
  <c r="L17" i="8"/>
  <c r="AH17" i="8"/>
  <c r="M17" i="8"/>
  <c r="AI17" i="8"/>
  <c r="U17" i="8"/>
  <c r="V17" i="8"/>
  <c r="W17" i="8"/>
  <c r="R17" i="8"/>
  <c r="Z17" i="8"/>
  <c r="AA17" i="8"/>
  <c r="I17" i="8"/>
  <c r="AE17" i="8"/>
  <c r="J17" i="8"/>
  <c r="E17" i="8"/>
  <c r="K17" i="8"/>
  <c r="AF17" i="8"/>
  <c r="AG17" i="8"/>
  <c r="S17" i="8"/>
  <c r="T17" i="8"/>
  <c r="F17" i="8"/>
  <c r="AB17" i="8"/>
  <c r="N17" i="8"/>
  <c r="AJ17" i="8"/>
  <c r="G17" i="8"/>
  <c r="O17" i="8"/>
  <c r="H17" i="8"/>
  <c r="AD17" i="8"/>
  <c r="P17" i="8"/>
  <c r="AL17" i="8"/>
  <c r="Q17" i="8"/>
  <c r="AM17" i="8"/>
  <c r="Y17" i="8"/>
  <c r="X17" i="8"/>
  <c r="AC17" i="8"/>
  <c r="AK17" i="8"/>
  <c r="AL49" i="7"/>
  <c r="AL50" i="7" s="1"/>
  <c r="AL52" i="7" s="1"/>
  <c r="L49" i="7"/>
  <c r="L50" i="7" s="1"/>
  <c r="L52" i="7" s="1"/>
  <c r="Q49" i="7"/>
  <c r="Q50" i="7" s="1"/>
  <c r="Q52" i="7" s="1"/>
  <c r="M49" i="7"/>
  <c r="M50" i="7" s="1"/>
  <c r="M52" i="7" s="1"/>
  <c r="N49" i="7"/>
  <c r="N50" i="7" s="1"/>
  <c r="N52" i="7" s="1"/>
  <c r="AJ49" i="7"/>
  <c r="AJ50" i="7" s="1"/>
  <c r="AJ52" i="7" s="1"/>
  <c r="O49" i="7"/>
  <c r="O50" i="7" s="1"/>
  <c r="O52" i="7" s="1"/>
  <c r="P49" i="7"/>
  <c r="P50" i="7" s="1"/>
  <c r="P52" i="7" s="1"/>
  <c r="S49" i="7"/>
  <c r="S50" i="7" s="1"/>
  <c r="S52" i="7" s="1"/>
  <c r="T49" i="7"/>
  <c r="T50" i="7" s="1"/>
  <c r="T52" i="7" s="1"/>
  <c r="U49" i="7"/>
  <c r="U50" i="7" s="1"/>
  <c r="U52" i="7" s="1"/>
  <c r="V49" i="7"/>
  <c r="V50" i="7" s="1"/>
  <c r="V52" i="7" s="1"/>
  <c r="F49" i="7"/>
  <c r="F50" i="7" s="1"/>
  <c r="AB49" i="7"/>
  <c r="AB50" i="7" s="1"/>
  <c r="AB52" i="7" s="1"/>
  <c r="G49" i="7"/>
  <c r="G50" i="7" s="1"/>
  <c r="AC49" i="7"/>
  <c r="AC50" i="7" s="1"/>
  <c r="AC52" i="7" s="1"/>
  <c r="H49" i="7"/>
  <c r="H50" i="7" s="1"/>
  <c r="H52" i="7" s="1"/>
  <c r="AD49" i="7"/>
  <c r="AD50" i="7" s="1"/>
  <c r="AD52" i="7" s="1"/>
  <c r="Y49" i="7"/>
  <c r="Y50" i="7" s="1"/>
  <c r="Y52" i="7" s="1"/>
  <c r="Z49" i="7"/>
  <c r="Z50" i="7" s="1"/>
  <c r="Z52" i="7" s="1"/>
  <c r="AA49" i="7"/>
  <c r="AA50" i="7" s="1"/>
  <c r="AA52" i="7" s="1"/>
  <c r="I49" i="7"/>
  <c r="I50" i="7" s="1"/>
  <c r="I52" i="7" s="1"/>
  <c r="AE49" i="7"/>
  <c r="AE50" i="7" s="1"/>
  <c r="AE52" i="7" s="1"/>
  <c r="J49" i="7"/>
  <c r="J50" i="7" s="1"/>
  <c r="J52" i="7" s="1"/>
  <c r="K49" i="7"/>
  <c r="K50" i="7" s="1"/>
  <c r="K52" i="7" s="1"/>
  <c r="X37" i="7"/>
  <c r="I42" i="7"/>
  <c r="AG42" i="7"/>
  <c r="E37" i="7"/>
  <c r="AA37" i="7"/>
  <c r="L42" i="7"/>
  <c r="AH42" i="7"/>
  <c r="F37" i="7"/>
  <c r="F43" i="7" s="1"/>
  <c r="AB37" i="7"/>
  <c r="AB43" i="7" s="1"/>
  <c r="M42" i="7"/>
  <c r="AI42" i="7"/>
  <c r="Y42" i="7"/>
  <c r="T37" i="7"/>
  <c r="T43" i="7" s="1"/>
  <c r="E42" i="7"/>
  <c r="AA42" i="7"/>
  <c r="AD42" i="7"/>
  <c r="X42" i="7"/>
  <c r="S37" i="7"/>
  <c r="D42" i="7"/>
  <c r="U37" i="7"/>
  <c r="F42" i="7"/>
  <c r="AB42" i="7"/>
  <c r="W37" i="7"/>
  <c r="W43" i="7" s="1"/>
  <c r="H42" i="7"/>
  <c r="D37" i="7"/>
  <c r="D43" i="7" s="1"/>
  <c r="D50" i="7" s="1"/>
  <c r="D52" i="7" s="1"/>
  <c r="Z37" i="7"/>
  <c r="G37" i="7"/>
  <c r="AC37" i="7"/>
  <c r="AC43" i="7" s="1"/>
  <c r="N42" i="7"/>
  <c r="AJ42" i="7"/>
  <c r="J37" i="7"/>
  <c r="J43" i="7" s="1"/>
  <c r="AF37" i="7"/>
  <c r="Q42" i="7"/>
  <c r="Q43" i="7" s="1"/>
  <c r="K37" i="7"/>
  <c r="AG37" i="7"/>
  <c r="AG43" i="7" s="1"/>
  <c r="R42" i="7"/>
  <c r="AI37" i="7"/>
  <c r="AI43" i="7" s="1"/>
  <c r="T42" i="7"/>
  <c r="N37" i="7"/>
  <c r="AJ37" i="7"/>
  <c r="AJ43" i="7" s="1"/>
  <c r="U42" i="7"/>
  <c r="Z42" i="7"/>
  <c r="AE42" i="7"/>
  <c r="K42" i="7"/>
  <c r="R37" i="7"/>
  <c r="R43" i="7" s="1"/>
  <c r="V37" i="7"/>
  <c r="V43" i="7" s="1"/>
  <c r="G42" i="7"/>
  <c r="AC42" i="7"/>
  <c r="Y37" i="7"/>
  <c r="J42" i="7"/>
  <c r="AF42" i="7"/>
  <c r="H37" i="7"/>
  <c r="AD37" i="7"/>
  <c r="AD43" i="7" s="1"/>
  <c r="O42" i="7"/>
  <c r="AK42" i="7"/>
  <c r="I37" i="7"/>
  <c r="I43" i="7" s="1"/>
  <c r="AE37" i="7"/>
  <c r="AE43" i="7" s="1"/>
  <c r="P42" i="7"/>
  <c r="L37" i="7"/>
  <c r="AH37" i="7"/>
  <c r="AH43" i="7" s="1"/>
  <c r="S42" i="7"/>
  <c r="M37" i="7"/>
  <c r="O37" i="7"/>
  <c r="AK37" i="7"/>
  <c r="AK43" i="7" s="1"/>
  <c r="V42" i="7"/>
  <c r="P37" i="7"/>
  <c r="W42" i="7"/>
  <c r="K21" i="7"/>
  <c r="K23" i="7" s="1"/>
  <c r="Q21" i="7"/>
  <c r="Q23" i="7" s="1"/>
  <c r="AL21" i="7"/>
  <c r="AL23" i="7" s="1"/>
  <c r="R21" i="7"/>
  <c r="R23" i="7" s="1"/>
  <c r="S21" i="7"/>
  <c r="S23" i="7" s="1"/>
  <c r="T21" i="7"/>
  <c r="T23" i="7" s="1"/>
  <c r="D21" i="7"/>
  <c r="D23" i="7" s="1"/>
  <c r="Z21" i="7"/>
  <c r="Z23" i="7" s="1"/>
  <c r="E21" i="7"/>
  <c r="E23" i="7" s="1"/>
  <c r="AA21" i="7"/>
  <c r="AA23" i="7" s="1"/>
  <c r="U21" i="7"/>
  <c r="U23" i="7" s="1"/>
  <c r="V21" i="7"/>
  <c r="V23" i="7" s="1"/>
  <c r="W21" i="7"/>
  <c r="W23" i="7" s="1"/>
  <c r="X21" i="7"/>
  <c r="X23" i="7" s="1"/>
  <c r="Y21" i="7"/>
  <c r="Y23" i="7" s="1"/>
  <c r="F21" i="7"/>
  <c r="F23" i="7" s="1"/>
  <c r="AB21" i="7"/>
  <c r="AB23" i="7" s="1"/>
  <c r="G21" i="7"/>
  <c r="G23" i="7" s="1"/>
  <c r="AC21" i="7"/>
  <c r="AC23" i="7" s="1"/>
  <c r="H21" i="7"/>
  <c r="H23" i="7" s="1"/>
  <c r="AD21" i="7"/>
  <c r="AD23" i="7" s="1"/>
  <c r="I21" i="7"/>
  <c r="I23" i="7" s="1"/>
  <c r="AE21" i="7"/>
  <c r="AE23" i="7" s="1"/>
  <c r="J21" i="7"/>
  <c r="J23" i="7" s="1"/>
  <c r="AF21" i="7"/>
  <c r="AF23" i="7" s="1"/>
  <c r="AG21" i="7"/>
  <c r="AG23" i="7" s="1"/>
  <c r="L21" i="7"/>
  <c r="L23" i="7" s="1"/>
  <c r="AH21" i="7"/>
  <c r="AH23" i="7" s="1"/>
  <c r="N21" i="7"/>
  <c r="N23" i="7" s="1"/>
  <c r="AJ21" i="7"/>
  <c r="AJ23" i="7" s="1"/>
  <c r="M21" i="7"/>
  <c r="M23" i="7" s="1"/>
  <c r="AI21" i="7"/>
  <c r="AI23" i="7" s="1"/>
  <c r="O21" i="7"/>
  <c r="O23" i="7" s="1"/>
  <c r="AK21" i="7"/>
  <c r="AK23" i="7" s="1"/>
  <c r="P21" i="7"/>
  <c r="P23" i="7" s="1"/>
  <c r="E15" i="7"/>
  <c r="D15" i="7"/>
  <c r="AD12" i="8"/>
  <c r="E23" i="8"/>
  <c r="AB23" i="8"/>
  <c r="E33" i="8"/>
  <c r="AF38" i="8"/>
  <c r="J9" i="8"/>
  <c r="AF9" i="8"/>
  <c r="O38" i="8"/>
  <c r="H12" i="8"/>
  <c r="AH10" i="8"/>
  <c r="P37" i="8"/>
  <c r="AG30" i="8"/>
  <c r="I9" i="8"/>
  <c r="AK11" i="8"/>
  <c r="AF50" i="8"/>
  <c r="J50" i="8"/>
  <c r="X49" i="8"/>
  <c r="AL43" i="8"/>
  <c r="P43" i="8"/>
  <c r="AD42" i="8"/>
  <c r="H42" i="8"/>
  <c r="V38" i="8"/>
  <c r="AB37" i="8"/>
  <c r="F37" i="8"/>
  <c r="T36" i="8"/>
  <c r="AH33" i="8"/>
  <c r="L33" i="8"/>
  <c r="Z32" i="8"/>
  <c r="R30" i="8"/>
  <c r="AH23" i="8"/>
  <c r="L23" i="8"/>
  <c r="U12" i="8"/>
  <c r="AH11" i="8"/>
  <c r="L11" i="8"/>
  <c r="Y10" i="8"/>
  <c r="AL9" i="8"/>
  <c r="P9" i="8"/>
  <c r="W49" i="8"/>
  <c r="U38" i="8"/>
  <c r="AA37" i="8"/>
  <c r="S36" i="8"/>
  <c r="Y32" i="8"/>
  <c r="Q30" i="8"/>
  <c r="K23" i="8"/>
  <c r="AG11" i="8"/>
  <c r="X10" i="8"/>
  <c r="O9" i="8"/>
  <c r="AE11" i="8"/>
  <c r="AD11" i="8"/>
  <c r="S49" i="8"/>
  <c r="AM38" i="8"/>
  <c r="W37" i="8"/>
  <c r="AC33" i="8"/>
  <c r="M30" i="8"/>
  <c r="AC11" i="8"/>
  <c r="AG9" i="8"/>
  <c r="R49" i="8"/>
  <c r="J43" i="8"/>
  <c r="AL38" i="8"/>
  <c r="V37" i="8"/>
  <c r="AE50" i="8"/>
  <c r="AK43" i="8"/>
  <c r="O43" i="8"/>
  <c r="AC42" i="8"/>
  <c r="K33" i="8"/>
  <c r="Y22" i="8"/>
  <c r="G23" i="8"/>
  <c r="AD50" i="8"/>
  <c r="H50" i="8"/>
  <c r="V49" i="8"/>
  <c r="AJ43" i="8"/>
  <c r="N43" i="8"/>
  <c r="AB42" i="8"/>
  <c r="F42" i="8"/>
  <c r="T38" i="8"/>
  <c r="Z37" i="8"/>
  <c r="R36" i="8"/>
  <c r="AF33" i="8"/>
  <c r="J33" i="8"/>
  <c r="X32" i="8"/>
  <c r="AL30" i="8"/>
  <c r="P30" i="8"/>
  <c r="AF23" i="8"/>
  <c r="J23" i="8"/>
  <c r="S12" i="8"/>
  <c r="AF11" i="8"/>
  <c r="J11" i="8"/>
  <c r="W10" i="8"/>
  <c r="AJ9" i="8"/>
  <c r="N9" i="8"/>
  <c r="AI43" i="8"/>
  <c r="Q36" i="8"/>
  <c r="I33" i="8"/>
  <c r="AK30" i="8"/>
  <c r="O30" i="8"/>
  <c r="I23" i="8"/>
  <c r="V10" i="8"/>
  <c r="AI9" i="8"/>
  <c r="U10" i="8"/>
  <c r="AK36" i="8"/>
  <c r="AC50" i="8"/>
  <c r="G50" i="8"/>
  <c r="U49" i="8"/>
  <c r="M43" i="8"/>
  <c r="AA42" i="8"/>
  <c r="E42" i="8"/>
  <c r="S38" i="8"/>
  <c r="Y37" i="8"/>
  <c r="AM36" i="8"/>
  <c r="AE33" i="8"/>
  <c r="W32" i="8"/>
  <c r="AE23" i="8"/>
  <c r="I11" i="8"/>
  <c r="M9" i="8"/>
  <c r="K9" i="8"/>
  <c r="AB50" i="8"/>
  <c r="F50" i="8"/>
  <c r="T49" i="8"/>
  <c r="AH43" i="8"/>
  <c r="L43" i="8"/>
  <c r="Z42" i="8"/>
  <c r="R38" i="8"/>
  <c r="X37" i="8"/>
  <c r="AL36" i="8"/>
  <c r="P36" i="8"/>
  <c r="AD33" i="8"/>
  <c r="H33" i="8"/>
  <c r="V32" i="8"/>
  <c r="AJ30" i="8"/>
  <c r="N30" i="8"/>
  <c r="AD23" i="8"/>
  <c r="H23" i="8"/>
  <c r="AM12" i="8"/>
  <c r="H11" i="8"/>
  <c r="AH9" i="8"/>
  <c r="L9" i="8"/>
  <c r="AG43" i="8"/>
  <c r="AA50" i="8"/>
  <c r="Y42" i="8"/>
  <c r="U32" i="8"/>
  <c r="G11" i="8"/>
  <c r="X50" i="8"/>
  <c r="AL49" i="8"/>
  <c r="P49" i="8"/>
  <c r="AD43" i="8"/>
  <c r="H43" i="8"/>
  <c r="V42" i="8"/>
  <c r="AJ38" i="8"/>
  <c r="N38" i="8"/>
  <c r="T37" i="8"/>
  <c r="AH36" i="8"/>
  <c r="L36" i="8"/>
  <c r="Z33" i="8"/>
  <c r="R32" i="8"/>
  <c r="AF30" i="8"/>
  <c r="J30" i="8"/>
  <c r="Z23" i="8"/>
  <c r="R22" i="8"/>
  <c r="AI12" i="8"/>
  <c r="M12" i="8"/>
  <c r="Z11" i="8"/>
  <c r="AM10" i="8"/>
  <c r="Q10" i="8"/>
  <c r="AD9" i="8"/>
  <c r="H9" i="8"/>
  <c r="AC43" i="8"/>
  <c r="U42" i="8"/>
  <c r="M38" i="8"/>
  <c r="AG36" i="8"/>
  <c r="Y33" i="8"/>
  <c r="Q32" i="8"/>
  <c r="I30" i="8"/>
  <c r="AH12" i="8"/>
  <c r="Y11" i="8"/>
  <c r="AL10" i="8"/>
  <c r="AC9" i="8"/>
  <c r="W50" i="8"/>
  <c r="AK49" i="8"/>
  <c r="AK52" i="8" s="1"/>
  <c r="O49" i="8"/>
  <c r="O52" i="8" s="1"/>
  <c r="G43" i="8"/>
  <c r="AI38" i="8"/>
  <c r="S37" i="8"/>
  <c r="K36" i="8"/>
  <c r="AM32" i="8"/>
  <c r="AE30" i="8"/>
  <c r="Y23" i="8"/>
  <c r="L12" i="8"/>
  <c r="P10" i="8"/>
  <c r="G9" i="8"/>
  <c r="V50" i="8"/>
  <c r="AJ49" i="8"/>
  <c r="N49" i="8"/>
  <c r="AB43" i="8"/>
  <c r="F43" i="8"/>
  <c r="T42" i="8"/>
  <c r="AH38" i="8"/>
  <c r="L38" i="8"/>
  <c r="R37" i="8"/>
  <c r="AF36" i="8"/>
  <c r="J36" i="8"/>
  <c r="X33" i="8"/>
  <c r="AL32" i="8"/>
  <c r="P32" i="8"/>
  <c r="AD30" i="8"/>
  <c r="H30" i="8"/>
  <c r="X23" i="8"/>
  <c r="AG12" i="8"/>
  <c r="K12" i="8"/>
  <c r="X11" i="8"/>
  <c r="AK10" i="8"/>
  <c r="O10" i="8"/>
  <c r="AB9" i="8"/>
  <c r="F9" i="8"/>
  <c r="U50" i="8"/>
  <c r="AI49" i="8"/>
  <c r="M49" i="8"/>
  <c r="AA43" i="8"/>
  <c r="E43" i="8"/>
  <c r="S42" i="8"/>
  <c r="AG38" i="8"/>
  <c r="K38" i="8"/>
  <c r="AM37" i="8"/>
  <c r="Q37" i="8"/>
  <c r="AE36" i="8"/>
  <c r="I36" i="8"/>
  <c r="W33" i="8"/>
  <c r="AK32" i="8"/>
  <c r="O32" i="8"/>
  <c r="AC30" i="8"/>
  <c r="G30" i="8"/>
  <c r="W23" i="8"/>
  <c r="AF12" i="8"/>
  <c r="J12" i="8"/>
  <c r="W11" i="8"/>
  <c r="AJ10" i="8"/>
  <c r="N10" i="8"/>
  <c r="AA9" i="8"/>
  <c r="E9" i="8"/>
  <c r="S50" i="8"/>
  <c r="AG49" i="8"/>
  <c r="AG52" i="8" s="1"/>
  <c r="K49" i="8"/>
  <c r="Y43" i="8"/>
  <c r="AM42" i="8"/>
  <c r="Q42" i="8"/>
  <c r="AE38" i="8"/>
  <c r="I38" i="8"/>
  <c r="AK37" i="8"/>
  <c r="O37" i="8"/>
  <c r="AC36" i="8"/>
  <c r="G36" i="8"/>
  <c r="U33" i="8"/>
  <c r="AI32" i="8"/>
  <c r="R50" i="8"/>
  <c r="AF49" i="8"/>
  <c r="J49" i="8"/>
  <c r="X43" i="8"/>
  <c r="AL42" i="8"/>
  <c r="P42" i="8"/>
  <c r="AD38" i="8"/>
  <c r="H38" i="8"/>
  <c r="AJ37" i="8"/>
  <c r="N37" i="8"/>
  <c r="AB36" i="8"/>
  <c r="F36" i="8"/>
  <c r="T33" i="8"/>
  <c r="AH32" i="8"/>
  <c r="L32" i="8"/>
  <c r="Z30" i="8"/>
  <c r="T23" i="8"/>
  <c r="L22" i="8"/>
  <c r="AC12" i="8"/>
  <c r="G12" i="8"/>
  <c r="T11" i="8"/>
  <c r="AG10" i="8"/>
  <c r="K10" i="8"/>
  <c r="X9" i="8"/>
  <c r="AM50" i="8"/>
  <c r="Q50" i="8"/>
  <c r="AE49" i="8"/>
  <c r="I49" i="8"/>
  <c r="W43" i="8"/>
  <c r="AK42" i="8"/>
  <c r="O42" i="8"/>
  <c r="AC38" i="8"/>
  <c r="G38" i="8"/>
  <c r="AI37" i="8"/>
  <c r="M37" i="8"/>
  <c r="AA36" i="8"/>
  <c r="E36" i="8"/>
  <c r="S33" i="8"/>
  <c r="AG32" i="8"/>
  <c r="K32" i="8"/>
  <c r="Y30" i="8"/>
  <c r="S23" i="8"/>
  <c r="AB12" i="8"/>
  <c r="F12" i="8"/>
  <c r="S11" i="8"/>
  <c r="AF10" i="8"/>
  <c r="J10" i="8"/>
  <c r="W9" i="8"/>
  <c r="F49" i="8"/>
  <c r="AH42" i="8"/>
  <c r="Z38" i="8"/>
  <c r="AF37" i="8"/>
  <c r="X36" i="8"/>
  <c r="P33" i="8"/>
  <c r="H32" i="8"/>
  <c r="AL23" i="8"/>
  <c r="AL11" i="8"/>
  <c r="AC10" i="8"/>
  <c r="T9" i="8"/>
  <c r="M50" i="8"/>
  <c r="E49" i="8"/>
  <c r="AG42" i="8"/>
  <c r="Y38" i="8"/>
  <c r="I37" i="8"/>
  <c r="AK33" i="8"/>
  <c r="AC32" i="8"/>
  <c r="U30" i="8"/>
  <c r="O23" i="8"/>
  <c r="AL50" i="8"/>
  <c r="P50" i="8"/>
  <c r="AD49" i="8"/>
  <c r="H49" i="8"/>
  <c r="V43" i="8"/>
  <c r="AJ42" i="8"/>
  <c r="N42" i="8"/>
  <c r="AB38" i="8"/>
  <c r="F38" i="8"/>
  <c r="AH37" i="8"/>
  <c r="L37" i="8"/>
  <c r="Z36" i="8"/>
  <c r="R33" i="8"/>
  <c r="AF32" i="8"/>
  <c r="J32" i="8"/>
  <c r="X30" i="8"/>
  <c r="R23" i="8"/>
  <c r="AA12" i="8"/>
  <c r="E12" i="8"/>
  <c r="R11" i="8"/>
  <c r="AE10" i="8"/>
  <c r="I10" i="8"/>
  <c r="V9" i="8"/>
  <c r="AK50" i="8"/>
  <c r="O50" i="8"/>
  <c r="AC49" i="8"/>
  <c r="AC52" i="8" s="1"/>
  <c r="G49" i="8"/>
  <c r="U43" i="8"/>
  <c r="AI42" i="8"/>
  <c r="M42" i="8"/>
  <c r="AA38" i="8"/>
  <c r="E38" i="8"/>
  <c r="AG37" i="8"/>
  <c r="K37" i="8"/>
  <c r="Y36" i="8"/>
  <c r="AM33" i="8"/>
  <c r="Q33" i="8"/>
  <c r="AE32" i="8"/>
  <c r="I32" i="8"/>
  <c r="W30" i="8"/>
  <c r="AM23" i="8"/>
  <c r="Q23" i="8"/>
  <c r="Z12" i="8"/>
  <c r="AM11" i="8"/>
  <c r="Q11" i="8"/>
  <c r="AD10" i="8"/>
  <c r="H10" i="8"/>
  <c r="U9" i="8"/>
  <c r="AJ50" i="8"/>
  <c r="N50" i="8"/>
  <c r="AB49" i="8"/>
  <c r="T43" i="8"/>
  <c r="L42" i="8"/>
  <c r="J37" i="8"/>
  <c r="AL33" i="8"/>
  <c r="AD32" i="8"/>
  <c r="V30" i="8"/>
  <c r="P23" i="8"/>
  <c r="Y12" i="8"/>
  <c r="P11" i="8"/>
  <c r="G10" i="8"/>
  <c r="AI50" i="8"/>
  <c r="AA49" i="8"/>
  <c r="S43" i="8"/>
  <c r="K42" i="8"/>
  <c r="AE37" i="8"/>
  <c r="W36" i="8"/>
  <c r="O33" i="8"/>
  <c r="G32" i="8"/>
  <c r="AK23" i="8"/>
  <c r="AH50" i="8"/>
  <c r="L50" i="8"/>
  <c r="Z49" i="8"/>
  <c r="R43" i="8"/>
  <c r="AF42" i="8"/>
  <c r="J42" i="8"/>
  <c r="X38" i="8"/>
  <c r="AD37" i="8"/>
  <c r="H37" i="8"/>
  <c r="V36" i="8"/>
  <c r="AJ33" i="8"/>
  <c r="N33" i="8"/>
  <c r="AB32" i="8"/>
  <c r="F32" i="8"/>
  <c r="T30" i="8"/>
  <c r="AJ23" i="8"/>
  <c r="N23" i="8"/>
  <c r="W12" i="8"/>
  <c r="AJ11" i="8"/>
  <c r="N11" i="8"/>
  <c r="AA10" i="8"/>
  <c r="E10" i="8"/>
  <c r="R9" i="8"/>
  <c r="AI30" i="8"/>
  <c r="AG50" i="8"/>
  <c r="K50" i="8"/>
  <c r="Y49" i="8"/>
  <c r="AM43" i="8"/>
  <c r="Q43" i="8"/>
  <c r="AE42" i="8"/>
  <c r="I42" i="8"/>
  <c r="W38" i="8"/>
  <c r="AC37" i="8"/>
  <c r="G37" i="8"/>
  <c r="U36" i="8"/>
  <c r="AI33" i="8"/>
  <c r="M33" i="8"/>
  <c r="AA32" i="8"/>
  <c r="E32" i="8"/>
  <c r="S30" i="8"/>
  <c r="AI23" i="8"/>
  <c r="M23" i="8"/>
  <c r="V12" i="8"/>
  <c r="AI11" i="8"/>
  <c r="M11" i="8"/>
  <c r="Z10" i="8"/>
  <c r="AM9" i="8"/>
  <c r="Q9" i="8"/>
  <c r="I50" i="8"/>
  <c r="G42" i="8"/>
  <c r="E37" i="8"/>
  <c r="AG33" i="8"/>
  <c r="AM30" i="8"/>
  <c r="AG23" i="8"/>
  <c r="T12" i="8"/>
  <c r="K11" i="8"/>
  <c r="AK9" i="8"/>
  <c r="R12" i="8"/>
  <c r="Q12" i="8"/>
  <c r="E50" i="8"/>
  <c r="K43" i="8"/>
  <c r="Q38" i="8"/>
  <c r="O36" i="8"/>
  <c r="G33" i="8"/>
  <c r="AC23" i="8"/>
  <c r="AL12" i="8"/>
  <c r="P12" i="8"/>
  <c r="T10" i="8"/>
  <c r="Z50" i="8"/>
  <c r="AF43" i="8"/>
  <c r="X42" i="8"/>
  <c r="P38" i="8"/>
  <c r="AJ36" i="8"/>
  <c r="S9" i="8"/>
  <c r="I12" i="8"/>
  <c r="F23" i="8"/>
  <c r="F33" i="8"/>
  <c r="AK38" i="8"/>
  <c r="Y9" i="8"/>
  <c r="N12" i="8"/>
  <c r="U23" i="8"/>
  <c r="V33" i="8"/>
  <c r="Z9" i="8"/>
  <c r="O12" i="8"/>
  <c r="V23" i="8"/>
  <c r="AA33" i="8"/>
  <c r="R42" i="8"/>
  <c r="AE9" i="8"/>
  <c r="X12" i="8"/>
  <c r="AA23" i="8"/>
  <c r="AB33" i="8"/>
  <c r="W42" i="8"/>
  <c r="E30" i="8"/>
  <c r="AK12" i="8"/>
  <c r="AE43" i="8"/>
  <c r="R10" i="8"/>
  <c r="K30" i="8"/>
  <c r="AD36" i="8"/>
  <c r="F10" i="8"/>
  <c r="AE12" i="8"/>
  <c r="H36" i="8"/>
  <c r="I43" i="8"/>
  <c r="L10" i="8"/>
  <c r="AJ12" i="8"/>
  <c r="M36" i="8"/>
  <c r="Z43" i="8"/>
  <c r="M10" i="8"/>
  <c r="F30" i="8"/>
  <c r="N36" i="8"/>
  <c r="S10" i="8"/>
  <c r="L30" i="8"/>
  <c r="AI36" i="8"/>
  <c r="L49" i="8"/>
  <c r="L52" i="8" s="1"/>
  <c r="AB10" i="8"/>
  <c r="AA30" i="8"/>
  <c r="Q49" i="8"/>
  <c r="V11" i="8"/>
  <c r="S32" i="8"/>
  <c r="AB30" i="8"/>
  <c r="AH49" i="8"/>
  <c r="AI10" i="8"/>
  <c r="U37" i="8"/>
  <c r="AM49" i="8"/>
  <c r="E11" i="8"/>
  <c r="AH30" i="8"/>
  <c r="AL37" i="8"/>
  <c r="F11" i="8"/>
  <c r="N22" i="8"/>
  <c r="T50" i="8"/>
  <c r="O11" i="8"/>
  <c r="S22" i="8"/>
  <c r="M32" i="8"/>
  <c r="Y50" i="8"/>
  <c r="U11" i="8"/>
  <c r="N32" i="8"/>
  <c r="AA11" i="8"/>
  <c r="T32" i="8"/>
  <c r="AB11" i="8"/>
  <c r="AJ32" i="8"/>
  <c r="J38" i="8"/>
  <c r="AD113" i="4"/>
  <c r="AH113" i="4"/>
  <c r="AM105" i="4"/>
  <c r="J105" i="4"/>
  <c r="AM113" i="4"/>
  <c r="AM12" i="9" s="1"/>
  <c r="AM25" i="9" s="1"/>
  <c r="AM26" i="9" s="1"/>
  <c r="F105" i="4"/>
  <c r="N105" i="4"/>
  <c r="AN105" i="4"/>
  <c r="AB105" i="4"/>
  <c r="H105" i="4"/>
  <c r="P105" i="4"/>
  <c r="F113" i="4"/>
  <c r="N113" i="4"/>
  <c r="N12" i="9" s="1"/>
  <c r="N25" i="9" s="1"/>
  <c r="N26" i="9" s="1"/>
  <c r="AN113" i="4"/>
  <c r="AN12" i="9" s="1"/>
  <c r="AN25" i="9" s="1"/>
  <c r="AN26" i="9" s="1"/>
  <c r="AD104" i="4"/>
  <c r="AK105" i="4"/>
  <c r="Q104" i="4"/>
  <c r="AC105" i="4"/>
  <c r="AL105" i="4"/>
  <c r="Q103" i="4"/>
  <c r="AD103" i="4"/>
  <c r="Z105" i="4"/>
  <c r="AO104" i="4"/>
  <c r="AP104" i="4" s="1"/>
  <c r="R105" i="4"/>
  <c r="Y105" i="4"/>
  <c r="AO102" i="4"/>
  <c r="AP102" i="4" s="1"/>
  <c r="AH77" i="4"/>
  <c r="X77" i="4"/>
  <c r="K82" i="4"/>
  <c r="T82" i="4"/>
  <c r="AB82" i="4"/>
  <c r="AK82" i="4"/>
  <c r="H82" i="4"/>
  <c r="P82" i="4"/>
  <c r="G105" i="4"/>
  <c r="O105" i="4"/>
  <c r="AO103" i="4"/>
  <c r="AP103" i="4" s="1"/>
  <c r="Q102" i="4"/>
  <c r="V105" i="4"/>
  <c r="L82" i="4"/>
  <c r="U82" i="4"/>
  <c r="AC82" i="4"/>
  <c r="AL82" i="4"/>
  <c r="AE105" i="4"/>
  <c r="W105" i="4"/>
  <c r="X105" i="4"/>
  <c r="K105" i="4"/>
  <c r="T105" i="4"/>
  <c r="L105" i="4"/>
  <c r="U105" i="4"/>
  <c r="E105" i="4"/>
  <c r="M105" i="4"/>
  <c r="I105" i="4"/>
  <c r="AI105" i="4"/>
  <c r="AG105" i="4"/>
  <c r="S105" i="4"/>
  <c r="AA105" i="4"/>
  <c r="AJ105" i="4"/>
  <c r="AD102" i="4"/>
  <c r="AD88" i="4"/>
  <c r="Q88" i="4"/>
  <c r="AO88" i="4"/>
  <c r="AP88" i="4" s="1"/>
  <c r="AD89" i="4"/>
  <c r="Y82" i="4"/>
  <c r="AH82" i="4"/>
  <c r="I82" i="4"/>
  <c r="AI82" i="4"/>
  <c r="J82" i="4"/>
  <c r="S82" i="4"/>
  <c r="AA82" i="4"/>
  <c r="AJ82" i="4"/>
  <c r="G82" i="4"/>
  <c r="O82" i="4"/>
  <c r="X82" i="4"/>
  <c r="AO87" i="4"/>
  <c r="AP87" i="4" s="1"/>
  <c r="AD85" i="4"/>
  <c r="Q91" i="4"/>
  <c r="AO91" i="4"/>
  <c r="AP91" i="4" s="1"/>
  <c r="AD92" i="4"/>
  <c r="AO90" i="4"/>
  <c r="AP90" i="4" s="1"/>
  <c r="Q85" i="4"/>
  <c r="AO85" i="4"/>
  <c r="Q87" i="4"/>
  <c r="Q90" i="4"/>
  <c r="AD90" i="4"/>
  <c r="AD87" i="4"/>
  <c r="AO89" i="4"/>
  <c r="AP89" i="4" s="1"/>
  <c r="Q92" i="4"/>
  <c r="AO92" i="4"/>
  <c r="AP92" i="4" s="1"/>
  <c r="AO86" i="4"/>
  <c r="AP86" i="4" s="1"/>
  <c r="AD91" i="4"/>
  <c r="AD86" i="4"/>
  <c r="Q86" i="4"/>
  <c r="Q89" i="4"/>
  <c r="L77" i="4"/>
  <c r="U77" i="4"/>
  <c r="AC77" i="4"/>
  <c r="I77" i="4"/>
  <c r="R77" i="4"/>
  <c r="Z77" i="4"/>
  <c r="AF77" i="4"/>
  <c r="AN77" i="4"/>
  <c r="AL77" i="4"/>
  <c r="E77" i="4"/>
  <c r="M77" i="4"/>
  <c r="V77" i="4"/>
  <c r="J77" i="4"/>
  <c r="AJ77" i="4"/>
  <c r="G77" i="4"/>
  <c r="AG77" i="4"/>
  <c r="W77" i="4"/>
  <c r="O77" i="4"/>
  <c r="F77" i="4"/>
  <c r="N77" i="4"/>
  <c r="AI77" i="4"/>
  <c r="S77" i="4"/>
  <c r="AA77" i="4"/>
  <c r="AD80" i="4"/>
  <c r="AD82" i="4" s="1"/>
  <c r="K70" i="4"/>
  <c r="AK70" i="4"/>
  <c r="K77" i="4"/>
  <c r="T77" i="4"/>
  <c r="AB77" i="4"/>
  <c r="AK77" i="4"/>
  <c r="H77" i="4"/>
  <c r="P77" i="4"/>
  <c r="Y77" i="4"/>
  <c r="AE77" i="4"/>
  <c r="AM77" i="4"/>
  <c r="AD81" i="4"/>
  <c r="AO81" i="4"/>
  <c r="AP81" i="4" s="1"/>
  <c r="Q81" i="4"/>
  <c r="AO80" i="4"/>
  <c r="Q80" i="4"/>
  <c r="S70" i="4"/>
  <c r="AA70" i="4"/>
  <c r="AJ70" i="4"/>
  <c r="L70" i="4"/>
  <c r="W70" i="4"/>
  <c r="AL70" i="4"/>
  <c r="M70" i="4"/>
  <c r="AM70" i="4"/>
  <c r="O70" i="4"/>
  <c r="AD74" i="4"/>
  <c r="F70" i="4"/>
  <c r="AN70" i="4"/>
  <c r="P70" i="4"/>
  <c r="AG70" i="4"/>
  <c r="I70" i="4"/>
  <c r="R70" i="4"/>
  <c r="Z70" i="4"/>
  <c r="U70" i="4"/>
  <c r="AF62" i="4"/>
  <c r="V70" i="4"/>
  <c r="X70" i="4"/>
  <c r="X62" i="4"/>
  <c r="H70" i="4"/>
  <c r="AH70" i="4"/>
  <c r="J70" i="4"/>
  <c r="AC70" i="4"/>
  <c r="E70" i="4"/>
  <c r="AE70" i="4"/>
  <c r="G70" i="4"/>
  <c r="AG62" i="4"/>
  <c r="N70" i="4"/>
  <c r="AF70" i="4"/>
  <c r="Y70" i="4"/>
  <c r="AI70" i="4"/>
  <c r="T70" i="4"/>
  <c r="AB70" i="4"/>
  <c r="AO76" i="4"/>
  <c r="AP76" i="4" s="1"/>
  <c r="AD76" i="4"/>
  <c r="Q76" i="4"/>
  <c r="Q75" i="4"/>
  <c r="AD75" i="4"/>
  <c r="AO73" i="4"/>
  <c r="AO75" i="4"/>
  <c r="AP75" i="4" s="1"/>
  <c r="AD73" i="4"/>
  <c r="AO74" i="4"/>
  <c r="AP74" i="4" s="1"/>
  <c r="Q73" i="4"/>
  <c r="Q74" i="4"/>
  <c r="AO67" i="4"/>
  <c r="AP67" i="4" s="1"/>
  <c r="AD66" i="4"/>
  <c r="Q67" i="4"/>
  <c r="Q68" i="4"/>
  <c r="AO68" i="4"/>
  <c r="AP68" i="4" s="1"/>
  <c r="AD68" i="4"/>
  <c r="Q66" i="4"/>
  <c r="AO66" i="4"/>
  <c r="AP66" i="4" s="1"/>
  <c r="AD67" i="4"/>
  <c r="Z62" i="4"/>
  <c r="AI62" i="4"/>
  <c r="J62" i="4"/>
  <c r="AJ62" i="4"/>
  <c r="E62" i="4"/>
  <c r="M62" i="4"/>
  <c r="V62" i="4"/>
  <c r="AE62" i="4"/>
  <c r="AM62" i="4"/>
  <c r="K62" i="4"/>
  <c r="T62" i="4"/>
  <c r="AB62" i="4"/>
  <c r="AK62" i="4"/>
  <c r="AO65" i="4"/>
  <c r="L62" i="4"/>
  <c r="U62" i="4"/>
  <c r="AC62" i="4"/>
  <c r="AL62" i="4"/>
  <c r="AN62" i="4"/>
  <c r="AD69" i="4"/>
  <c r="Q65" i="4"/>
  <c r="AD65" i="4"/>
  <c r="F62" i="4"/>
  <c r="N62" i="4"/>
  <c r="W62" i="4"/>
  <c r="G62" i="4"/>
  <c r="O62" i="4"/>
  <c r="Q69" i="4"/>
  <c r="AO69" i="4"/>
  <c r="AP69" i="4" s="1"/>
  <c r="H62" i="4"/>
  <c r="P62" i="4"/>
  <c r="Y62" i="4"/>
  <c r="AH62" i="4"/>
  <c r="Q60" i="4"/>
  <c r="AO60" i="4"/>
  <c r="AP60" i="4" s="1"/>
  <c r="AD61" i="4"/>
  <c r="AA62" i="4"/>
  <c r="AD59" i="4"/>
  <c r="R62" i="4"/>
  <c r="Q61" i="4"/>
  <c r="AO61" i="4"/>
  <c r="AP61" i="4" s="1"/>
  <c r="S62" i="4"/>
  <c r="AD60" i="4"/>
  <c r="Q59" i="4"/>
  <c r="I62" i="4"/>
  <c r="AO59" i="4"/>
  <c r="S56" i="4"/>
  <c r="AA56" i="4"/>
  <c r="AL56" i="4"/>
  <c r="AE56" i="4"/>
  <c r="AM56" i="4"/>
  <c r="W56" i="4"/>
  <c r="G56" i="4"/>
  <c r="O56" i="4"/>
  <c r="X56" i="4"/>
  <c r="AG56" i="4"/>
  <c r="L56" i="4"/>
  <c r="U56" i="4"/>
  <c r="AC56" i="4"/>
  <c r="AI56" i="4"/>
  <c r="AO52" i="4"/>
  <c r="AP52" i="4" s="1"/>
  <c r="K56" i="4"/>
  <c r="T56" i="4"/>
  <c r="AB56" i="4"/>
  <c r="AO55" i="4"/>
  <c r="AP55" i="4" s="1"/>
  <c r="AJ56" i="4"/>
  <c r="P56" i="4"/>
  <c r="E56" i="4"/>
  <c r="I56" i="4"/>
  <c r="R56" i="4"/>
  <c r="Z56" i="4"/>
  <c r="N56" i="4"/>
  <c r="AF56" i="4"/>
  <c r="AN56" i="4"/>
  <c r="AK56" i="4"/>
  <c r="H56" i="4"/>
  <c r="Y56" i="4"/>
  <c r="AH56" i="4"/>
  <c r="M56" i="4"/>
  <c r="J56" i="4"/>
  <c r="AD50" i="4"/>
  <c r="Q50" i="4"/>
  <c r="AD52" i="4"/>
  <c r="F56" i="4"/>
  <c r="V56" i="4"/>
  <c r="AO51" i="4"/>
  <c r="AP51" i="4" s="1"/>
  <c r="AO53" i="4"/>
  <c r="AP53" i="4" s="1"/>
  <c r="AO50" i="4"/>
  <c r="AP50" i="4" s="1"/>
  <c r="Q54" i="4"/>
  <c r="Q49" i="4"/>
  <c r="AO49" i="4"/>
  <c r="Q51" i="4"/>
  <c r="Q53" i="4"/>
  <c r="AD53" i="4"/>
  <c r="AD51" i="4"/>
  <c r="Q55" i="4"/>
  <c r="AD54" i="4"/>
  <c r="Q52" i="4"/>
  <c r="AD49" i="4"/>
  <c r="AO54" i="4"/>
  <c r="AP54" i="4" s="1"/>
  <c r="AD55" i="4"/>
  <c r="N30" i="4"/>
  <c r="Q37" i="4"/>
  <c r="S30" i="4"/>
  <c r="W30" i="4"/>
  <c r="AF30" i="4"/>
  <c r="AD39" i="4"/>
  <c r="AA30" i="4"/>
  <c r="Q39" i="4"/>
  <c r="AO39" i="4"/>
  <c r="AP39" i="4" s="1"/>
  <c r="F30" i="4"/>
  <c r="AN30" i="4"/>
  <c r="AO37" i="4"/>
  <c r="AP37" i="4" s="1"/>
  <c r="AD37" i="4"/>
  <c r="Y30" i="4"/>
  <c r="AH30" i="4"/>
  <c r="I30" i="4"/>
  <c r="Z30" i="4"/>
  <c r="J30" i="4"/>
  <c r="AJ30" i="4"/>
  <c r="H30" i="4"/>
  <c r="AK30" i="4"/>
  <c r="L30" i="4"/>
  <c r="U30" i="4"/>
  <c r="AC30" i="4"/>
  <c r="AL30" i="4"/>
  <c r="AI30" i="4"/>
  <c r="K30" i="4"/>
  <c r="T30" i="4"/>
  <c r="AB30" i="4"/>
  <c r="AO29" i="4"/>
  <c r="AP29" i="4" s="1"/>
  <c r="P30" i="4"/>
  <c r="M30" i="4"/>
  <c r="V30" i="4"/>
  <c r="AM30" i="4"/>
  <c r="G30" i="4"/>
  <c r="O30" i="4"/>
  <c r="X30" i="4"/>
  <c r="AG30" i="4"/>
  <c r="Q24" i="4"/>
  <c r="AO24" i="4"/>
  <c r="AD25" i="4"/>
  <c r="W35" i="4"/>
  <c r="AN35" i="4"/>
  <c r="Q27" i="4"/>
  <c r="AD28" i="4"/>
  <c r="E30" i="4"/>
  <c r="AO26" i="4"/>
  <c r="AP26" i="4" s="1"/>
  <c r="AO27" i="4"/>
  <c r="AP27" i="4" s="1"/>
  <c r="Q25" i="4"/>
  <c r="AO25" i="4"/>
  <c r="AP25" i="4" s="1"/>
  <c r="AE30" i="4"/>
  <c r="AD26" i="4"/>
  <c r="AD24" i="4"/>
  <c r="Q28" i="4"/>
  <c r="AD29" i="4"/>
  <c r="AD27" i="4"/>
  <c r="Q29" i="4"/>
  <c r="K35" i="4"/>
  <c r="T35" i="4"/>
  <c r="AB35" i="4"/>
  <c r="AK35" i="4"/>
  <c r="Q26" i="4"/>
  <c r="AO28" i="4"/>
  <c r="AP28" i="4" s="1"/>
  <c r="R30" i="4"/>
  <c r="Y35" i="4"/>
  <c r="AH35" i="4"/>
  <c r="L35" i="4"/>
  <c r="AL35" i="4"/>
  <c r="E35" i="4"/>
  <c r="M35" i="4"/>
  <c r="V35" i="4"/>
  <c r="AE35" i="4"/>
  <c r="AM35" i="4"/>
  <c r="AG35" i="4"/>
  <c r="S35" i="4"/>
  <c r="AA35" i="4"/>
  <c r="F35" i="4"/>
  <c r="N35" i="4"/>
  <c r="AF35" i="4"/>
  <c r="U35" i="4"/>
  <c r="AC35" i="4"/>
  <c r="I35" i="4"/>
  <c r="R35" i="4"/>
  <c r="Z35" i="4"/>
  <c r="AI35" i="4"/>
  <c r="G35" i="4"/>
  <c r="O35" i="4"/>
  <c r="X35" i="4"/>
  <c r="J35" i="4"/>
  <c r="AJ35" i="4"/>
  <c r="H35" i="4"/>
  <c r="P35" i="4"/>
  <c r="AD33" i="4"/>
  <c r="AD34" i="4"/>
  <c r="Q33" i="4"/>
  <c r="Q34" i="4"/>
  <c r="AO34" i="4"/>
  <c r="AP34" i="4" s="1"/>
  <c r="AO33" i="4"/>
  <c r="Q17" i="4"/>
  <c r="Q11" i="4"/>
  <c r="AD15" i="4"/>
  <c r="AD11" i="4"/>
  <c r="AO11" i="4"/>
  <c r="AD9" i="4"/>
  <c r="Q13" i="4"/>
  <c r="AD17" i="4"/>
  <c r="AO13" i="4"/>
  <c r="Q15" i="4"/>
  <c r="AO15" i="4"/>
  <c r="AM19" i="4"/>
  <c r="AO17" i="4"/>
  <c r="AD13" i="4"/>
  <c r="AN19" i="4"/>
  <c r="U19" i="4"/>
  <c r="U18" i="4" s="1"/>
  <c r="AF19" i="4"/>
  <c r="G9" i="4"/>
  <c r="O9" i="4"/>
  <c r="X19" i="4"/>
  <c r="X16" i="4" s="1"/>
  <c r="AG19" i="4"/>
  <c r="H9" i="4"/>
  <c r="P9" i="4"/>
  <c r="Y19" i="4"/>
  <c r="AH19" i="4"/>
  <c r="AH10" i="4" s="1"/>
  <c r="I9" i="4"/>
  <c r="R19" i="4"/>
  <c r="R16" i="4" s="1"/>
  <c r="Z19" i="4"/>
  <c r="AI19" i="4"/>
  <c r="AI16" i="4" s="1"/>
  <c r="S19" i="4"/>
  <c r="S10" i="4" s="1"/>
  <c r="AL19" i="4"/>
  <c r="AL18" i="4" s="1"/>
  <c r="AA19" i="4"/>
  <c r="T19" i="4"/>
  <c r="T18" i="4" s="1"/>
  <c r="AK19" i="4"/>
  <c r="AK10" i="4" s="1"/>
  <c r="L9" i="4"/>
  <c r="AC19" i="4"/>
  <c r="AC16" i="4" s="1"/>
  <c r="E9" i="4"/>
  <c r="E19" i="4" s="1"/>
  <c r="M9" i="4"/>
  <c r="V19" i="4"/>
  <c r="AE19" i="4"/>
  <c r="J9" i="4"/>
  <c r="AJ19" i="4"/>
  <c r="AJ18" i="4" s="1"/>
  <c r="K9" i="4"/>
  <c r="AB19" i="4"/>
  <c r="AB10" i="4" s="1"/>
  <c r="F9" i="4"/>
  <c r="N9" i="4"/>
  <c r="W19" i="4"/>
  <c r="W12" i="4" s="1"/>
  <c r="AO122" i="4"/>
  <c r="Q122" i="4"/>
  <c r="AD122" i="4"/>
  <c r="AP122" i="4"/>
  <c r="R6" i="4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Q6" i="4"/>
  <c r="I46" i="11" l="1"/>
  <c r="F46" i="11"/>
  <c r="P46" i="11"/>
  <c r="J46" i="11"/>
  <c r="O46" i="11"/>
  <c r="K46" i="11"/>
  <c r="G25" i="11"/>
  <c r="N46" i="11"/>
  <c r="O25" i="11"/>
  <c r="P25" i="11"/>
  <c r="N25" i="11"/>
  <c r="M25" i="11"/>
  <c r="L46" i="11"/>
  <c r="M95" i="4"/>
  <c r="L25" i="11"/>
  <c r="H46" i="11"/>
  <c r="J25" i="11"/>
  <c r="E46" i="11"/>
  <c r="Q82" i="4"/>
  <c r="E25" i="11"/>
  <c r="M46" i="11"/>
  <c r="I25" i="11"/>
  <c r="AD105" i="4"/>
  <c r="Q113" i="4"/>
  <c r="F12" i="9"/>
  <c r="AO113" i="4"/>
  <c r="AP113" i="4" s="1"/>
  <c r="AH12" i="9"/>
  <c r="IH20" i="13"/>
  <c r="HJ40" i="13"/>
  <c r="HW37" i="13"/>
  <c r="DU47" i="13"/>
  <c r="FH47" i="13" s="1"/>
  <c r="CW27" i="13"/>
  <c r="EJ27" i="13" s="1"/>
  <c r="DU10" i="13"/>
  <c r="FH10" i="13" s="1"/>
  <c r="IH30" i="13"/>
  <c r="II30" i="13" s="1"/>
  <c r="HW20" i="13"/>
  <c r="HW45" i="13"/>
  <c r="DU40" i="13"/>
  <c r="DV40" i="13" s="1"/>
  <c r="FI40" i="13" s="1"/>
  <c r="HW42" i="13"/>
  <c r="IH22" i="13"/>
  <c r="II22" i="13" s="1"/>
  <c r="IH15" i="13"/>
  <c r="II15" i="13" s="1"/>
  <c r="II20" i="13"/>
  <c r="HJ28" i="13"/>
  <c r="IH26" i="13"/>
  <c r="II26" i="13" s="1"/>
  <c r="HJ29" i="13"/>
  <c r="GY48" i="13"/>
  <c r="F129" i="4" s="1"/>
  <c r="F131" i="4" s="1"/>
  <c r="HW34" i="13"/>
  <c r="HJ32" i="13"/>
  <c r="DU15" i="13"/>
  <c r="FH15" i="13" s="1"/>
  <c r="IH10" i="13"/>
  <c r="II10" i="13" s="1"/>
  <c r="HJ19" i="13"/>
  <c r="HJ33" i="13"/>
  <c r="HW33" i="13"/>
  <c r="ID48" i="13"/>
  <c r="AK129" i="4" s="1"/>
  <c r="HW29" i="13"/>
  <c r="HW26" i="13"/>
  <c r="HW16" i="13"/>
  <c r="HJ44" i="13"/>
  <c r="IH29" i="13"/>
  <c r="II29" i="13" s="1"/>
  <c r="HJ16" i="13"/>
  <c r="HU48" i="13"/>
  <c r="AB129" i="4" s="1"/>
  <c r="HJ39" i="13"/>
  <c r="HJ24" i="13"/>
  <c r="HR48" i="13"/>
  <c r="Y129" i="4" s="1"/>
  <c r="HS48" i="13"/>
  <c r="Z129" i="4" s="1"/>
  <c r="HJ10" i="13"/>
  <c r="IH34" i="13"/>
  <c r="II34" i="13" s="1"/>
  <c r="HJ12" i="13"/>
  <c r="HW39" i="13"/>
  <c r="F17" i="14"/>
  <c r="F19" i="14" s="1"/>
  <c r="F16" i="14" s="1"/>
  <c r="CW16" i="13"/>
  <c r="EJ16" i="13" s="1"/>
  <c r="HW44" i="13"/>
  <c r="HW21" i="13"/>
  <c r="HW17" i="13"/>
  <c r="CW17" i="13"/>
  <c r="EJ17" i="13" s="1"/>
  <c r="DU17" i="13"/>
  <c r="DV17" i="13" s="1"/>
  <c r="FI17" i="13" s="1"/>
  <c r="HV48" i="13"/>
  <c r="AC129" i="4" s="1"/>
  <c r="HW9" i="13"/>
  <c r="HJ38" i="13"/>
  <c r="HW22" i="13"/>
  <c r="HW24" i="13"/>
  <c r="IH12" i="13"/>
  <c r="II12" i="13" s="1"/>
  <c r="HW47" i="13"/>
  <c r="IH36" i="13"/>
  <c r="II36" i="13" s="1"/>
  <c r="IH41" i="13"/>
  <c r="II41" i="13" s="1"/>
  <c r="DU30" i="13"/>
  <c r="FH30" i="13" s="1"/>
  <c r="HJ17" i="13"/>
  <c r="DU38" i="13"/>
  <c r="FH38" i="13" s="1"/>
  <c r="HA48" i="13"/>
  <c r="H129" i="4" s="1"/>
  <c r="IH46" i="13"/>
  <c r="II46" i="13" s="1"/>
  <c r="HJ43" i="13"/>
  <c r="IH17" i="13"/>
  <c r="II17" i="13" s="1"/>
  <c r="HJ27" i="13"/>
  <c r="HW31" i="13"/>
  <c r="II27" i="13"/>
  <c r="HB48" i="13"/>
  <c r="I129" i="4" s="1"/>
  <c r="CW28" i="13"/>
  <c r="EJ28" i="13" s="1"/>
  <c r="IH35" i="13"/>
  <c r="II35" i="13" s="1"/>
  <c r="HJ22" i="13"/>
  <c r="HJ30" i="13"/>
  <c r="IH13" i="13"/>
  <c r="II13" i="13" s="1"/>
  <c r="HJ11" i="13"/>
  <c r="CL48" i="13"/>
  <c r="DY48" i="13" s="1"/>
  <c r="W41" i="14"/>
  <c r="AK41" i="14"/>
  <c r="U95" i="14"/>
  <c r="L41" i="14"/>
  <c r="N41" i="14"/>
  <c r="AO82" i="14"/>
  <c r="AG95" i="14"/>
  <c r="Q30" i="14"/>
  <c r="Y95" i="14"/>
  <c r="AJ41" i="14"/>
  <c r="S41" i="14"/>
  <c r="AD112" i="14"/>
  <c r="R41" i="14"/>
  <c r="AN95" i="14"/>
  <c r="AP82" i="14"/>
  <c r="K41" i="14"/>
  <c r="T95" i="14"/>
  <c r="AD105" i="14"/>
  <c r="AF41" i="14"/>
  <c r="AO62" i="14"/>
  <c r="L95" i="14"/>
  <c r="Q62" i="14"/>
  <c r="AD35" i="14"/>
  <c r="J41" i="14"/>
  <c r="AD93" i="14"/>
  <c r="O41" i="14"/>
  <c r="U41" i="14"/>
  <c r="Q35" i="14"/>
  <c r="Q41" i="14" s="1"/>
  <c r="Z41" i="14"/>
  <c r="X41" i="14"/>
  <c r="AD82" i="14"/>
  <c r="AD56" i="14"/>
  <c r="Q82" i="14"/>
  <c r="AF95" i="14"/>
  <c r="AP62" i="14"/>
  <c r="AD62" i="14"/>
  <c r="G41" i="14"/>
  <c r="AC95" i="14"/>
  <c r="G95" i="14"/>
  <c r="AB41" i="14"/>
  <c r="AO105" i="14"/>
  <c r="AP102" i="14"/>
  <c r="AP105" i="14" s="1"/>
  <c r="Q56" i="14"/>
  <c r="AL95" i="14"/>
  <c r="F41" i="14"/>
  <c r="S95" i="14"/>
  <c r="AP26" i="14"/>
  <c r="AP30" i="14" s="1"/>
  <c r="AO30" i="14"/>
  <c r="P95" i="14"/>
  <c r="O95" i="14"/>
  <c r="AP112" i="14"/>
  <c r="AJ95" i="14"/>
  <c r="Q77" i="14"/>
  <c r="M95" i="14"/>
  <c r="X95" i="14"/>
  <c r="W95" i="14"/>
  <c r="H41" i="14"/>
  <c r="AI41" i="14"/>
  <c r="R95" i="14"/>
  <c r="F95" i="14"/>
  <c r="AM95" i="14"/>
  <c r="AP65" i="14"/>
  <c r="AP70" i="14" s="1"/>
  <c r="AO70" i="14"/>
  <c r="AP11" i="14"/>
  <c r="AD70" i="14"/>
  <c r="AP39" i="14"/>
  <c r="V95" i="14"/>
  <c r="AL41" i="14"/>
  <c r="K95" i="14"/>
  <c r="AP56" i="14"/>
  <c r="AE95" i="14"/>
  <c r="Q112" i="14"/>
  <c r="Q105" i="14"/>
  <c r="AI95" i="14"/>
  <c r="AO56" i="14"/>
  <c r="Q70" i="14"/>
  <c r="AA95" i="14"/>
  <c r="AP15" i="14"/>
  <c r="AD30" i="14"/>
  <c r="AP85" i="14"/>
  <c r="AP93" i="14" s="1"/>
  <c r="AO93" i="14"/>
  <c r="E95" i="14"/>
  <c r="AK95" i="14"/>
  <c r="AO77" i="14"/>
  <c r="AP73" i="14"/>
  <c r="AP77" i="14" s="1"/>
  <c r="AB95" i="14"/>
  <c r="Z95" i="14"/>
  <c r="AH95" i="14"/>
  <c r="H95" i="14"/>
  <c r="AP37" i="14"/>
  <c r="I41" i="14"/>
  <c r="AP9" i="14"/>
  <c r="I95" i="14"/>
  <c r="AC41" i="14"/>
  <c r="AP33" i="14"/>
  <c r="AP35" i="14" s="1"/>
  <c r="AO35" i="14"/>
  <c r="J95" i="14"/>
  <c r="N95" i="14"/>
  <c r="E41" i="14"/>
  <c r="Q93" i="14"/>
  <c r="AE6" i="14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D6" i="14"/>
  <c r="DJ40" i="13"/>
  <c r="EW40" i="13" s="1"/>
  <c r="EK40" i="13"/>
  <c r="EK45" i="13"/>
  <c r="DJ45" i="13"/>
  <c r="EW45" i="13" s="1"/>
  <c r="HJ45" i="13"/>
  <c r="DU37" i="13"/>
  <c r="DJ30" i="13"/>
  <c r="EW30" i="13" s="1"/>
  <c r="EK30" i="13"/>
  <c r="CW37" i="13"/>
  <c r="EJ37" i="13" s="1"/>
  <c r="DX37" i="13"/>
  <c r="DJ38" i="13"/>
  <c r="EW38" i="13" s="1"/>
  <c r="DI48" i="13"/>
  <c r="EV48" i="13" s="1"/>
  <c r="IA48" i="13"/>
  <c r="AH129" i="4" s="1"/>
  <c r="HK48" i="13"/>
  <c r="R129" i="4" s="1"/>
  <c r="HW8" i="13"/>
  <c r="DU12" i="13"/>
  <c r="IH11" i="13"/>
  <c r="II11" i="13" s="1"/>
  <c r="HJ37" i="13"/>
  <c r="DJ9" i="13"/>
  <c r="EW9" i="13" s="1"/>
  <c r="HW38" i="13"/>
  <c r="IH38" i="13"/>
  <c r="II38" i="13" s="1"/>
  <c r="DV27" i="13"/>
  <c r="FI27" i="13" s="1"/>
  <c r="FH27" i="13"/>
  <c r="HW10" i="13"/>
  <c r="HH48" i="13"/>
  <c r="O129" i="4" s="1"/>
  <c r="DU16" i="13"/>
  <c r="EX16" i="13"/>
  <c r="CX48" i="13"/>
  <c r="EK48" i="13" s="1"/>
  <c r="EK8" i="13"/>
  <c r="DJ8" i="13"/>
  <c r="CO48" i="13"/>
  <c r="EB48" i="13" s="1"/>
  <c r="DY38" i="13"/>
  <c r="CW38" i="13"/>
  <c r="EJ38" i="13" s="1"/>
  <c r="DX39" i="13"/>
  <c r="CW39" i="13"/>
  <c r="EJ39" i="13" s="1"/>
  <c r="CW26" i="13"/>
  <c r="EJ26" i="13" s="1"/>
  <c r="DX26" i="13"/>
  <c r="DJ32" i="13"/>
  <c r="EW32" i="13" s="1"/>
  <c r="EX35" i="13"/>
  <c r="DU35" i="13"/>
  <c r="HJ25" i="13"/>
  <c r="IH19" i="13"/>
  <c r="II19" i="13" s="1"/>
  <c r="CW11" i="13"/>
  <c r="EJ11" i="13" s="1"/>
  <c r="IC48" i="13"/>
  <c r="AJ129" i="4" s="1"/>
  <c r="IH16" i="13"/>
  <c r="II16" i="13" s="1"/>
  <c r="DX44" i="13"/>
  <c r="CW44" i="13"/>
  <c r="EJ44" i="13" s="1"/>
  <c r="EX32" i="13"/>
  <c r="DU32" i="13"/>
  <c r="HN48" i="13"/>
  <c r="U129" i="4" s="1"/>
  <c r="HI48" i="13"/>
  <c r="P129" i="4" s="1"/>
  <c r="CW10" i="13"/>
  <c r="EJ10" i="13" s="1"/>
  <c r="DU18" i="13"/>
  <c r="AJ48" i="13"/>
  <c r="DM48" i="13"/>
  <c r="EZ48" i="13" s="1"/>
  <c r="EZ8" i="13"/>
  <c r="CW45" i="13"/>
  <c r="EJ45" i="13" s="1"/>
  <c r="CW42" i="13"/>
  <c r="EJ42" i="13" s="1"/>
  <c r="IH45" i="13"/>
  <c r="II45" i="13" s="1"/>
  <c r="EX31" i="13"/>
  <c r="DU31" i="13"/>
  <c r="DJ39" i="13"/>
  <c r="EW39" i="13" s="1"/>
  <c r="DU21" i="13"/>
  <c r="EX21" i="13"/>
  <c r="DJ13" i="13"/>
  <c r="EW13" i="13" s="1"/>
  <c r="EK13" i="13"/>
  <c r="DO48" i="13"/>
  <c r="FB48" i="13" s="1"/>
  <c r="HG48" i="13"/>
  <c r="N129" i="4" s="1"/>
  <c r="DQ48" i="13"/>
  <c r="FD48" i="13" s="1"/>
  <c r="HZ48" i="13"/>
  <c r="AG129" i="4" s="1"/>
  <c r="EK22" i="13"/>
  <c r="DJ22" i="13"/>
  <c r="EW22" i="13" s="1"/>
  <c r="DX19" i="13"/>
  <c r="CW19" i="13"/>
  <c r="EJ19" i="13" s="1"/>
  <c r="EX45" i="13"/>
  <c r="DU45" i="13"/>
  <c r="HJ42" i="13"/>
  <c r="EX34" i="13"/>
  <c r="DU34" i="13"/>
  <c r="DX33" i="13"/>
  <c r="CW33" i="13"/>
  <c r="EJ33" i="13" s="1"/>
  <c r="HJ34" i="13"/>
  <c r="HW40" i="13"/>
  <c r="DX41" i="13"/>
  <c r="CW41" i="13"/>
  <c r="EJ41" i="13" s="1"/>
  <c r="IH31" i="13"/>
  <c r="II31" i="13" s="1"/>
  <c r="IH33" i="13"/>
  <c r="II33" i="13" s="1"/>
  <c r="HJ26" i="13"/>
  <c r="EX20" i="13"/>
  <c r="DU20" i="13"/>
  <c r="DP48" i="13"/>
  <c r="FC48" i="13" s="1"/>
  <c r="CR48" i="13"/>
  <c r="EE48" i="13" s="1"/>
  <c r="HJ14" i="13"/>
  <c r="DD48" i="13"/>
  <c r="EQ48" i="13" s="1"/>
  <c r="CN48" i="13"/>
  <c r="EA48" i="13" s="1"/>
  <c r="HE48" i="13"/>
  <c r="L129" i="4" s="1"/>
  <c r="DJ47" i="13"/>
  <c r="EW47" i="13" s="1"/>
  <c r="HW46" i="13"/>
  <c r="EK34" i="13"/>
  <c r="DJ34" i="13"/>
  <c r="EW34" i="13" s="1"/>
  <c r="DU43" i="13"/>
  <c r="EX43" i="13"/>
  <c r="DJ42" i="13"/>
  <c r="EW42" i="13" s="1"/>
  <c r="EK42" i="13"/>
  <c r="CW30" i="13"/>
  <c r="EJ30" i="13" s="1"/>
  <c r="DX30" i="13"/>
  <c r="HW32" i="13"/>
  <c r="EX33" i="13"/>
  <c r="DU33" i="13"/>
  <c r="EP16" i="13"/>
  <c r="DJ16" i="13"/>
  <c r="EW16" i="13" s="1"/>
  <c r="IH28" i="13"/>
  <c r="II28" i="13" s="1"/>
  <c r="HW19" i="13"/>
  <c r="HW13" i="13"/>
  <c r="CS48" i="13"/>
  <c r="EF48" i="13" s="1"/>
  <c r="GZ48" i="13"/>
  <c r="G129" i="4" s="1"/>
  <c r="GU48" i="13"/>
  <c r="GV8" i="13"/>
  <c r="GV48" i="13" s="1"/>
  <c r="DE48" i="13"/>
  <c r="ER48" i="13" s="1"/>
  <c r="ER8" i="13"/>
  <c r="BW48" i="13"/>
  <c r="DJ10" i="13"/>
  <c r="EW10" i="13" s="1"/>
  <c r="DH48" i="13"/>
  <c r="EU48" i="13" s="1"/>
  <c r="EX42" i="13"/>
  <c r="DU42" i="13"/>
  <c r="DX24" i="13"/>
  <c r="CW24" i="13"/>
  <c r="EJ24" i="13" s="1"/>
  <c r="DJ29" i="13"/>
  <c r="EW29" i="13" s="1"/>
  <c r="DU41" i="13"/>
  <c r="DJ19" i="13"/>
  <c r="EW19" i="13" s="1"/>
  <c r="CW22" i="13"/>
  <c r="EJ22" i="13" s="1"/>
  <c r="GJ48" i="13"/>
  <c r="CQ48" i="13"/>
  <c r="ED48" i="13" s="1"/>
  <c r="ED8" i="13"/>
  <c r="DU46" i="13"/>
  <c r="EX46" i="13"/>
  <c r="IH43" i="13"/>
  <c r="II43" i="13" s="1"/>
  <c r="DU39" i="13"/>
  <c r="DU25" i="13"/>
  <c r="HJ13" i="13"/>
  <c r="CM48" i="13"/>
  <c r="DZ48" i="13" s="1"/>
  <c r="DX15" i="13"/>
  <c r="CW15" i="13"/>
  <c r="EJ15" i="13" s="1"/>
  <c r="DU8" i="13"/>
  <c r="IG48" i="13"/>
  <c r="AN129" i="4" s="1"/>
  <c r="HD48" i="13"/>
  <c r="K129" i="4" s="1"/>
  <c r="EW11" i="13"/>
  <c r="CZ48" i="13"/>
  <c r="EM48" i="13" s="1"/>
  <c r="HJ23" i="13"/>
  <c r="EK14" i="13"/>
  <c r="DJ14" i="13"/>
  <c r="EW14" i="13" s="1"/>
  <c r="DX35" i="13"/>
  <c r="CW35" i="13"/>
  <c r="EJ35" i="13" s="1"/>
  <c r="DU26" i="13"/>
  <c r="EX26" i="13"/>
  <c r="EX9" i="13"/>
  <c r="DU9" i="13"/>
  <c r="HY48" i="13"/>
  <c r="AF129" i="4" s="1"/>
  <c r="HO48" i="13"/>
  <c r="V129" i="4" s="1"/>
  <c r="DJ43" i="13"/>
  <c r="EW43" i="13" s="1"/>
  <c r="EK43" i="13"/>
  <c r="EK25" i="13"/>
  <c r="DJ25" i="13"/>
  <c r="EW25" i="13" s="1"/>
  <c r="HP48" i="13"/>
  <c r="W129" i="4" s="1"/>
  <c r="DU44" i="13"/>
  <c r="EX44" i="13"/>
  <c r="IB48" i="13"/>
  <c r="AI129" i="4" s="1"/>
  <c r="HJ47" i="13"/>
  <c r="EX7" i="13"/>
  <c r="EY7" i="13" s="1"/>
  <c r="EZ7" i="13" s="1"/>
  <c r="FA7" i="13" s="1"/>
  <c r="FB7" i="13" s="1"/>
  <c r="FC7" i="13" s="1"/>
  <c r="FD7" i="13" s="1"/>
  <c r="FE7" i="13" s="1"/>
  <c r="FF7" i="13" s="1"/>
  <c r="FG7" i="13" s="1"/>
  <c r="FH7" i="13" s="1"/>
  <c r="FI7" i="13" s="1"/>
  <c r="EW7" i="13"/>
  <c r="DU29" i="13"/>
  <c r="EK21" i="13"/>
  <c r="DJ21" i="13"/>
  <c r="EW21" i="13" s="1"/>
  <c r="HJ20" i="13"/>
  <c r="FH19" i="13"/>
  <c r="DV19" i="13"/>
  <c r="FI19" i="13" s="1"/>
  <c r="DS48" i="13"/>
  <c r="FF48" i="13" s="1"/>
  <c r="FF8" i="13"/>
  <c r="DJ18" i="13"/>
  <c r="EW18" i="13" s="1"/>
  <c r="HF48" i="13"/>
  <c r="M129" i="4" s="1"/>
  <c r="CW8" i="13"/>
  <c r="DC48" i="13"/>
  <c r="EP48" i="13" s="1"/>
  <c r="BW7" i="13"/>
  <c r="BX7" i="13"/>
  <c r="BY7" i="13" s="1"/>
  <c r="BZ7" i="13" s="1"/>
  <c r="CA7" i="13" s="1"/>
  <c r="CB7" i="13" s="1"/>
  <c r="CC7" i="13" s="1"/>
  <c r="CD7" i="13" s="1"/>
  <c r="CE7" i="13" s="1"/>
  <c r="CF7" i="13" s="1"/>
  <c r="CG7" i="13" s="1"/>
  <c r="CH7" i="13" s="1"/>
  <c r="CI7" i="13" s="1"/>
  <c r="CH48" i="13"/>
  <c r="CI8" i="13"/>
  <c r="CI48" i="13" s="1"/>
  <c r="DK7" i="13"/>
  <c r="DL7" i="13" s="1"/>
  <c r="DM7" i="13" s="1"/>
  <c r="DN7" i="13" s="1"/>
  <c r="DO7" i="13" s="1"/>
  <c r="DP7" i="13" s="1"/>
  <c r="DQ7" i="13" s="1"/>
  <c r="DR7" i="13" s="1"/>
  <c r="DS7" i="13" s="1"/>
  <c r="DT7" i="13" s="1"/>
  <c r="DU7" i="13" s="1"/>
  <c r="DV7" i="13" s="1"/>
  <c r="DJ7" i="13"/>
  <c r="HW43" i="13"/>
  <c r="HW41" i="13"/>
  <c r="IH37" i="13"/>
  <c r="II37" i="13" s="1"/>
  <c r="HW25" i="13"/>
  <c r="IH24" i="13"/>
  <c r="II24" i="13" s="1"/>
  <c r="CW32" i="13"/>
  <c r="EJ32" i="13" s="1"/>
  <c r="CW20" i="13"/>
  <c r="EJ20" i="13" s="1"/>
  <c r="HW18" i="13"/>
  <c r="DN48" i="13"/>
  <c r="FA48" i="13" s="1"/>
  <c r="CV48" i="13"/>
  <c r="EI48" i="13" s="1"/>
  <c r="EI8" i="13"/>
  <c r="CW13" i="13"/>
  <c r="EJ13" i="13" s="1"/>
  <c r="CW14" i="13"/>
  <c r="EJ14" i="13" s="1"/>
  <c r="CW21" i="13"/>
  <c r="EJ21" i="13" s="1"/>
  <c r="CK48" i="13"/>
  <c r="DX48" i="13" s="1"/>
  <c r="IE48" i="13"/>
  <c r="AL129" i="4" s="1"/>
  <c r="CW43" i="13"/>
  <c r="EJ43" i="13" s="1"/>
  <c r="DU36" i="13"/>
  <c r="DX31" i="13"/>
  <c r="CW31" i="13"/>
  <c r="EJ31" i="13" s="1"/>
  <c r="HW36" i="13"/>
  <c r="DU28" i="13"/>
  <c r="DJ20" i="13"/>
  <c r="EW20" i="13" s="1"/>
  <c r="DU23" i="13"/>
  <c r="HL48" i="13"/>
  <c r="S129" i="4" s="1"/>
  <c r="CW9" i="13"/>
  <c r="EJ9" i="13" s="1"/>
  <c r="DX9" i="13"/>
  <c r="HX7" i="13"/>
  <c r="HY7" i="13" s="1"/>
  <c r="HZ7" i="13" s="1"/>
  <c r="IA7" i="13" s="1"/>
  <c r="IB7" i="13" s="1"/>
  <c r="IC7" i="13" s="1"/>
  <c r="ID7" i="13" s="1"/>
  <c r="IE7" i="13" s="1"/>
  <c r="IF7" i="13" s="1"/>
  <c r="IG7" i="13" s="1"/>
  <c r="IH7" i="13" s="1"/>
  <c r="II7" i="13" s="1"/>
  <c r="HW7" i="13"/>
  <c r="EK31" i="13"/>
  <c r="DJ31" i="13"/>
  <c r="EW31" i="13" s="1"/>
  <c r="HJ9" i="13"/>
  <c r="HJ35" i="13"/>
  <c r="HJ46" i="13"/>
  <c r="HJ41" i="13"/>
  <c r="IH44" i="13"/>
  <c r="II44" i="13" s="1"/>
  <c r="HW35" i="13"/>
  <c r="DX40" i="13"/>
  <c r="CW40" i="13"/>
  <c r="EJ40" i="13" s="1"/>
  <c r="EK36" i="13"/>
  <c r="DJ36" i="13"/>
  <c r="EW36" i="13" s="1"/>
  <c r="EK41" i="13"/>
  <c r="DJ41" i="13"/>
  <c r="EW41" i="13" s="1"/>
  <c r="IH32" i="13"/>
  <c r="II32" i="13" s="1"/>
  <c r="EX24" i="13"/>
  <c r="DU24" i="13"/>
  <c r="EK27" i="13"/>
  <c r="DJ27" i="13"/>
  <c r="EW27" i="13" s="1"/>
  <c r="IH18" i="13"/>
  <c r="II18" i="13" s="1"/>
  <c r="HW23" i="13"/>
  <c r="HJ21" i="13"/>
  <c r="HM48" i="13"/>
  <c r="T129" i="4" s="1"/>
  <c r="IH14" i="13"/>
  <c r="II14" i="13" s="1"/>
  <c r="HQ48" i="13"/>
  <c r="X129" i="4" s="1"/>
  <c r="CY48" i="13"/>
  <c r="EL48" i="13" s="1"/>
  <c r="EL8" i="13"/>
  <c r="CT48" i="13"/>
  <c r="EG48" i="13" s="1"/>
  <c r="DJ35" i="13"/>
  <c r="EW35" i="13" s="1"/>
  <c r="EK35" i="13"/>
  <c r="CW46" i="13"/>
  <c r="EJ46" i="13" s="1"/>
  <c r="DX46" i="13"/>
  <c r="CW29" i="13"/>
  <c r="EJ29" i="13" s="1"/>
  <c r="DX29" i="13"/>
  <c r="IH25" i="13"/>
  <c r="II25" i="13" s="1"/>
  <c r="IH23" i="13"/>
  <c r="II23" i="13" s="1"/>
  <c r="EK23" i="13"/>
  <c r="DJ23" i="13"/>
  <c r="EW23" i="13" s="1"/>
  <c r="EK15" i="13"/>
  <c r="DJ15" i="13"/>
  <c r="EW15" i="13" s="1"/>
  <c r="DA48" i="13"/>
  <c r="EN48" i="13" s="1"/>
  <c r="EN8" i="13"/>
  <c r="DU13" i="13"/>
  <c r="CW12" i="13"/>
  <c r="EJ12" i="13" s="1"/>
  <c r="DY12" i="13"/>
  <c r="HT48" i="13"/>
  <c r="AA129" i="4" s="1"/>
  <c r="W48" i="13"/>
  <c r="DK48" i="13"/>
  <c r="EX48" i="13" s="1"/>
  <c r="DG48" i="13"/>
  <c r="ET48" i="13" s="1"/>
  <c r="GX48" i="13"/>
  <c r="E129" i="4" s="1"/>
  <c r="HJ8" i="13"/>
  <c r="HC48" i="13"/>
  <c r="J129" i="4" s="1"/>
  <c r="CW23" i="13"/>
  <c r="EJ23" i="13" s="1"/>
  <c r="DX23" i="13"/>
  <c r="DT48" i="13"/>
  <c r="FG48" i="13" s="1"/>
  <c r="FG8" i="13"/>
  <c r="EK28" i="13"/>
  <c r="DJ28" i="13"/>
  <c r="EW28" i="13" s="1"/>
  <c r="DR48" i="13"/>
  <c r="FE48" i="13" s="1"/>
  <c r="FE8" i="13"/>
  <c r="BJ48" i="13"/>
  <c r="DF48" i="13"/>
  <c r="ES48" i="13" s="1"/>
  <c r="ES8" i="13"/>
  <c r="HJ15" i="13"/>
  <c r="DX47" i="13"/>
  <c r="CW47" i="13"/>
  <c r="EJ47" i="13" s="1"/>
  <c r="DJ26" i="13"/>
  <c r="EW26" i="13" s="1"/>
  <c r="HW15" i="13"/>
  <c r="DJ12" i="13"/>
  <c r="EW12" i="13" s="1"/>
  <c r="EK12" i="13"/>
  <c r="HW30" i="13"/>
  <c r="CU48" i="13"/>
  <c r="EH48" i="13" s="1"/>
  <c r="EH8" i="13"/>
  <c r="HW14" i="13"/>
  <c r="DJ44" i="13"/>
  <c r="EW44" i="13" s="1"/>
  <c r="EK44" i="13"/>
  <c r="CW34" i="13"/>
  <c r="EJ34" i="13" s="1"/>
  <c r="DX34" i="13"/>
  <c r="DJ37" i="13"/>
  <c r="EW37" i="13" s="1"/>
  <c r="HJ18" i="13"/>
  <c r="HW27" i="13"/>
  <c r="DU22" i="13"/>
  <c r="EX22" i="13"/>
  <c r="HX48" i="13"/>
  <c r="AE129" i="4" s="1"/>
  <c r="IH8" i="13"/>
  <c r="AJ7" i="13"/>
  <c r="AK7" i="13"/>
  <c r="AL7" i="13" s="1"/>
  <c r="AM7" i="13" s="1"/>
  <c r="AN7" i="13" s="1"/>
  <c r="AO7" i="13" s="1"/>
  <c r="AP7" i="13" s="1"/>
  <c r="AQ7" i="13" s="1"/>
  <c r="AR7" i="13" s="1"/>
  <c r="AS7" i="13" s="1"/>
  <c r="AT7" i="13" s="1"/>
  <c r="AU7" i="13" s="1"/>
  <c r="AV7" i="13" s="1"/>
  <c r="IH39" i="13"/>
  <c r="II39" i="13" s="1"/>
  <c r="HJ31" i="13"/>
  <c r="DJ33" i="13"/>
  <c r="EW33" i="13" s="1"/>
  <c r="EN24" i="13"/>
  <c r="DJ24" i="13"/>
  <c r="EW24" i="13" s="1"/>
  <c r="HJ36" i="13"/>
  <c r="DJ17" i="13"/>
  <c r="EW17" i="13" s="1"/>
  <c r="EK17" i="13"/>
  <c r="IF48" i="13"/>
  <c r="AM129" i="4" s="1"/>
  <c r="DU14" i="13"/>
  <c r="HW12" i="13"/>
  <c r="FW48" i="13"/>
  <c r="CP48" i="13"/>
  <c r="EC48" i="13" s="1"/>
  <c r="EC8" i="13"/>
  <c r="EX11" i="13"/>
  <c r="DU11" i="13"/>
  <c r="DB48" i="13"/>
  <c r="EO48" i="13" s="1"/>
  <c r="DJ46" i="13"/>
  <c r="EW46" i="13" s="1"/>
  <c r="II47" i="13"/>
  <c r="IH42" i="13"/>
  <c r="II42" i="13" s="1"/>
  <c r="IH40" i="13"/>
  <c r="II40" i="13" s="1"/>
  <c r="DX18" i="13"/>
  <c r="CW18" i="13"/>
  <c r="EJ18" i="13" s="1"/>
  <c r="CW36" i="13"/>
  <c r="EJ36" i="13" s="1"/>
  <c r="DX36" i="13"/>
  <c r="CW25" i="13"/>
  <c r="EJ25" i="13" s="1"/>
  <c r="AU48" i="13"/>
  <c r="AV8" i="13"/>
  <c r="AV48" i="13" s="1"/>
  <c r="DL48" i="13"/>
  <c r="EY48" i="13" s="1"/>
  <c r="N95" i="4"/>
  <c r="AN41" i="4"/>
  <c r="S41" i="4"/>
  <c r="S42" i="4" s="1"/>
  <c r="Q10" i="12"/>
  <c r="R10" i="12" s="1"/>
  <c r="T6" i="10"/>
  <c r="S14" i="10"/>
  <c r="R14" i="10"/>
  <c r="R20" i="10" s="1"/>
  <c r="K78" i="12"/>
  <c r="L78" i="12" s="1"/>
  <c r="AO108" i="11"/>
  <c r="AO109" i="11" s="1"/>
  <c r="AP108" i="11"/>
  <c r="AD108" i="11"/>
  <c r="AD109" i="11" s="1"/>
  <c r="Q108" i="11"/>
  <c r="Q109" i="11" s="1"/>
  <c r="AE92" i="11"/>
  <c r="AF92" i="11" s="1"/>
  <c r="AG92" i="11" s="1"/>
  <c r="AH92" i="11" s="1"/>
  <c r="AI92" i="11" s="1"/>
  <c r="AJ92" i="11" s="1"/>
  <c r="AK92" i="11" s="1"/>
  <c r="AL92" i="11" s="1"/>
  <c r="AM92" i="11" s="1"/>
  <c r="AN92" i="11" s="1"/>
  <c r="AO92" i="11" s="1"/>
  <c r="AP92" i="11" s="1"/>
  <c r="AD92" i="11"/>
  <c r="Q87" i="11"/>
  <c r="Q88" i="11" s="1"/>
  <c r="AD87" i="11"/>
  <c r="AD88" i="11" s="1"/>
  <c r="AP72" i="11"/>
  <c r="AP87" i="11" s="1"/>
  <c r="AO87" i="11"/>
  <c r="AO88" i="11" s="1"/>
  <c r="AD71" i="11"/>
  <c r="AE71" i="11"/>
  <c r="AF71" i="11" s="1"/>
  <c r="AG71" i="11" s="1"/>
  <c r="AH71" i="11" s="1"/>
  <c r="AI71" i="11" s="1"/>
  <c r="AJ71" i="11" s="1"/>
  <c r="AK71" i="11" s="1"/>
  <c r="AL71" i="11" s="1"/>
  <c r="AM71" i="11" s="1"/>
  <c r="AN71" i="11" s="1"/>
  <c r="AO71" i="11" s="1"/>
  <c r="AP71" i="11" s="1"/>
  <c r="Q66" i="11"/>
  <c r="Q67" i="11" s="1"/>
  <c r="AD66" i="11"/>
  <c r="AD67" i="11" s="1"/>
  <c r="AO66" i="11"/>
  <c r="AO67" i="11" s="1"/>
  <c r="AP51" i="11"/>
  <c r="AP66" i="11" s="1"/>
  <c r="AP67" i="11" s="1"/>
  <c r="AE50" i="11"/>
  <c r="AF50" i="11" s="1"/>
  <c r="AG50" i="11" s="1"/>
  <c r="AH50" i="11" s="1"/>
  <c r="AI50" i="11" s="1"/>
  <c r="AJ50" i="11" s="1"/>
  <c r="AK50" i="11" s="1"/>
  <c r="AL50" i="11" s="1"/>
  <c r="AM50" i="11" s="1"/>
  <c r="AN50" i="11" s="1"/>
  <c r="AO50" i="11" s="1"/>
  <c r="AP50" i="11" s="1"/>
  <c r="AD50" i="11"/>
  <c r="Q45" i="11"/>
  <c r="Q46" i="11" s="1"/>
  <c r="AD45" i="11"/>
  <c r="AD46" i="11" s="1"/>
  <c r="AE29" i="1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D29" i="11"/>
  <c r="AP30" i="11"/>
  <c r="AP45" i="11" s="1"/>
  <c r="AP46" i="11" s="1"/>
  <c r="AO45" i="11"/>
  <c r="AD24" i="11"/>
  <c r="AD25" i="11" s="1"/>
  <c r="AP9" i="11"/>
  <c r="AP24" i="11" s="1"/>
  <c r="AO24" i="11"/>
  <c r="Q24" i="11"/>
  <c r="AE8" i="11"/>
  <c r="AF8" i="11" s="1"/>
  <c r="AG8" i="11" s="1"/>
  <c r="AH8" i="11" s="1"/>
  <c r="AI8" i="11" s="1"/>
  <c r="AJ8" i="11" s="1"/>
  <c r="AK8" i="11" s="1"/>
  <c r="AL8" i="11" s="1"/>
  <c r="AM8" i="11" s="1"/>
  <c r="AN8" i="11" s="1"/>
  <c r="AO8" i="11" s="1"/>
  <c r="AP8" i="11" s="1"/>
  <c r="AD8" i="11"/>
  <c r="AB52" i="8"/>
  <c r="M52" i="8"/>
  <c r="H52" i="8"/>
  <c r="I52" i="8"/>
  <c r="W52" i="8"/>
  <c r="AF52" i="8"/>
  <c r="P52" i="8"/>
  <c r="AL52" i="8"/>
  <c r="AA52" i="8"/>
  <c r="AE6" i="9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AP6" i="9" s="1"/>
  <c r="AD6" i="9"/>
  <c r="AI52" i="8"/>
  <c r="AH52" i="8"/>
  <c r="Y52" i="8"/>
  <c r="K52" i="8"/>
  <c r="AD52" i="8"/>
  <c r="AE52" i="8"/>
  <c r="AJ52" i="8"/>
  <c r="Q52" i="8"/>
  <c r="N52" i="8"/>
  <c r="F52" i="8"/>
  <c r="AM52" i="8"/>
  <c r="J52" i="8"/>
  <c r="R52" i="8"/>
  <c r="T52" i="8"/>
  <c r="S52" i="8"/>
  <c r="E52" i="8"/>
  <c r="V52" i="8"/>
  <c r="U52" i="8"/>
  <c r="Z52" i="8"/>
  <c r="G52" i="8"/>
  <c r="X52" i="8"/>
  <c r="Z18" i="8"/>
  <c r="AE18" i="8"/>
  <c r="O18" i="8"/>
  <c r="E18" i="8"/>
  <c r="E58" i="8" s="1"/>
  <c r="AH18" i="8"/>
  <c r="K18" i="8"/>
  <c r="V18" i="8"/>
  <c r="S18" i="8"/>
  <c r="I18" i="8"/>
  <c r="I58" i="8" s="1"/>
  <c r="W18" i="8"/>
  <c r="W58" i="8" s="1"/>
  <c r="AA18" i="8"/>
  <c r="AA58" i="8" s="1"/>
  <c r="L18" i="8"/>
  <c r="L58" i="8" s="1"/>
  <c r="U18" i="8"/>
  <c r="U58" i="8" s="1"/>
  <c r="AG18" i="8"/>
  <c r="AG58" i="8" s="1"/>
  <c r="AF18" i="8"/>
  <c r="AF58" i="8" s="1"/>
  <c r="J18" i="8"/>
  <c r="J58" i="8" s="1"/>
  <c r="M18" i="8"/>
  <c r="M58" i="8" s="1"/>
  <c r="AI18" i="8"/>
  <c r="AI58" i="8" s="1"/>
  <c r="R18" i="8"/>
  <c r="R58" i="8" s="1"/>
  <c r="G18" i="8"/>
  <c r="G58" i="8" s="1"/>
  <c r="AB18" i="8"/>
  <c r="AB58" i="8" s="1"/>
  <c r="X18" i="8"/>
  <c r="X58" i="8" s="1"/>
  <c r="AM18" i="8"/>
  <c r="AM58" i="8" s="1"/>
  <c r="Q18" i="8"/>
  <c r="Q58" i="8" s="1"/>
  <c r="AL18" i="8"/>
  <c r="AL58" i="8" s="1"/>
  <c r="AK18" i="8"/>
  <c r="AK58" i="8" s="1"/>
  <c r="AJ18" i="8"/>
  <c r="AJ58" i="8" s="1"/>
  <c r="N18" i="8"/>
  <c r="F18" i="8"/>
  <c r="F58" i="8" s="1"/>
  <c r="T18" i="8"/>
  <c r="T58" i="8" s="1"/>
  <c r="AC18" i="8"/>
  <c r="AC58" i="8" s="1"/>
  <c r="Y18" i="8"/>
  <c r="P18" i="8"/>
  <c r="P58" i="8" s="1"/>
  <c r="AD18" i="8"/>
  <c r="AD58" i="8" s="1"/>
  <c r="H18" i="8"/>
  <c r="H58" i="8" s="1"/>
  <c r="AG49" i="7"/>
  <c r="AG50" i="7" s="1"/>
  <c r="AG52" i="7" s="1"/>
  <c r="AF49" i="7"/>
  <c r="AF50" i="7" s="1"/>
  <c r="AF52" i="7" s="1"/>
  <c r="X49" i="7"/>
  <c r="X50" i="7" s="1"/>
  <c r="X52" i="7" s="1"/>
  <c r="W49" i="7"/>
  <c r="W50" i="7" s="1"/>
  <c r="W52" i="7" s="1"/>
  <c r="AK49" i="7"/>
  <c r="AK50" i="7" s="1"/>
  <c r="AK52" i="7" s="1"/>
  <c r="AI49" i="7"/>
  <c r="AI50" i="7" s="1"/>
  <c r="AI52" i="7" s="1"/>
  <c r="R49" i="7"/>
  <c r="R50" i="7" s="1"/>
  <c r="R52" i="7" s="1"/>
  <c r="AH49" i="7"/>
  <c r="AH50" i="7" s="1"/>
  <c r="AH52" i="7" s="1"/>
  <c r="L43" i="7"/>
  <c r="G43" i="7"/>
  <c r="Z43" i="7"/>
  <c r="N43" i="7"/>
  <c r="P43" i="7"/>
  <c r="H43" i="7"/>
  <c r="AA43" i="7"/>
  <c r="U43" i="7"/>
  <c r="E43" i="7"/>
  <c r="AA22" i="8"/>
  <c r="AA24" i="8" s="1"/>
  <c r="AA25" i="8" s="1"/>
  <c r="D24" i="7"/>
  <c r="O43" i="7"/>
  <c r="K43" i="7"/>
  <c r="S43" i="7"/>
  <c r="M43" i="7"/>
  <c r="Y43" i="7"/>
  <c r="X43" i="7"/>
  <c r="T22" i="8"/>
  <c r="T24" i="8" s="1"/>
  <c r="T25" i="8" s="1"/>
  <c r="AF43" i="7"/>
  <c r="AE22" i="8"/>
  <c r="AE24" i="8" s="1"/>
  <c r="AE25" i="8" s="1"/>
  <c r="AM22" i="8"/>
  <c r="AM24" i="8" s="1"/>
  <c r="AM25" i="8" s="1"/>
  <c r="V22" i="8"/>
  <c r="V24" i="8" s="1"/>
  <c r="V25" i="8" s="1"/>
  <c r="H22" i="8"/>
  <c r="H24" i="8" s="1"/>
  <c r="H25" i="8" s="1"/>
  <c r="O22" i="8"/>
  <c r="O24" i="8" s="1"/>
  <c r="O25" i="8" s="1"/>
  <c r="AK22" i="8"/>
  <c r="AK24" i="8" s="1"/>
  <c r="AK25" i="8" s="1"/>
  <c r="E22" i="8"/>
  <c r="E24" i="8" s="1"/>
  <c r="E25" i="8" s="1"/>
  <c r="X22" i="8"/>
  <c r="X24" i="8" s="1"/>
  <c r="X25" i="8" s="1"/>
  <c r="E24" i="7"/>
  <c r="J22" i="8"/>
  <c r="J24" i="8" s="1"/>
  <c r="J25" i="8" s="1"/>
  <c r="U22" i="8"/>
  <c r="U24" i="8" s="1"/>
  <c r="U25" i="8" s="1"/>
  <c r="AJ22" i="8"/>
  <c r="AJ24" i="8" s="1"/>
  <c r="AJ25" i="8" s="1"/>
  <c r="F22" i="8"/>
  <c r="F24" i="8" s="1"/>
  <c r="F25" i="8" s="1"/>
  <c r="P22" i="8"/>
  <c r="P24" i="8" s="1"/>
  <c r="P25" i="8" s="1"/>
  <c r="AL22" i="8"/>
  <c r="AL24" i="8" s="1"/>
  <c r="AL25" i="8" s="1"/>
  <c r="I22" i="8"/>
  <c r="I24" i="8" s="1"/>
  <c r="I25" i="8" s="1"/>
  <c r="G22" i="8"/>
  <c r="G24" i="8" s="1"/>
  <c r="G25" i="8" s="1"/>
  <c r="AC22" i="8"/>
  <c r="AC24" i="8" s="1"/>
  <c r="AC25" i="8" s="1"/>
  <c r="AB22" i="8"/>
  <c r="AB24" i="8" s="1"/>
  <c r="AB25" i="8" s="1"/>
  <c r="Q22" i="8"/>
  <c r="Q24" i="8" s="1"/>
  <c r="Q25" i="8" s="1"/>
  <c r="AF22" i="8"/>
  <c r="AF24" i="8" s="1"/>
  <c r="AF25" i="8" s="1"/>
  <c r="AG22" i="8"/>
  <c r="AG24" i="8" s="1"/>
  <c r="AG25" i="8" s="1"/>
  <c r="W22" i="8"/>
  <c r="W24" i="8" s="1"/>
  <c r="W25" i="8" s="1"/>
  <c r="AH22" i="8"/>
  <c r="AH24" i="8" s="1"/>
  <c r="AH25" i="8" s="1"/>
  <c r="K22" i="8"/>
  <c r="K24" i="8" s="1"/>
  <c r="K25" i="8" s="1"/>
  <c r="AI22" i="8"/>
  <c r="AI24" i="8" s="1"/>
  <c r="AI25" i="8" s="1"/>
  <c r="AD22" i="8"/>
  <c r="AD24" i="8" s="1"/>
  <c r="AD25" i="8" s="1"/>
  <c r="Z22" i="8"/>
  <c r="Z24" i="8" s="1"/>
  <c r="Z25" i="8" s="1"/>
  <c r="M22" i="8"/>
  <c r="M24" i="8" s="1"/>
  <c r="M25" i="8" s="1"/>
  <c r="H44" i="8"/>
  <c r="F15" i="7"/>
  <c r="F24" i="7" s="1"/>
  <c r="F52" i="7" s="1"/>
  <c r="Z44" i="8"/>
  <c r="R44" i="8"/>
  <c r="K44" i="8"/>
  <c r="L24" i="8"/>
  <c r="L25" i="8" s="1"/>
  <c r="T44" i="8"/>
  <c r="AH58" i="8"/>
  <c r="AJ39" i="8"/>
  <c r="AJ59" i="8" s="1"/>
  <c r="I44" i="8"/>
  <c r="Y58" i="8"/>
  <c r="Y24" i="8"/>
  <c r="Y25" i="8" s="1"/>
  <c r="N24" i="8"/>
  <c r="N25" i="8" s="1"/>
  <c r="U44" i="8"/>
  <c r="K58" i="8"/>
  <c r="AC44" i="8"/>
  <c r="Y44" i="8"/>
  <c r="E44" i="8"/>
  <c r="AF44" i="8"/>
  <c r="AL44" i="8"/>
  <c r="AA44" i="8"/>
  <c r="S24" i="8"/>
  <c r="S25" i="8" s="1"/>
  <c r="AE39" i="8"/>
  <c r="AE59" i="8" s="1"/>
  <c r="AI39" i="8"/>
  <c r="AI59" i="8" s="1"/>
  <c r="M44" i="8"/>
  <c r="AG44" i="8"/>
  <c r="G39" i="8"/>
  <c r="G59" i="8" s="1"/>
  <c r="N39" i="8"/>
  <c r="N59" i="8" s="1"/>
  <c r="Z58" i="8"/>
  <c r="N58" i="8"/>
  <c r="R24" i="8"/>
  <c r="R25" i="8" s="1"/>
  <c r="F44" i="8"/>
  <c r="W44" i="8"/>
  <c r="AE44" i="8"/>
  <c r="AB39" i="8"/>
  <c r="AB59" i="8" s="1"/>
  <c r="AM44" i="8"/>
  <c r="AB44" i="8"/>
  <c r="AI44" i="8"/>
  <c r="X44" i="8"/>
  <c r="AJ44" i="8"/>
  <c r="AE58" i="8"/>
  <c r="Q44" i="8"/>
  <c r="O44" i="8"/>
  <c r="O58" i="8"/>
  <c r="V58" i="8"/>
  <c r="V39" i="8"/>
  <c r="V59" i="8" s="1"/>
  <c r="AC39" i="8"/>
  <c r="AC59" i="8" s="1"/>
  <c r="U39" i="8"/>
  <c r="U59" i="8" s="1"/>
  <c r="P44" i="8"/>
  <c r="M39" i="8"/>
  <c r="S44" i="8"/>
  <c r="H39" i="8"/>
  <c r="H59" i="8" s="1"/>
  <c r="AM39" i="8"/>
  <c r="AK44" i="8"/>
  <c r="AL39" i="8"/>
  <c r="AH39" i="8"/>
  <c r="P39" i="8"/>
  <c r="P59" i="8" s="1"/>
  <c r="Q39" i="8"/>
  <c r="Q59" i="8" s="1"/>
  <c r="X39" i="8"/>
  <c r="X59" i="8" s="1"/>
  <c r="AD44" i="8"/>
  <c r="AD39" i="8"/>
  <c r="J39" i="8"/>
  <c r="S39" i="8"/>
  <c r="L44" i="8"/>
  <c r="AF39" i="8"/>
  <c r="AF59" i="8" s="1"/>
  <c r="J44" i="8"/>
  <c r="T39" i="8"/>
  <c r="E39" i="8"/>
  <c r="E59" i="8" s="1"/>
  <c r="Y39" i="8"/>
  <c r="Y59" i="8" s="1"/>
  <c r="O39" i="8"/>
  <c r="W39" i="8"/>
  <c r="I39" i="8"/>
  <c r="I59" i="8" s="1"/>
  <c r="AA39" i="8"/>
  <c r="F39" i="8"/>
  <c r="N44" i="8"/>
  <c r="L39" i="8"/>
  <c r="AK39" i="8"/>
  <c r="AG39" i="8"/>
  <c r="AG59" i="8" s="1"/>
  <c r="K39" i="8"/>
  <c r="AH44" i="8"/>
  <c r="Z39" i="8"/>
  <c r="G44" i="8"/>
  <c r="V44" i="8"/>
  <c r="R39" i="8"/>
  <c r="AG95" i="4"/>
  <c r="AG96" i="4" s="1"/>
  <c r="Q105" i="4"/>
  <c r="AP105" i="4"/>
  <c r="AO105" i="4"/>
  <c r="AD93" i="4"/>
  <c r="AP85" i="4"/>
  <c r="AP93" i="4" s="1"/>
  <c r="AO93" i="4"/>
  <c r="Q93" i="4"/>
  <c r="AP80" i="4"/>
  <c r="AP82" i="4" s="1"/>
  <c r="AO82" i="4"/>
  <c r="AN95" i="4"/>
  <c r="AN96" i="4" s="1"/>
  <c r="G95" i="4"/>
  <c r="W95" i="4"/>
  <c r="W96" i="4" s="1"/>
  <c r="AD77" i="4"/>
  <c r="Q77" i="4"/>
  <c r="Y95" i="4"/>
  <c r="Y96" i="4" s="1"/>
  <c r="I95" i="4"/>
  <c r="AJ95" i="4"/>
  <c r="AP73" i="4"/>
  <c r="AP77" i="4" s="1"/>
  <c r="AO77" i="4"/>
  <c r="AF95" i="4"/>
  <c r="AF96" i="4" s="1"/>
  <c r="AI95" i="4"/>
  <c r="AI96" i="4" s="1"/>
  <c r="Q62" i="4"/>
  <c r="AM95" i="4"/>
  <c r="AM96" i="4" s="1"/>
  <c r="Z95" i="4"/>
  <c r="Z96" i="4" s="1"/>
  <c r="X95" i="4"/>
  <c r="X96" i="4" s="1"/>
  <c r="AL95" i="4"/>
  <c r="AL96" i="4" s="1"/>
  <c r="K95" i="4"/>
  <c r="AD70" i="4"/>
  <c r="Q70" i="4"/>
  <c r="E95" i="4"/>
  <c r="E96" i="4" s="1"/>
  <c r="AP65" i="4"/>
  <c r="AP70" i="4" s="1"/>
  <c r="AO70" i="4"/>
  <c r="AK95" i="4"/>
  <c r="AK96" i="4" s="1"/>
  <c r="V95" i="4"/>
  <c r="V96" i="4" s="1"/>
  <c r="J95" i="4"/>
  <c r="H95" i="4"/>
  <c r="U95" i="4"/>
  <c r="U96" i="4" s="1"/>
  <c r="AE95" i="4"/>
  <c r="AE96" i="4" s="1"/>
  <c r="T95" i="4"/>
  <c r="T96" i="4" s="1"/>
  <c r="AH95" i="4"/>
  <c r="AH96" i="4" s="1"/>
  <c r="O95" i="4"/>
  <c r="F95" i="4"/>
  <c r="P95" i="4"/>
  <c r="AB95" i="4"/>
  <c r="AB96" i="4" s="1"/>
  <c r="AA95" i="4"/>
  <c r="AA96" i="4" s="1"/>
  <c r="AC95" i="4"/>
  <c r="AC96" i="4" s="1"/>
  <c r="L95" i="4"/>
  <c r="S95" i="4"/>
  <c r="S96" i="4" s="1"/>
  <c r="R95" i="4"/>
  <c r="R96" i="4" s="1"/>
  <c r="AP59" i="4"/>
  <c r="AP62" i="4" s="1"/>
  <c r="AO62" i="4"/>
  <c r="AD62" i="4"/>
  <c r="AK41" i="4"/>
  <c r="AK44" i="4" s="1"/>
  <c r="AK45" i="4" s="1"/>
  <c r="V41" i="4"/>
  <c r="V44" i="4" s="1"/>
  <c r="AI41" i="4"/>
  <c r="AI44" i="4" s="1"/>
  <c r="N41" i="4"/>
  <c r="AD56" i="4"/>
  <c r="AP49" i="4"/>
  <c r="AP56" i="4" s="1"/>
  <c r="AO56" i="4"/>
  <c r="Q56" i="4"/>
  <c r="F41" i="4"/>
  <c r="J41" i="4"/>
  <c r="O41" i="4"/>
  <c r="AF41" i="4"/>
  <c r="AF42" i="4" s="1"/>
  <c r="G41" i="4"/>
  <c r="AM41" i="4"/>
  <c r="AM42" i="4" s="1"/>
  <c r="X41" i="4"/>
  <c r="X42" i="4" s="1"/>
  <c r="U41" i="4"/>
  <c r="U42" i="4" s="1"/>
  <c r="AE41" i="4"/>
  <c r="AE42" i="4" s="1"/>
  <c r="AL41" i="4"/>
  <c r="AL42" i="4" s="1"/>
  <c r="Z41" i="4"/>
  <c r="Z42" i="4" s="1"/>
  <c r="E41" i="4"/>
  <c r="E42" i="4" s="1"/>
  <c r="P41" i="4"/>
  <c r="AA41" i="4"/>
  <c r="AA42" i="4" s="1"/>
  <c r="H41" i="4"/>
  <c r="R41" i="4"/>
  <c r="R42" i="4" s="1"/>
  <c r="L41" i="4"/>
  <c r="T41" i="4"/>
  <c r="T44" i="4" s="1"/>
  <c r="AJ41" i="4"/>
  <c r="AJ42" i="4" s="1"/>
  <c r="I41" i="4"/>
  <c r="AG41" i="4"/>
  <c r="AG42" i="4" s="1"/>
  <c r="AH41" i="4"/>
  <c r="AH42" i="4" s="1"/>
  <c r="K41" i="4"/>
  <c r="W41" i="4"/>
  <c r="W42" i="4" s="1"/>
  <c r="M41" i="4"/>
  <c r="AB41" i="4"/>
  <c r="AB44" i="4" s="1"/>
  <c r="AC41" i="4"/>
  <c r="AC42" i="4" s="1"/>
  <c r="Y41" i="4"/>
  <c r="Y42" i="4" s="1"/>
  <c r="AD30" i="4"/>
  <c r="AN44" i="4"/>
  <c r="AP24" i="4"/>
  <c r="AP30" i="4" s="1"/>
  <c r="AO30" i="4"/>
  <c r="Q30" i="4"/>
  <c r="AJ12" i="4"/>
  <c r="AB18" i="4"/>
  <c r="Q35" i="4"/>
  <c r="AP33" i="4"/>
  <c r="AP35" i="4" s="1"/>
  <c r="AO35" i="4"/>
  <c r="AD35" i="4"/>
  <c r="AN18" i="4"/>
  <c r="AF14" i="4"/>
  <c r="AH12" i="4"/>
  <c r="Z12" i="4"/>
  <c r="T16" i="4"/>
  <c r="AG10" i="4"/>
  <c r="AB12" i="4"/>
  <c r="AF16" i="4"/>
  <c r="AK16" i="4"/>
  <c r="R10" i="4"/>
  <c r="T14" i="4"/>
  <c r="AH16" i="4"/>
  <c r="AF12" i="4"/>
  <c r="R18" i="4"/>
  <c r="T10" i="4"/>
  <c r="AM18" i="4"/>
  <c r="AC14" i="4"/>
  <c r="W63" i="4"/>
  <c r="W71" i="4"/>
  <c r="W40" i="4"/>
  <c r="W83" i="4"/>
  <c r="W78" i="4"/>
  <c r="W36" i="4"/>
  <c r="W31" i="4"/>
  <c r="W57" i="4"/>
  <c r="W38" i="4"/>
  <c r="W94" i="4"/>
  <c r="W10" i="4"/>
  <c r="P19" i="4"/>
  <c r="P10" i="4" s="1"/>
  <c r="V10" i="4"/>
  <c r="R12" i="4"/>
  <c r="AA16" i="4"/>
  <c r="AL10" i="4"/>
  <c r="E16" i="4"/>
  <c r="Y18" i="4"/>
  <c r="AL16" i="4"/>
  <c r="Y12" i="4"/>
  <c r="Y10" i="4"/>
  <c r="AE63" i="4"/>
  <c r="AE71" i="4"/>
  <c r="AE78" i="4"/>
  <c r="AE38" i="4"/>
  <c r="AE57" i="4"/>
  <c r="AE94" i="4"/>
  <c r="AE40" i="4"/>
  <c r="AE83" i="4"/>
  <c r="AE36" i="4"/>
  <c r="AE16" i="4"/>
  <c r="AE31" i="4"/>
  <c r="AE10" i="4"/>
  <c r="H19" i="4"/>
  <c r="H10" i="4" s="1"/>
  <c r="AA12" i="4"/>
  <c r="AE12" i="4"/>
  <c r="S16" i="4"/>
  <c r="AL14" i="4"/>
  <c r="AC10" i="4"/>
  <c r="AA94" i="4"/>
  <c r="AA31" i="4"/>
  <c r="AA38" i="4"/>
  <c r="AA63" i="4"/>
  <c r="AA57" i="4"/>
  <c r="AA78" i="4"/>
  <c r="AA40" i="4"/>
  <c r="AA71" i="4"/>
  <c r="AA83" i="4"/>
  <c r="AA36" i="4"/>
  <c r="E10" i="4"/>
  <c r="AI94" i="4"/>
  <c r="AI31" i="4"/>
  <c r="AI38" i="4"/>
  <c r="AI83" i="4"/>
  <c r="AI57" i="4"/>
  <c r="AI71" i="4"/>
  <c r="AI36" i="4"/>
  <c r="AI63" i="4"/>
  <c r="AI78" i="4"/>
  <c r="AI40" i="4"/>
  <c r="AG78" i="4"/>
  <c r="AG83" i="4"/>
  <c r="AG40" i="4"/>
  <c r="AG94" i="4"/>
  <c r="AG38" i="4"/>
  <c r="AG71" i="4"/>
  <c r="AG36" i="4"/>
  <c r="AG63" i="4"/>
  <c r="AG14" i="4"/>
  <c r="AG31" i="4"/>
  <c r="AG57" i="4"/>
  <c r="AN63" i="4"/>
  <c r="AN71" i="4"/>
  <c r="AN94" i="4"/>
  <c r="AN57" i="4"/>
  <c r="AN78" i="4"/>
  <c r="AN31" i="4"/>
  <c r="AN38" i="4"/>
  <c r="AN36" i="4"/>
  <c r="AN40" i="4"/>
  <c r="AN42" i="4"/>
  <c r="AN83" i="4"/>
  <c r="AN10" i="4"/>
  <c r="AN16" i="4"/>
  <c r="AE14" i="4"/>
  <c r="S12" i="4"/>
  <c r="E14" i="4"/>
  <c r="Z16" i="4"/>
  <c r="AP11" i="4"/>
  <c r="W16" i="4"/>
  <c r="U10" i="4"/>
  <c r="AN12" i="4"/>
  <c r="AN14" i="4"/>
  <c r="Z18" i="4"/>
  <c r="AG18" i="4"/>
  <c r="Y78" i="4"/>
  <c r="Y83" i="4"/>
  <c r="Y94" i="4"/>
  <c r="Y57" i="4"/>
  <c r="Y63" i="4"/>
  <c r="Y36" i="4"/>
  <c r="Y31" i="4"/>
  <c r="Y40" i="4"/>
  <c r="Y38" i="4"/>
  <c r="Y14" i="4"/>
  <c r="Y71" i="4"/>
  <c r="M19" i="4"/>
  <c r="M10" i="4" s="1"/>
  <c r="AB94" i="4"/>
  <c r="AB31" i="4"/>
  <c r="AB38" i="4"/>
  <c r="AB83" i="4"/>
  <c r="AB57" i="4"/>
  <c r="AB78" i="4"/>
  <c r="AB40" i="4"/>
  <c r="AB71" i="4"/>
  <c r="AB63" i="4"/>
  <c r="AB36" i="4"/>
  <c r="X63" i="4"/>
  <c r="X71" i="4"/>
  <c r="X78" i="4"/>
  <c r="X83" i="4"/>
  <c r="X36" i="4"/>
  <c r="X31" i="4"/>
  <c r="X57" i="4"/>
  <c r="X94" i="4"/>
  <c r="X38" i="4"/>
  <c r="X40" i="4"/>
  <c r="W18" i="4"/>
  <c r="AM63" i="4"/>
  <c r="AM71" i="4"/>
  <c r="AM31" i="4"/>
  <c r="AM83" i="4"/>
  <c r="AM78" i="4"/>
  <c r="AM57" i="4"/>
  <c r="AM38" i="4"/>
  <c r="AM94" i="4"/>
  <c r="AM36" i="4"/>
  <c r="AM16" i="4"/>
  <c r="AM10" i="4"/>
  <c r="AM12" i="4"/>
  <c r="AM40" i="4"/>
  <c r="V12" i="4"/>
  <c r="AB16" i="4"/>
  <c r="AJ10" i="4"/>
  <c r="AI18" i="4"/>
  <c r="X18" i="4"/>
  <c r="E40" i="4"/>
  <c r="E57" i="4"/>
  <c r="E94" i="4"/>
  <c r="E63" i="4"/>
  <c r="E36" i="4"/>
  <c r="E71" i="4"/>
  <c r="E83" i="4"/>
  <c r="E38" i="4"/>
  <c r="E31" i="4"/>
  <c r="E18" i="4"/>
  <c r="E78" i="4"/>
  <c r="U40" i="4"/>
  <c r="U57" i="4"/>
  <c r="U78" i="4"/>
  <c r="U38" i="4"/>
  <c r="U36" i="4"/>
  <c r="U94" i="4"/>
  <c r="U63" i="4"/>
  <c r="U83" i="4"/>
  <c r="U31" i="4"/>
  <c r="U71" i="4"/>
  <c r="U16" i="4"/>
  <c r="U12" i="4"/>
  <c r="N19" i="4"/>
  <c r="N10" i="4" s="1"/>
  <c r="K19" i="4"/>
  <c r="K10" i="4" s="1"/>
  <c r="R78" i="4"/>
  <c r="R83" i="4"/>
  <c r="R94" i="4"/>
  <c r="R57" i="4"/>
  <c r="R40" i="4"/>
  <c r="R71" i="4"/>
  <c r="R38" i="4"/>
  <c r="R63" i="4"/>
  <c r="R36" i="4"/>
  <c r="R31" i="4"/>
  <c r="R14" i="4"/>
  <c r="AJ14" i="4"/>
  <c r="AM14" i="4"/>
  <c r="AI10" i="4"/>
  <c r="W14" i="4"/>
  <c r="AA10" i="4"/>
  <c r="X12" i="4"/>
  <c r="V14" i="4"/>
  <c r="X10" i="4"/>
  <c r="AC40" i="4"/>
  <c r="AC57" i="4"/>
  <c r="AC31" i="4"/>
  <c r="AC71" i="4"/>
  <c r="AC36" i="4"/>
  <c r="AC78" i="4"/>
  <c r="AC94" i="4"/>
  <c r="AC38" i="4"/>
  <c r="AC63" i="4"/>
  <c r="AC83" i="4"/>
  <c r="AC12" i="4"/>
  <c r="O19" i="4"/>
  <c r="O10" i="4" s="1"/>
  <c r="AE18" i="4"/>
  <c r="AJ94" i="4"/>
  <c r="AJ31" i="4"/>
  <c r="AJ38" i="4"/>
  <c r="AJ78" i="4"/>
  <c r="AJ40" i="4"/>
  <c r="AJ63" i="4"/>
  <c r="AJ83" i="4"/>
  <c r="AJ57" i="4"/>
  <c r="AJ36" i="4"/>
  <c r="AJ96" i="4"/>
  <c r="AJ71" i="4"/>
  <c r="AK40" i="4"/>
  <c r="AK57" i="4"/>
  <c r="AK94" i="4"/>
  <c r="AK63" i="4"/>
  <c r="AK36" i="4"/>
  <c r="AK83" i="4"/>
  <c r="AK78" i="4"/>
  <c r="AK31" i="4"/>
  <c r="AK38" i="4"/>
  <c r="AK71" i="4"/>
  <c r="I19" i="4"/>
  <c r="I10" i="4" s="1"/>
  <c r="G19" i="4"/>
  <c r="G10" i="4" s="1"/>
  <c r="AP17" i="4"/>
  <c r="AK14" i="4"/>
  <c r="AA14" i="4"/>
  <c r="AI14" i="4"/>
  <c r="AG12" i="4"/>
  <c r="AJ16" i="4"/>
  <c r="AA18" i="4"/>
  <c r="V40" i="4"/>
  <c r="V57" i="4"/>
  <c r="V31" i="4"/>
  <c r="V71" i="4"/>
  <c r="V38" i="4"/>
  <c r="V63" i="4"/>
  <c r="V83" i="4"/>
  <c r="V78" i="4"/>
  <c r="V36" i="4"/>
  <c r="V94" i="4"/>
  <c r="V16" i="4"/>
  <c r="V18" i="4"/>
  <c r="AL40" i="4"/>
  <c r="AL57" i="4"/>
  <c r="AL83" i="4"/>
  <c r="AL63" i="4"/>
  <c r="AL78" i="4"/>
  <c r="AL31" i="4"/>
  <c r="AL71" i="4"/>
  <c r="AL38" i="4"/>
  <c r="AL12" i="4"/>
  <c r="AL94" i="4"/>
  <c r="AL36" i="4"/>
  <c r="S44" i="4"/>
  <c r="S94" i="4"/>
  <c r="S31" i="4"/>
  <c r="S38" i="4"/>
  <c r="S71" i="4"/>
  <c r="S40" i="4"/>
  <c r="S63" i="4"/>
  <c r="S83" i="4"/>
  <c r="S36" i="4"/>
  <c r="S78" i="4"/>
  <c r="S57" i="4"/>
  <c r="F19" i="4"/>
  <c r="Z78" i="4"/>
  <c r="Z83" i="4"/>
  <c r="Z40" i="4"/>
  <c r="Z36" i="4"/>
  <c r="Z31" i="4"/>
  <c r="Z57" i="4"/>
  <c r="Z94" i="4"/>
  <c r="Z38" i="4"/>
  <c r="Z71" i="4"/>
  <c r="Z63" i="4"/>
  <c r="Z14" i="4"/>
  <c r="L19" i="4"/>
  <c r="L10" i="4" s="1"/>
  <c r="Y16" i="4"/>
  <c r="AP15" i="4"/>
  <c r="J19" i="4"/>
  <c r="J10" i="4" s="1"/>
  <c r="T94" i="4"/>
  <c r="T31" i="4"/>
  <c r="T38" i="4"/>
  <c r="T63" i="4"/>
  <c r="T71" i="4"/>
  <c r="T83" i="4"/>
  <c r="T78" i="4"/>
  <c r="T57" i="4"/>
  <c r="T36" i="4"/>
  <c r="T40" i="4"/>
  <c r="T12" i="4"/>
  <c r="AH78" i="4"/>
  <c r="AH83" i="4"/>
  <c r="AH71" i="4"/>
  <c r="AH40" i="4"/>
  <c r="AH36" i="4"/>
  <c r="AH63" i="4"/>
  <c r="AH31" i="4"/>
  <c r="AH57" i="4"/>
  <c r="AH14" i="4"/>
  <c r="AH38" i="4"/>
  <c r="AH94" i="4"/>
  <c r="AF63" i="4"/>
  <c r="AF71" i="4"/>
  <c r="AF31" i="4"/>
  <c r="AF94" i="4"/>
  <c r="AF40" i="4"/>
  <c r="AF38" i="4"/>
  <c r="AF83" i="4"/>
  <c r="AF36" i="4"/>
  <c r="AF18" i="4"/>
  <c r="AF78" i="4"/>
  <c r="AF10" i="4"/>
  <c r="AF57" i="4"/>
  <c r="AG16" i="4"/>
  <c r="AI12" i="4"/>
  <c r="AP13" i="4"/>
  <c r="AB14" i="4"/>
  <c r="E12" i="4"/>
  <c r="S14" i="4"/>
  <c r="X14" i="4"/>
  <c r="AK12" i="4"/>
  <c r="AK18" i="4"/>
  <c r="AC18" i="4"/>
  <c r="Z10" i="4"/>
  <c r="U14" i="4"/>
  <c r="S18" i="4"/>
  <c r="AH18" i="4"/>
  <c r="AD19" i="4"/>
  <c r="AO9" i="4"/>
  <c r="AP9" i="4" s="1"/>
  <c r="Q9" i="4"/>
  <c r="AE6" i="4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D6" i="4"/>
  <c r="AP88" i="11" l="1"/>
  <c r="Q25" i="11"/>
  <c r="AO25" i="11"/>
  <c r="AP25" i="11"/>
  <c r="AO46" i="11"/>
  <c r="AP109" i="11"/>
  <c r="AH25" i="9"/>
  <c r="AO12" i="9"/>
  <c r="AP12" i="9" s="1"/>
  <c r="F25" i="9"/>
  <c r="Q12" i="9"/>
  <c r="DV10" i="13"/>
  <c r="FI10" i="13" s="1"/>
  <c r="DV47" i="13"/>
  <c r="FI47" i="13" s="1"/>
  <c r="FH40" i="13"/>
  <c r="F14" i="14"/>
  <c r="F10" i="14"/>
  <c r="DV15" i="13"/>
  <c r="FI15" i="13" s="1"/>
  <c r="F40" i="14"/>
  <c r="F12" i="14"/>
  <c r="F78" i="14"/>
  <c r="DV30" i="13"/>
  <c r="FI30" i="13" s="1"/>
  <c r="F18" i="14"/>
  <c r="DV38" i="13"/>
  <c r="FI38" i="13" s="1"/>
  <c r="F57" i="14"/>
  <c r="F38" i="14"/>
  <c r="F83" i="14"/>
  <c r="F94" i="14"/>
  <c r="F96" i="14"/>
  <c r="F36" i="14"/>
  <c r="F42" i="14"/>
  <c r="F71" i="14"/>
  <c r="F63" i="14"/>
  <c r="K131" i="4"/>
  <c r="K17" i="14"/>
  <c r="Z131" i="4"/>
  <c r="Z17" i="14"/>
  <c r="AO129" i="4"/>
  <c r="AE17" i="14"/>
  <c r="AE131" i="4"/>
  <c r="AC131" i="4"/>
  <c r="AC17" i="14"/>
  <c r="AG131" i="4"/>
  <c r="AG17" i="14"/>
  <c r="N131" i="4"/>
  <c r="N17" i="14"/>
  <c r="S131" i="4"/>
  <c r="S17" i="14"/>
  <c r="FH17" i="13"/>
  <c r="O17" i="14"/>
  <c r="O131" i="4"/>
  <c r="Y131" i="4"/>
  <c r="Y17" i="14"/>
  <c r="Y19" i="14" s="1"/>
  <c r="P17" i="14"/>
  <c r="P131" i="4"/>
  <c r="U131" i="4"/>
  <c r="U17" i="14"/>
  <c r="AI17" i="14"/>
  <c r="AI19" i="14" s="1"/>
  <c r="AI131" i="4"/>
  <c r="AJ131" i="4"/>
  <c r="AJ17" i="14"/>
  <c r="G131" i="4"/>
  <c r="G17" i="14"/>
  <c r="W131" i="4"/>
  <c r="W17" i="14"/>
  <c r="AM131" i="4"/>
  <c r="AM17" i="14"/>
  <c r="J131" i="4"/>
  <c r="J17" i="14"/>
  <c r="E17" i="14"/>
  <c r="E131" i="4"/>
  <c r="Q129" i="4"/>
  <c r="Q131" i="4" s="1"/>
  <c r="AN17" i="14"/>
  <c r="AN131" i="4"/>
  <c r="I131" i="4"/>
  <c r="I17" i="14"/>
  <c r="AL131" i="4"/>
  <c r="AL17" i="14"/>
  <c r="V131" i="4"/>
  <c r="V17" i="14"/>
  <c r="X131" i="4"/>
  <c r="X17" i="14"/>
  <c r="M131" i="4"/>
  <c r="M17" i="14"/>
  <c r="T131" i="4"/>
  <c r="T17" i="14"/>
  <c r="AH131" i="4"/>
  <c r="AH17" i="14"/>
  <c r="AK17" i="14"/>
  <c r="AK131" i="4"/>
  <c r="R131" i="4"/>
  <c r="AD129" i="4"/>
  <c r="AD131" i="4" s="1"/>
  <c r="R17" i="14"/>
  <c r="AF131" i="4"/>
  <c r="AF17" i="14"/>
  <c r="L131" i="4"/>
  <c r="L17" i="14"/>
  <c r="AB131" i="4"/>
  <c r="AB17" i="14"/>
  <c r="H131" i="4"/>
  <c r="H17" i="14"/>
  <c r="AA131" i="4"/>
  <c r="AA17" i="14"/>
  <c r="F31" i="14"/>
  <c r="AD41" i="14"/>
  <c r="F44" i="14"/>
  <c r="F98" i="14" s="1"/>
  <c r="AD95" i="14"/>
  <c r="AO95" i="14"/>
  <c r="AO41" i="14"/>
  <c r="AP41" i="14"/>
  <c r="AP95" i="14"/>
  <c r="Q95" i="14"/>
  <c r="FH21" i="13"/>
  <c r="DV21" i="13"/>
  <c r="FI21" i="13" s="1"/>
  <c r="FH41" i="13"/>
  <c r="DV41" i="13"/>
  <c r="FI41" i="13" s="1"/>
  <c r="FH14" i="13"/>
  <c r="DV14" i="13"/>
  <c r="FI14" i="13" s="1"/>
  <c r="HJ48" i="13"/>
  <c r="DV36" i="13"/>
  <c r="FI36" i="13" s="1"/>
  <c r="FH36" i="13"/>
  <c r="FH31" i="13"/>
  <c r="DV31" i="13"/>
  <c r="FI31" i="13" s="1"/>
  <c r="FH42" i="13"/>
  <c r="DV42" i="13"/>
  <c r="FI42" i="13" s="1"/>
  <c r="DV35" i="13"/>
  <c r="FI35" i="13" s="1"/>
  <c r="FH35" i="13"/>
  <c r="DU48" i="13"/>
  <c r="FH48" i="13" s="1"/>
  <c r="DV8" i="13"/>
  <c r="FH8" i="13"/>
  <c r="CW48" i="13"/>
  <c r="EJ48" i="13" s="1"/>
  <c r="EJ8" i="13"/>
  <c r="DV43" i="13"/>
  <c r="FI43" i="13" s="1"/>
  <c r="FH43" i="13"/>
  <c r="FH12" i="13"/>
  <c r="DV12" i="13"/>
  <c r="FI12" i="13" s="1"/>
  <c r="HW48" i="13"/>
  <c r="DV45" i="13"/>
  <c r="FI45" i="13" s="1"/>
  <c r="FH45" i="13"/>
  <c r="FH9" i="13"/>
  <c r="DV9" i="13"/>
  <c r="FI9" i="13" s="1"/>
  <c r="DV25" i="13"/>
  <c r="FI25" i="13" s="1"/>
  <c r="FH25" i="13"/>
  <c r="IH48" i="13"/>
  <c r="II8" i="13"/>
  <c r="II48" i="13" s="1"/>
  <c r="FH26" i="13"/>
  <c r="DV26" i="13"/>
  <c r="FI26" i="13" s="1"/>
  <c r="FH34" i="13"/>
  <c r="DV34" i="13"/>
  <c r="FI34" i="13" s="1"/>
  <c r="DV13" i="13"/>
  <c r="FI13" i="13" s="1"/>
  <c r="FH13" i="13"/>
  <c r="FH39" i="13"/>
  <c r="DV39" i="13"/>
  <c r="FI39" i="13" s="1"/>
  <c r="DV18" i="13"/>
  <c r="FI18" i="13" s="1"/>
  <c r="FH18" i="13"/>
  <c r="FH46" i="13"/>
  <c r="DV46" i="13"/>
  <c r="FI46" i="13" s="1"/>
  <c r="DJ48" i="13"/>
  <c r="EW48" i="13" s="1"/>
  <c r="EW8" i="13"/>
  <c r="DV24" i="13"/>
  <c r="FI24" i="13" s="1"/>
  <c r="FH24" i="13"/>
  <c r="FH22" i="13"/>
  <c r="DV22" i="13"/>
  <c r="FI22" i="13" s="1"/>
  <c r="DV29" i="13"/>
  <c r="FI29" i="13" s="1"/>
  <c r="FH29" i="13"/>
  <c r="DV37" i="13"/>
  <c r="FI37" i="13" s="1"/>
  <c r="FH37" i="13"/>
  <c r="FH44" i="13"/>
  <c r="DV44" i="13"/>
  <c r="FI44" i="13" s="1"/>
  <c r="DV20" i="13"/>
  <c r="FI20" i="13" s="1"/>
  <c r="FH20" i="13"/>
  <c r="DV32" i="13"/>
  <c r="FI32" i="13" s="1"/>
  <c r="FH32" i="13"/>
  <c r="FH16" i="13"/>
  <c r="DV16" i="13"/>
  <c r="FI16" i="13" s="1"/>
  <c r="FH23" i="13"/>
  <c r="DV23" i="13"/>
  <c r="FI23" i="13" s="1"/>
  <c r="DV11" i="13"/>
  <c r="FI11" i="13" s="1"/>
  <c r="FH11" i="13"/>
  <c r="FH33" i="13"/>
  <c r="DV33" i="13"/>
  <c r="FI33" i="13" s="1"/>
  <c r="FH28" i="13"/>
  <c r="DV28" i="13"/>
  <c r="FI28" i="13" s="1"/>
  <c r="U6" i="10"/>
  <c r="T14" i="10"/>
  <c r="U14" i="10" s="1"/>
  <c r="J27" i="8"/>
  <c r="Y60" i="8"/>
  <c r="Y68" i="8" s="1"/>
  <c r="Y27" i="8"/>
  <c r="L27" i="8"/>
  <c r="AG27" i="8"/>
  <c r="G15" i="7"/>
  <c r="G24" i="7" s="1"/>
  <c r="AG60" i="8"/>
  <c r="AG68" i="8" s="1"/>
  <c r="AK27" i="8"/>
  <c r="AJ60" i="8"/>
  <c r="AJ68" i="8" s="1"/>
  <c r="AH27" i="8"/>
  <c r="AJ46" i="8"/>
  <c r="AJ54" i="8" s="1"/>
  <c r="AD27" i="8"/>
  <c r="P27" i="8"/>
  <c r="AC27" i="8"/>
  <c r="N46" i="8"/>
  <c r="N54" i="8" s="1"/>
  <c r="AB27" i="8"/>
  <c r="AE46" i="8"/>
  <c r="AE54" i="8" s="1"/>
  <c r="P60" i="8"/>
  <c r="P68" i="8" s="1"/>
  <c r="AC60" i="8"/>
  <c r="AC68" i="8" s="1"/>
  <c r="I27" i="8"/>
  <c r="AF60" i="8"/>
  <c r="AF68" i="8" s="1"/>
  <c r="I60" i="8"/>
  <c r="I68" i="8" s="1"/>
  <c r="K27" i="8"/>
  <c r="V60" i="8"/>
  <c r="V68" i="8" s="1"/>
  <c r="AI46" i="8"/>
  <c r="AI54" i="8" s="1"/>
  <c r="X27" i="8"/>
  <c r="N60" i="8"/>
  <c r="N68" i="8" s="1"/>
  <c r="X60" i="8"/>
  <c r="X68" i="8" s="1"/>
  <c r="E27" i="8"/>
  <c r="AE60" i="8"/>
  <c r="AE68" i="8" s="1"/>
  <c r="R27" i="8"/>
  <c r="F27" i="8"/>
  <c r="V27" i="8"/>
  <c r="E46" i="8"/>
  <c r="E54" i="8" s="1"/>
  <c r="AI60" i="8"/>
  <c r="AI68" i="8" s="1"/>
  <c r="I46" i="8"/>
  <c r="I54" i="8" s="1"/>
  <c r="T27" i="8"/>
  <c r="V46" i="8"/>
  <c r="V54" i="8" s="1"/>
  <c r="G27" i="8"/>
  <c r="AJ27" i="8"/>
  <c r="AL27" i="8"/>
  <c r="AB46" i="8"/>
  <c r="AB54" i="8" s="1"/>
  <c r="W27" i="8"/>
  <c r="Q60" i="8"/>
  <c r="Q68" i="8" s="1"/>
  <c r="S27" i="8"/>
  <c r="H60" i="8"/>
  <c r="H68" i="8" s="1"/>
  <c r="G46" i="8"/>
  <c r="G54" i="8" s="1"/>
  <c r="G60" i="8"/>
  <c r="G68" i="8" s="1"/>
  <c r="O27" i="8"/>
  <c r="H46" i="8"/>
  <c r="H54" i="8" s="1"/>
  <c r="Z27" i="8"/>
  <c r="N27" i="8"/>
  <c r="AA27" i="8"/>
  <c r="H27" i="8"/>
  <c r="M27" i="8"/>
  <c r="U27" i="8"/>
  <c r="AI27" i="8"/>
  <c r="U60" i="8"/>
  <c r="U68" i="8" s="1"/>
  <c r="AB60" i="8"/>
  <c r="AB68" i="8" s="1"/>
  <c r="S58" i="8"/>
  <c r="E60" i="8"/>
  <c r="E68" i="8" s="1"/>
  <c r="AM27" i="8"/>
  <c r="AC46" i="8"/>
  <c r="AC54" i="8" s="1"/>
  <c r="U46" i="8"/>
  <c r="U54" i="8" s="1"/>
  <c r="AE27" i="8"/>
  <c r="Q27" i="8"/>
  <c r="AF27" i="8"/>
  <c r="AG46" i="8"/>
  <c r="AG54" i="8" s="1"/>
  <c r="Z59" i="8"/>
  <c r="Z60" i="8" s="1"/>
  <c r="Z68" i="8" s="1"/>
  <c r="Z46" i="8"/>
  <c r="Z54" i="8" s="1"/>
  <c r="AL59" i="8"/>
  <c r="AL60" i="8" s="1"/>
  <c r="AL68" i="8" s="1"/>
  <c r="AL46" i="8"/>
  <c r="AL54" i="8" s="1"/>
  <c r="AH59" i="8"/>
  <c r="AH60" i="8" s="1"/>
  <c r="AH68" i="8" s="1"/>
  <c r="AH46" i="8"/>
  <c r="AH54" i="8" s="1"/>
  <c r="P46" i="8"/>
  <c r="P54" i="8" s="1"/>
  <c r="T59" i="8"/>
  <c r="T60" i="8" s="1"/>
  <c r="T68" i="8" s="1"/>
  <c r="T46" i="8"/>
  <c r="T54" i="8" s="1"/>
  <c r="K59" i="8"/>
  <c r="K60" i="8" s="1"/>
  <c r="K68" i="8" s="1"/>
  <c r="K46" i="8"/>
  <c r="K54" i="8" s="1"/>
  <c r="L59" i="8"/>
  <c r="L60" i="8" s="1"/>
  <c r="L68" i="8" s="1"/>
  <c r="L46" i="8"/>
  <c r="L54" i="8" s="1"/>
  <c r="S59" i="8"/>
  <c r="S46" i="8"/>
  <c r="S54" i="8" s="1"/>
  <c r="AM59" i="8"/>
  <c r="AM60" i="8" s="1"/>
  <c r="AM68" i="8" s="1"/>
  <c r="AM46" i="8"/>
  <c r="AM54" i="8" s="1"/>
  <c r="J59" i="8"/>
  <c r="J60" i="8" s="1"/>
  <c r="J68" i="8" s="1"/>
  <c r="J46" i="8"/>
  <c r="J54" i="8" s="1"/>
  <c r="F59" i="8"/>
  <c r="F60" i="8" s="1"/>
  <c r="F68" i="8" s="1"/>
  <c r="F46" i="8"/>
  <c r="F54" i="8" s="1"/>
  <c r="AF46" i="8"/>
  <c r="AF54" i="8" s="1"/>
  <c r="AA59" i="8"/>
  <c r="AA60" i="8" s="1"/>
  <c r="AA68" i="8" s="1"/>
  <c r="AA46" i="8"/>
  <c r="AA54" i="8" s="1"/>
  <c r="AD59" i="8"/>
  <c r="AD60" i="8" s="1"/>
  <c r="AD68" i="8" s="1"/>
  <c r="AD46" i="8"/>
  <c r="AD54" i="8" s="1"/>
  <c r="Y46" i="8"/>
  <c r="Y54" i="8" s="1"/>
  <c r="AK59" i="8"/>
  <c r="AK60" i="8" s="1"/>
  <c r="AK68" i="8" s="1"/>
  <c r="AK46" i="8"/>
  <c r="AK54" i="8" s="1"/>
  <c r="W59" i="8"/>
  <c r="W60" i="8" s="1"/>
  <c r="W68" i="8" s="1"/>
  <c r="W46" i="8"/>
  <c r="W54" i="8" s="1"/>
  <c r="M59" i="8"/>
  <c r="M60" i="8" s="1"/>
  <c r="M68" i="8" s="1"/>
  <c r="M46" i="8"/>
  <c r="M54" i="8" s="1"/>
  <c r="R59" i="8"/>
  <c r="R60" i="8" s="1"/>
  <c r="R68" i="8" s="1"/>
  <c r="R46" i="8"/>
  <c r="R54" i="8" s="1"/>
  <c r="X46" i="8"/>
  <c r="X54" i="8" s="1"/>
  <c r="Q46" i="8"/>
  <c r="Q54" i="8" s="1"/>
  <c r="O59" i="8"/>
  <c r="O60" i="8" s="1"/>
  <c r="O68" i="8" s="1"/>
  <c r="O46" i="8"/>
  <c r="O54" i="8" s="1"/>
  <c r="AN98" i="4"/>
  <c r="AN99" i="4" s="1"/>
  <c r="Q95" i="4"/>
  <c r="AP95" i="4"/>
  <c r="AK42" i="4"/>
  <c r="AO95" i="4"/>
  <c r="AD95" i="4"/>
  <c r="AD96" i="4" s="1"/>
  <c r="V42" i="4"/>
  <c r="AF44" i="4"/>
  <c r="AF45" i="4" s="1"/>
  <c r="AI42" i="4"/>
  <c r="AG44" i="4"/>
  <c r="AG98" i="4" s="1"/>
  <c r="Z44" i="4"/>
  <c r="Z45" i="4" s="1"/>
  <c r="AE44" i="4"/>
  <c r="AE98" i="4" s="1"/>
  <c r="AL44" i="4"/>
  <c r="AL98" i="4" s="1"/>
  <c r="U44" i="4"/>
  <c r="U98" i="4" s="1"/>
  <c r="X44" i="4"/>
  <c r="X45" i="4" s="1"/>
  <c r="AO41" i="4"/>
  <c r="AH44" i="4"/>
  <c r="AH98" i="4" s="1"/>
  <c r="AA44" i="4"/>
  <c r="AA98" i="4" s="1"/>
  <c r="AD41" i="4"/>
  <c r="AD42" i="4" s="1"/>
  <c r="Y44" i="4"/>
  <c r="Y98" i="4" s="1"/>
  <c r="T42" i="4"/>
  <c r="R44" i="4"/>
  <c r="R98" i="4" s="1"/>
  <c r="W44" i="4"/>
  <c r="W98" i="4" s="1"/>
  <c r="AP41" i="4"/>
  <c r="AC44" i="4"/>
  <c r="AC45" i="4" s="1"/>
  <c r="AB42" i="4"/>
  <c r="Q41" i="4"/>
  <c r="AN45" i="4"/>
  <c r="AJ44" i="4"/>
  <c r="AJ98" i="4" s="1"/>
  <c r="AM44" i="4"/>
  <c r="E44" i="4"/>
  <c r="E98" i="4" s="1"/>
  <c r="AK98" i="4"/>
  <c r="AK107" i="4" s="1"/>
  <c r="AB98" i="4"/>
  <c r="AB45" i="4"/>
  <c r="AD16" i="4"/>
  <c r="H63" i="4"/>
  <c r="H71" i="4"/>
  <c r="H94" i="4"/>
  <c r="H57" i="4"/>
  <c r="H38" i="4"/>
  <c r="H36" i="4"/>
  <c r="H83" i="4"/>
  <c r="H78" i="4"/>
  <c r="H31" i="4"/>
  <c r="H96" i="4"/>
  <c r="H40" i="4"/>
  <c r="H14" i="4"/>
  <c r="H44" i="4"/>
  <c r="H18" i="4"/>
  <c r="H16" i="4"/>
  <c r="H12" i="4"/>
  <c r="H42" i="4"/>
  <c r="F44" i="4"/>
  <c r="F40" i="4"/>
  <c r="F57" i="4"/>
  <c r="F83" i="4"/>
  <c r="F94" i="4"/>
  <c r="F63" i="4"/>
  <c r="F38" i="4"/>
  <c r="F36" i="4"/>
  <c r="F78" i="4"/>
  <c r="F31" i="4"/>
  <c r="F96" i="4"/>
  <c r="F71" i="4"/>
  <c r="F14" i="4"/>
  <c r="F16" i="4"/>
  <c r="F12" i="4"/>
  <c r="F18" i="4"/>
  <c r="F42" i="4"/>
  <c r="V98" i="4"/>
  <c r="V45" i="4"/>
  <c r="AD12" i="4"/>
  <c r="AD10" i="4"/>
  <c r="AI98" i="4"/>
  <c r="AI45" i="4"/>
  <c r="M44" i="4"/>
  <c r="M40" i="4"/>
  <c r="M57" i="4"/>
  <c r="M83" i="4"/>
  <c r="M36" i="4"/>
  <c r="M78" i="4"/>
  <c r="M31" i="4"/>
  <c r="M94" i="4"/>
  <c r="M71" i="4"/>
  <c r="M63" i="4"/>
  <c r="M38" i="4"/>
  <c r="M16" i="4"/>
  <c r="M18" i="4"/>
  <c r="M12" i="4"/>
  <c r="M14" i="4"/>
  <c r="M42" i="4"/>
  <c r="M96" i="4"/>
  <c r="AD78" i="4"/>
  <c r="AD38" i="4"/>
  <c r="AD71" i="4"/>
  <c r="AD36" i="4"/>
  <c r="AD94" i="4"/>
  <c r="AD40" i="4"/>
  <c r="AD57" i="4"/>
  <c r="AD31" i="4"/>
  <c r="AD83" i="4"/>
  <c r="AD63" i="4"/>
  <c r="I78" i="4"/>
  <c r="I83" i="4"/>
  <c r="I71" i="4"/>
  <c r="I38" i="4"/>
  <c r="I63" i="4"/>
  <c r="I31" i="4"/>
  <c r="I57" i="4"/>
  <c r="I14" i="4"/>
  <c r="I94" i="4"/>
  <c r="I40" i="4"/>
  <c r="I36" i="4"/>
  <c r="I44" i="4"/>
  <c r="I96" i="4"/>
  <c r="I16" i="4"/>
  <c r="I42" i="4"/>
  <c r="I18" i="4"/>
  <c r="I12" i="4"/>
  <c r="AD18" i="4"/>
  <c r="AP19" i="4"/>
  <c r="AP16" i="4" s="1"/>
  <c r="T98" i="4"/>
  <c r="T45" i="4"/>
  <c r="AD14" i="4"/>
  <c r="K44" i="4"/>
  <c r="K94" i="4"/>
  <c r="K31" i="4"/>
  <c r="K38" i="4"/>
  <c r="K78" i="4"/>
  <c r="K40" i="4"/>
  <c r="K63" i="4"/>
  <c r="K83" i="4"/>
  <c r="K57" i="4"/>
  <c r="K71" i="4"/>
  <c r="K36" i="4"/>
  <c r="K16" i="4"/>
  <c r="K12" i="4"/>
  <c r="K42" i="4"/>
  <c r="K96" i="4"/>
  <c r="K18" i="4"/>
  <c r="K14" i="4"/>
  <c r="Q19" i="4"/>
  <c r="L44" i="4"/>
  <c r="L94" i="4"/>
  <c r="L31" i="4"/>
  <c r="L38" i="4"/>
  <c r="L71" i="4"/>
  <c r="L57" i="4"/>
  <c r="L78" i="4"/>
  <c r="L40" i="4"/>
  <c r="L36" i="4"/>
  <c r="L63" i="4"/>
  <c r="L83" i="4"/>
  <c r="L12" i="4"/>
  <c r="L16" i="4"/>
  <c r="L14" i="4"/>
  <c r="L42" i="4"/>
  <c r="L96" i="4"/>
  <c r="L18" i="4"/>
  <c r="S98" i="4"/>
  <c r="S45" i="4"/>
  <c r="P44" i="4"/>
  <c r="P63" i="4"/>
  <c r="P71" i="4"/>
  <c r="P40" i="4"/>
  <c r="P83" i="4"/>
  <c r="P57" i="4"/>
  <c r="P36" i="4"/>
  <c r="P94" i="4"/>
  <c r="P38" i="4"/>
  <c r="P78" i="4"/>
  <c r="P31" i="4"/>
  <c r="P18" i="4"/>
  <c r="P42" i="4"/>
  <c r="P14" i="4"/>
  <c r="P96" i="4"/>
  <c r="P16" i="4"/>
  <c r="P12" i="4"/>
  <c r="AO19" i="4"/>
  <c r="AO10" i="4" s="1"/>
  <c r="J44" i="4"/>
  <c r="J78" i="4"/>
  <c r="J83" i="4"/>
  <c r="J63" i="4"/>
  <c r="J31" i="4"/>
  <c r="J57" i="4"/>
  <c r="J94" i="4"/>
  <c r="J40" i="4"/>
  <c r="J71" i="4"/>
  <c r="J12" i="4"/>
  <c r="J36" i="4"/>
  <c r="J38" i="4"/>
  <c r="J14" i="4"/>
  <c r="J42" i="4"/>
  <c r="J18" i="4"/>
  <c r="J16" i="4"/>
  <c r="J96" i="4"/>
  <c r="F10" i="4"/>
  <c r="G63" i="4"/>
  <c r="G71" i="4"/>
  <c r="G31" i="4"/>
  <c r="G40" i="4"/>
  <c r="G38" i="4"/>
  <c r="G36" i="4"/>
  <c r="G83" i="4"/>
  <c r="G78" i="4"/>
  <c r="G57" i="4"/>
  <c r="G94" i="4"/>
  <c r="G44" i="4"/>
  <c r="G12" i="4"/>
  <c r="G16" i="4"/>
  <c r="G42" i="4"/>
  <c r="G14" i="4"/>
  <c r="G96" i="4"/>
  <c r="G18" i="4"/>
  <c r="O63" i="4"/>
  <c r="O71" i="4"/>
  <c r="O94" i="4"/>
  <c r="O57" i="4"/>
  <c r="O78" i="4"/>
  <c r="O31" i="4"/>
  <c r="O36" i="4"/>
  <c r="O40" i="4"/>
  <c r="O38" i="4"/>
  <c r="O83" i="4"/>
  <c r="O42" i="4"/>
  <c r="O12" i="4"/>
  <c r="O44" i="4"/>
  <c r="O16" i="4"/>
  <c r="O14" i="4"/>
  <c r="O18" i="4"/>
  <c r="O96" i="4"/>
  <c r="N44" i="4"/>
  <c r="N40" i="4"/>
  <c r="N57" i="4"/>
  <c r="N78" i="4"/>
  <c r="N31" i="4"/>
  <c r="N94" i="4"/>
  <c r="N71" i="4"/>
  <c r="N36" i="4"/>
  <c r="N63" i="4"/>
  <c r="N38" i="4"/>
  <c r="N83" i="4"/>
  <c r="N18" i="4"/>
  <c r="N96" i="4"/>
  <c r="N42" i="4"/>
  <c r="N14" i="4"/>
  <c r="N16" i="4"/>
  <c r="N12" i="4"/>
  <c r="F26" i="9" l="1"/>
  <c r="Q25" i="9"/>
  <c r="Q26" i="9" s="1"/>
  <c r="AH26" i="9"/>
  <c r="AO25" i="9"/>
  <c r="AN19" i="14"/>
  <c r="AN18" i="14" s="1"/>
  <c r="AK19" i="14"/>
  <c r="AK18" i="14" s="1"/>
  <c r="V19" i="14"/>
  <c r="V18" i="14" s="1"/>
  <c r="N19" i="14"/>
  <c r="N18" i="14" s="1"/>
  <c r="U19" i="14"/>
  <c r="U18" i="14"/>
  <c r="AG19" i="14"/>
  <c r="AG18" i="14" s="1"/>
  <c r="T19" i="14"/>
  <c r="T18" i="14"/>
  <c r="L19" i="14"/>
  <c r="L18" i="14"/>
  <c r="AF19" i="14"/>
  <c r="AF18" i="14"/>
  <c r="Q17" i="14"/>
  <c r="E19" i="14"/>
  <c r="M19" i="14"/>
  <c r="M18" i="14"/>
  <c r="P19" i="14"/>
  <c r="P18" i="14" s="1"/>
  <c r="AC19" i="14"/>
  <c r="AC18" i="14" s="1"/>
  <c r="AM19" i="14"/>
  <c r="AM18" i="14" s="1"/>
  <c r="AE19" i="14"/>
  <c r="AE18" i="14" s="1"/>
  <c r="AO17" i="14"/>
  <c r="AI18" i="14"/>
  <c r="AI57" i="14"/>
  <c r="AI94" i="14"/>
  <c r="AI31" i="14"/>
  <c r="AI16" i="14"/>
  <c r="AI36" i="14"/>
  <c r="AI71" i="14"/>
  <c r="AI12" i="14"/>
  <c r="AI83" i="14"/>
  <c r="AI10" i="14"/>
  <c r="AI78" i="14"/>
  <c r="AI40" i="14"/>
  <c r="AI38" i="14"/>
  <c r="AI14" i="14"/>
  <c r="AI63" i="14"/>
  <c r="Y18" i="14"/>
  <c r="Y38" i="14"/>
  <c r="Y83" i="14"/>
  <c r="Y40" i="14"/>
  <c r="Y10" i="14"/>
  <c r="Y12" i="14"/>
  <c r="Y71" i="14"/>
  <c r="Y94" i="14"/>
  <c r="Y14" i="14"/>
  <c r="Y16" i="14"/>
  <c r="Y44" i="14"/>
  <c r="Y78" i="14"/>
  <c r="Y36" i="14"/>
  <c r="Y63" i="14"/>
  <c r="Y31" i="14"/>
  <c r="Y57" i="14"/>
  <c r="Y42" i="14"/>
  <c r="Y96" i="14"/>
  <c r="AO131" i="4"/>
  <c r="AP129" i="4"/>
  <c r="AP131" i="4" s="1"/>
  <c r="AA19" i="14"/>
  <c r="AA18" i="14" s="1"/>
  <c r="AI44" i="14"/>
  <c r="AI98" i="14" s="1"/>
  <c r="W19" i="14"/>
  <c r="W18" i="14" s="1"/>
  <c r="X19" i="14"/>
  <c r="X18" i="14" s="1"/>
  <c r="O19" i="14"/>
  <c r="O18" i="14" s="1"/>
  <c r="AI42" i="14"/>
  <c r="AL19" i="14"/>
  <c r="AL18" i="14" s="1"/>
  <c r="G19" i="14"/>
  <c r="G18" i="14"/>
  <c r="K19" i="14"/>
  <c r="K18" i="14"/>
  <c r="J19" i="14"/>
  <c r="J18" i="14" s="1"/>
  <c r="Z19" i="14"/>
  <c r="Z18" i="14" s="1"/>
  <c r="AB19" i="14"/>
  <c r="AB18" i="14"/>
  <c r="S19" i="14"/>
  <c r="S18" i="14"/>
  <c r="AI96" i="14"/>
  <c r="H19" i="14"/>
  <c r="H18" i="14"/>
  <c r="I19" i="14"/>
  <c r="I18" i="14" s="1"/>
  <c r="AD17" i="14"/>
  <c r="R19" i="14"/>
  <c r="R18" i="14" s="1"/>
  <c r="AH19" i="14"/>
  <c r="AH18" i="14" s="1"/>
  <c r="AJ19" i="14"/>
  <c r="AJ18" i="14" s="1"/>
  <c r="F45" i="14"/>
  <c r="F99" i="14"/>
  <c r="F107" i="14"/>
  <c r="DV48" i="13"/>
  <c r="FI48" i="13" s="1"/>
  <c r="FI8" i="13"/>
  <c r="AN107" i="4"/>
  <c r="AN109" i="4" s="1"/>
  <c r="AK109" i="4"/>
  <c r="AK9" i="9"/>
  <c r="AM55" i="8"/>
  <c r="J55" i="8"/>
  <c r="AC55" i="8"/>
  <c r="AK55" i="8"/>
  <c r="Y55" i="8"/>
  <c r="AH55" i="8"/>
  <c r="AG55" i="8"/>
  <c r="AD55" i="8"/>
  <c r="X55" i="8"/>
  <c r="L55" i="8"/>
  <c r="H15" i="7"/>
  <c r="H24" i="7" s="1"/>
  <c r="AA55" i="8"/>
  <c r="P55" i="8"/>
  <c r="AB55" i="8"/>
  <c r="E55" i="8"/>
  <c r="I55" i="8"/>
  <c r="V55" i="8"/>
  <c r="R55" i="8"/>
  <c r="M55" i="8"/>
  <c r="K55" i="8"/>
  <c r="U55" i="8"/>
  <c r="F55" i="8"/>
  <c r="G55" i="8"/>
  <c r="O55" i="8"/>
  <c r="AJ55" i="8"/>
  <c r="AL55" i="8"/>
  <c r="AE55" i="8"/>
  <c r="S55" i="8"/>
  <c r="W55" i="8"/>
  <c r="T55" i="8"/>
  <c r="H55" i="8"/>
  <c r="S60" i="8"/>
  <c r="S68" i="8" s="1"/>
  <c r="AI55" i="8"/>
  <c r="Z55" i="8"/>
  <c r="N55" i="8"/>
  <c r="Q55" i="8"/>
  <c r="AF55" i="8"/>
  <c r="AF98" i="4"/>
  <c r="AF107" i="4" s="1"/>
  <c r="AG45" i="4"/>
  <c r="AD44" i="4"/>
  <c r="AD98" i="4" s="1"/>
  <c r="Z98" i="4"/>
  <c r="Z107" i="4" s="1"/>
  <c r="AE45" i="4"/>
  <c r="Y45" i="4"/>
  <c r="U45" i="4"/>
  <c r="X98" i="4"/>
  <c r="X107" i="4" s="1"/>
  <c r="AL45" i="4"/>
  <c r="AC98" i="4"/>
  <c r="AC107" i="4" s="1"/>
  <c r="AH45" i="4"/>
  <c r="AA45" i="4"/>
  <c r="W45" i="4"/>
  <c r="R45" i="4"/>
  <c r="AJ45" i="4"/>
  <c r="AP12" i="4"/>
  <c r="AM45" i="4"/>
  <c r="AM98" i="4"/>
  <c r="E45" i="4"/>
  <c r="AK99" i="4"/>
  <c r="AP14" i="4"/>
  <c r="AP10" i="4"/>
  <c r="AA107" i="4"/>
  <c r="AA99" i="4"/>
  <c r="N98" i="4"/>
  <c r="N45" i="4"/>
  <c r="U107" i="4"/>
  <c r="U99" i="4"/>
  <c r="T107" i="4"/>
  <c r="T99" i="4"/>
  <c r="AP42" i="4"/>
  <c r="AI107" i="4"/>
  <c r="AI99" i="4"/>
  <c r="V107" i="4"/>
  <c r="V99" i="4"/>
  <c r="H98" i="4"/>
  <c r="H45" i="4"/>
  <c r="AB107" i="4"/>
  <c r="AB99" i="4"/>
  <c r="Q44" i="4"/>
  <c r="Q57" i="4"/>
  <c r="Q83" i="4"/>
  <c r="Q78" i="4"/>
  <c r="Q94" i="4"/>
  <c r="Q31" i="4"/>
  <c r="Q36" i="4"/>
  <c r="Q40" i="4"/>
  <c r="Q38" i="4"/>
  <c r="Q63" i="4"/>
  <c r="Q71" i="4"/>
  <c r="Q12" i="4"/>
  <c r="Q96" i="4"/>
  <c r="Q14" i="4"/>
  <c r="Q42" i="4"/>
  <c r="Q18" i="4"/>
  <c r="Q16" i="4"/>
  <c r="S107" i="4"/>
  <c r="S99" i="4"/>
  <c r="M98" i="4"/>
  <c r="M45" i="4"/>
  <c r="G98" i="4"/>
  <c r="G45" i="4"/>
  <c r="AE107" i="4"/>
  <c r="AE99" i="4"/>
  <c r="K98" i="4"/>
  <c r="K45" i="4"/>
  <c r="AP44" i="4"/>
  <c r="AP31" i="4"/>
  <c r="AP94" i="4"/>
  <c r="AP63" i="4"/>
  <c r="AP96" i="4"/>
  <c r="AP83" i="4"/>
  <c r="AP71" i="4"/>
  <c r="AP40" i="4"/>
  <c r="AP78" i="4"/>
  <c r="AP36" i="4"/>
  <c r="AP38" i="4"/>
  <c r="AP57" i="4"/>
  <c r="E107" i="4"/>
  <c r="E99" i="4"/>
  <c r="F98" i="4"/>
  <c r="F45" i="4"/>
  <c r="AO44" i="4"/>
  <c r="AO63" i="4"/>
  <c r="AO40" i="4"/>
  <c r="AO38" i="4"/>
  <c r="AO94" i="4"/>
  <c r="AO78" i="4"/>
  <c r="AO57" i="4"/>
  <c r="AO71" i="4"/>
  <c r="AO83" i="4"/>
  <c r="AO36" i="4"/>
  <c r="AO31" i="4"/>
  <c r="AO42" i="4"/>
  <c r="AO96" i="4"/>
  <c r="AO14" i="4"/>
  <c r="AO12" i="4"/>
  <c r="AO18" i="4"/>
  <c r="AO16" i="4"/>
  <c r="AH107" i="4"/>
  <c r="AH99" i="4"/>
  <c r="AP18" i="4"/>
  <c r="AJ107" i="4"/>
  <c r="AJ99" i="4"/>
  <c r="Y107" i="4"/>
  <c r="Y99" i="4"/>
  <c r="O98" i="4"/>
  <c r="O45" i="4"/>
  <c r="P98" i="4"/>
  <c r="P45" i="4"/>
  <c r="L98" i="4"/>
  <c r="L45" i="4"/>
  <c r="R107" i="4"/>
  <c r="R99" i="4"/>
  <c r="J98" i="4"/>
  <c r="J45" i="4"/>
  <c r="AK115" i="4"/>
  <c r="AK108" i="4"/>
  <c r="I98" i="4"/>
  <c r="I45" i="4"/>
  <c r="W107" i="4"/>
  <c r="W99" i="4"/>
  <c r="Q10" i="4"/>
  <c r="AL107" i="4"/>
  <c r="AL99" i="4"/>
  <c r="AG107" i="4"/>
  <c r="AG99" i="4"/>
  <c r="AP25" i="9" l="1"/>
  <c r="AP26" i="9" s="1"/>
  <c r="AO26" i="9"/>
  <c r="AI45" i="14"/>
  <c r="T40" i="14"/>
  <c r="T83" i="14"/>
  <c r="T38" i="14"/>
  <c r="T16" i="14"/>
  <c r="T63" i="14"/>
  <c r="T10" i="14"/>
  <c r="T42" i="14"/>
  <c r="T94" i="14"/>
  <c r="T71" i="14"/>
  <c r="T12" i="14"/>
  <c r="T57" i="14"/>
  <c r="T14" i="14"/>
  <c r="T44" i="14"/>
  <c r="T31" i="14"/>
  <c r="T36" i="14"/>
  <c r="T78" i="14"/>
  <c r="T96" i="14"/>
  <c r="Q19" i="14"/>
  <c r="Q18" i="14"/>
  <c r="AF40" i="14"/>
  <c r="AF78" i="14"/>
  <c r="AF16" i="14"/>
  <c r="AF12" i="14"/>
  <c r="AF31" i="14"/>
  <c r="AF57" i="14"/>
  <c r="AF71" i="14"/>
  <c r="AF14" i="14"/>
  <c r="AF83" i="14"/>
  <c r="AF94" i="14"/>
  <c r="AF38" i="14"/>
  <c r="AF36" i="14"/>
  <c r="AF63" i="14"/>
  <c r="AF10" i="14"/>
  <c r="AF44" i="14"/>
  <c r="AF42" i="14"/>
  <c r="AF96" i="14"/>
  <c r="L10" i="14"/>
  <c r="L16" i="14"/>
  <c r="L38" i="14"/>
  <c r="L40" i="14"/>
  <c r="L63" i="14"/>
  <c r="L12" i="14"/>
  <c r="L83" i="14"/>
  <c r="L36" i="14"/>
  <c r="L71" i="14"/>
  <c r="L14" i="14"/>
  <c r="L44" i="14"/>
  <c r="L31" i="14"/>
  <c r="L42" i="14"/>
  <c r="L94" i="14"/>
  <c r="L57" i="14"/>
  <c r="L78" i="14"/>
  <c r="L96" i="14"/>
  <c r="AH38" i="14"/>
  <c r="AH31" i="14"/>
  <c r="AH63" i="14"/>
  <c r="AH16" i="14"/>
  <c r="AH94" i="14"/>
  <c r="AH71" i="14"/>
  <c r="AH14" i="14"/>
  <c r="AH57" i="14"/>
  <c r="AH10" i="14"/>
  <c r="AH40" i="14"/>
  <c r="AH44" i="14"/>
  <c r="AH83" i="14"/>
  <c r="AH36" i="14"/>
  <c r="AH42" i="14"/>
  <c r="AH78" i="14"/>
  <c r="AH12" i="14"/>
  <c r="AH96" i="14"/>
  <c r="X83" i="14"/>
  <c r="X36" i="14"/>
  <c r="X78" i="14"/>
  <c r="X10" i="14"/>
  <c r="X40" i="14"/>
  <c r="X63" i="14"/>
  <c r="X12" i="14"/>
  <c r="X16" i="14"/>
  <c r="X14" i="14"/>
  <c r="X31" i="14"/>
  <c r="X57" i="14"/>
  <c r="X94" i="14"/>
  <c r="X38" i="14"/>
  <c r="X71" i="14"/>
  <c r="X42" i="14"/>
  <c r="X96" i="14"/>
  <c r="X44" i="14"/>
  <c r="H40" i="14"/>
  <c r="H16" i="14"/>
  <c r="H63" i="14"/>
  <c r="H71" i="14"/>
  <c r="H31" i="14"/>
  <c r="H57" i="14"/>
  <c r="H36" i="14"/>
  <c r="H38" i="14"/>
  <c r="H14" i="14"/>
  <c r="H12" i="14"/>
  <c r="H10" i="14"/>
  <c r="H94" i="14"/>
  <c r="H78" i="14"/>
  <c r="H83" i="14"/>
  <c r="H96" i="14"/>
  <c r="H42" i="14"/>
  <c r="H44" i="14"/>
  <c r="W12" i="14"/>
  <c r="W71" i="14"/>
  <c r="W14" i="14"/>
  <c r="W78" i="14"/>
  <c r="W94" i="14"/>
  <c r="W63" i="14"/>
  <c r="W31" i="14"/>
  <c r="W57" i="14"/>
  <c r="W16" i="14"/>
  <c r="W10" i="14"/>
  <c r="W38" i="14"/>
  <c r="W40" i="14"/>
  <c r="W44" i="14"/>
  <c r="W36" i="14"/>
  <c r="W83" i="14"/>
  <c r="W42" i="14"/>
  <c r="W96" i="14"/>
  <c r="AA10" i="14"/>
  <c r="AA14" i="14"/>
  <c r="AA16" i="14"/>
  <c r="AA40" i="14"/>
  <c r="AA12" i="14"/>
  <c r="AA83" i="14"/>
  <c r="AA38" i="14"/>
  <c r="AA63" i="14"/>
  <c r="AA31" i="14"/>
  <c r="AA36" i="14"/>
  <c r="AA94" i="14"/>
  <c r="AA42" i="14"/>
  <c r="AA78" i="14"/>
  <c r="AA44" i="14"/>
  <c r="AA57" i="14"/>
  <c r="AA71" i="14"/>
  <c r="AA96" i="14"/>
  <c r="J78" i="14"/>
  <c r="J57" i="14"/>
  <c r="J71" i="14"/>
  <c r="J16" i="14"/>
  <c r="J94" i="14"/>
  <c r="J31" i="14"/>
  <c r="J10" i="14"/>
  <c r="J36" i="14"/>
  <c r="J12" i="14"/>
  <c r="J83" i="14"/>
  <c r="J14" i="14"/>
  <c r="J38" i="14"/>
  <c r="J40" i="14"/>
  <c r="J63" i="14"/>
  <c r="J42" i="14"/>
  <c r="J96" i="14"/>
  <c r="J44" i="14"/>
  <c r="Y98" i="14"/>
  <c r="Y45" i="14"/>
  <c r="O14" i="14"/>
  <c r="O12" i="14"/>
  <c r="O10" i="14"/>
  <c r="O40" i="14"/>
  <c r="O36" i="14"/>
  <c r="O38" i="14"/>
  <c r="O78" i="14"/>
  <c r="O16" i="14"/>
  <c r="O83" i="14"/>
  <c r="O31" i="14"/>
  <c r="O63" i="14"/>
  <c r="O94" i="14"/>
  <c r="O57" i="14"/>
  <c r="O71" i="14"/>
  <c r="O42" i="14"/>
  <c r="O44" i="14"/>
  <c r="O96" i="14"/>
  <c r="AO19" i="14"/>
  <c r="AP17" i="14"/>
  <c r="AB16" i="14"/>
  <c r="AB38" i="14"/>
  <c r="AB83" i="14"/>
  <c r="AB94" i="14"/>
  <c r="AB57" i="14"/>
  <c r="AB12" i="14"/>
  <c r="AB36" i="14"/>
  <c r="AB10" i="14"/>
  <c r="AB14" i="14"/>
  <c r="AB40" i="14"/>
  <c r="AB31" i="14"/>
  <c r="AB78" i="14"/>
  <c r="AB63" i="14"/>
  <c r="AB71" i="14"/>
  <c r="AB96" i="14"/>
  <c r="AB42" i="14"/>
  <c r="AB44" i="14"/>
  <c r="P40" i="14"/>
  <c r="P31" i="14"/>
  <c r="P42" i="14"/>
  <c r="P83" i="14"/>
  <c r="P63" i="14"/>
  <c r="P36" i="14"/>
  <c r="P78" i="14"/>
  <c r="P14" i="14"/>
  <c r="P38" i="14"/>
  <c r="P12" i="14"/>
  <c r="P94" i="14"/>
  <c r="P44" i="14"/>
  <c r="P16" i="14"/>
  <c r="P57" i="14"/>
  <c r="P10" i="14"/>
  <c r="P71" i="14"/>
  <c r="P96" i="14"/>
  <c r="AK12" i="14"/>
  <c r="AK38" i="14"/>
  <c r="AK40" i="14"/>
  <c r="AK14" i="14"/>
  <c r="AK16" i="14"/>
  <c r="AK10" i="14"/>
  <c r="AK63" i="14"/>
  <c r="AK36" i="14"/>
  <c r="AK94" i="14"/>
  <c r="AK78" i="14"/>
  <c r="AK44" i="14"/>
  <c r="AK71" i="14"/>
  <c r="AK57" i="14"/>
  <c r="AK83" i="14"/>
  <c r="AK31" i="14"/>
  <c r="AK96" i="14"/>
  <c r="AK42" i="14"/>
  <c r="E10" i="14"/>
  <c r="E38" i="14"/>
  <c r="E31" i="14"/>
  <c r="E63" i="14"/>
  <c r="E40" i="14"/>
  <c r="E94" i="14"/>
  <c r="E36" i="14"/>
  <c r="E12" i="14"/>
  <c r="E14" i="14"/>
  <c r="E83" i="14"/>
  <c r="E78" i="14"/>
  <c r="E71" i="14"/>
  <c r="E16" i="14"/>
  <c r="E57" i="14"/>
  <c r="E96" i="14"/>
  <c r="E44" i="14"/>
  <c r="E42" i="14"/>
  <c r="AL36" i="14"/>
  <c r="AL10" i="14"/>
  <c r="AL94" i="14"/>
  <c r="AL31" i="14"/>
  <c r="AL71" i="14"/>
  <c r="AL57" i="14"/>
  <c r="AL16" i="14"/>
  <c r="AL38" i="14"/>
  <c r="AL83" i="14"/>
  <c r="AL40" i="14"/>
  <c r="AL14" i="14"/>
  <c r="AL78" i="14"/>
  <c r="AL12" i="14"/>
  <c r="AL63" i="14"/>
  <c r="AL42" i="14"/>
  <c r="AL44" i="14"/>
  <c r="AL96" i="14"/>
  <c r="AD19" i="14"/>
  <c r="AD18" i="14" s="1"/>
  <c r="I38" i="14"/>
  <c r="I63" i="14"/>
  <c r="I10" i="14"/>
  <c r="I78" i="14"/>
  <c r="I57" i="14"/>
  <c r="I31" i="14"/>
  <c r="I12" i="14"/>
  <c r="I71" i="14"/>
  <c r="I14" i="14"/>
  <c r="I16" i="14"/>
  <c r="I83" i="14"/>
  <c r="I40" i="14"/>
  <c r="I94" i="14"/>
  <c r="I36" i="14"/>
  <c r="I96" i="14"/>
  <c r="I42" i="14"/>
  <c r="I44" i="14"/>
  <c r="U14" i="14"/>
  <c r="U12" i="14"/>
  <c r="U78" i="14"/>
  <c r="U10" i="14"/>
  <c r="U57" i="14"/>
  <c r="U16" i="14"/>
  <c r="U36" i="14"/>
  <c r="U83" i="14"/>
  <c r="U71" i="14"/>
  <c r="U40" i="14"/>
  <c r="U94" i="14"/>
  <c r="U38" i="14"/>
  <c r="U96" i="14"/>
  <c r="U63" i="14"/>
  <c r="U31" i="14"/>
  <c r="U42" i="14"/>
  <c r="U44" i="14"/>
  <c r="AM16" i="14"/>
  <c r="AM10" i="14"/>
  <c r="AM40" i="14"/>
  <c r="AM14" i="14"/>
  <c r="AM12" i="14"/>
  <c r="AM71" i="14"/>
  <c r="AM36" i="14"/>
  <c r="AM44" i="14"/>
  <c r="AM42" i="14"/>
  <c r="AM31" i="14"/>
  <c r="AM78" i="14"/>
  <c r="AM57" i="14"/>
  <c r="AM83" i="14"/>
  <c r="AM38" i="14"/>
  <c r="AM63" i="14"/>
  <c r="AM94" i="14"/>
  <c r="AM96" i="14"/>
  <c r="V36" i="14"/>
  <c r="V14" i="14"/>
  <c r="V44" i="14"/>
  <c r="V42" i="14"/>
  <c r="V71" i="14"/>
  <c r="V83" i="14"/>
  <c r="V10" i="14"/>
  <c r="V78" i="14"/>
  <c r="V16" i="14"/>
  <c r="V31" i="14"/>
  <c r="V57" i="14"/>
  <c r="V38" i="14"/>
  <c r="V12" i="14"/>
  <c r="V63" i="14"/>
  <c r="V40" i="14"/>
  <c r="V94" i="14"/>
  <c r="V96" i="14"/>
  <c r="K10" i="14"/>
  <c r="K57" i="14"/>
  <c r="K36" i="14"/>
  <c r="K40" i="14"/>
  <c r="K38" i="14"/>
  <c r="K78" i="14"/>
  <c r="K31" i="14"/>
  <c r="K83" i="14"/>
  <c r="K16" i="14"/>
  <c r="K71" i="14"/>
  <c r="K12" i="14"/>
  <c r="K94" i="14"/>
  <c r="K63" i="14"/>
  <c r="K14" i="14"/>
  <c r="K96" i="14"/>
  <c r="K44" i="14"/>
  <c r="K42" i="14"/>
  <c r="R12" i="14"/>
  <c r="R16" i="14"/>
  <c r="R40" i="14"/>
  <c r="R63" i="14"/>
  <c r="R38" i="14"/>
  <c r="R78" i="14"/>
  <c r="R71" i="14"/>
  <c r="R36" i="14"/>
  <c r="R31" i="14"/>
  <c r="R83" i="14"/>
  <c r="R10" i="14"/>
  <c r="R57" i="14"/>
  <c r="R14" i="14"/>
  <c r="R94" i="14"/>
  <c r="R42" i="14"/>
  <c r="R96" i="14"/>
  <c r="R44" i="14"/>
  <c r="AG12" i="14"/>
  <c r="AG57" i="14"/>
  <c r="AG38" i="14"/>
  <c r="AG14" i="14"/>
  <c r="AG36" i="14"/>
  <c r="AG44" i="14"/>
  <c r="AG63" i="14"/>
  <c r="AG10" i="14"/>
  <c r="AG71" i="14"/>
  <c r="AG83" i="14"/>
  <c r="AG16" i="14"/>
  <c r="AG40" i="14"/>
  <c r="AG78" i="14"/>
  <c r="AG31" i="14"/>
  <c r="AG42" i="14"/>
  <c r="AG94" i="14"/>
  <c r="AG96" i="14"/>
  <c r="AE36" i="14"/>
  <c r="AE94" i="14"/>
  <c r="AE31" i="14"/>
  <c r="AE83" i="14"/>
  <c r="AE38" i="14"/>
  <c r="AE78" i="14"/>
  <c r="AE71" i="14"/>
  <c r="AE40" i="14"/>
  <c r="AE12" i="14"/>
  <c r="AE16" i="14"/>
  <c r="AE14" i="14"/>
  <c r="AE63" i="14"/>
  <c r="AE57" i="14"/>
  <c r="AE44" i="14"/>
  <c r="AE42" i="14"/>
  <c r="AE10" i="14"/>
  <c r="AE96" i="14"/>
  <c r="AC12" i="14"/>
  <c r="AC83" i="14"/>
  <c r="AC36" i="14"/>
  <c r="AC38" i="14"/>
  <c r="AC57" i="14"/>
  <c r="AC16" i="14"/>
  <c r="AC71" i="14"/>
  <c r="AC40" i="14"/>
  <c r="AC14" i="14"/>
  <c r="AC10" i="14"/>
  <c r="AC94" i="14"/>
  <c r="AC31" i="14"/>
  <c r="AC78" i="14"/>
  <c r="AC63" i="14"/>
  <c r="AC42" i="14"/>
  <c r="AC44" i="14"/>
  <c r="AC96" i="14"/>
  <c r="M12" i="14"/>
  <c r="M16" i="14"/>
  <c r="M10" i="14"/>
  <c r="M42" i="14"/>
  <c r="M78" i="14"/>
  <c r="M31" i="14"/>
  <c r="M40" i="14"/>
  <c r="M14" i="14"/>
  <c r="M36" i="14"/>
  <c r="M44" i="14"/>
  <c r="M71" i="14"/>
  <c r="M57" i="14"/>
  <c r="M83" i="14"/>
  <c r="M63" i="14"/>
  <c r="M94" i="14"/>
  <c r="M38" i="14"/>
  <c r="M96" i="14"/>
  <c r="AJ38" i="14"/>
  <c r="AJ12" i="14"/>
  <c r="AJ16" i="14"/>
  <c r="AJ40" i="14"/>
  <c r="AJ10" i="14"/>
  <c r="AJ36" i="14"/>
  <c r="AJ44" i="14"/>
  <c r="AJ63" i="14"/>
  <c r="AJ71" i="14"/>
  <c r="AJ94" i="14"/>
  <c r="AJ31" i="14"/>
  <c r="AJ78" i="14"/>
  <c r="AJ83" i="14"/>
  <c r="AJ14" i="14"/>
  <c r="AJ57" i="14"/>
  <c r="AJ96" i="14"/>
  <c r="AJ42" i="14"/>
  <c r="G12" i="14"/>
  <c r="G14" i="14"/>
  <c r="G83" i="14"/>
  <c r="G78" i="14"/>
  <c r="G31" i="14"/>
  <c r="G36" i="14"/>
  <c r="G71" i="14"/>
  <c r="G10" i="14"/>
  <c r="G40" i="14"/>
  <c r="G38" i="14"/>
  <c r="G94" i="14"/>
  <c r="G16" i="14"/>
  <c r="G63" i="14"/>
  <c r="G57" i="14"/>
  <c r="G44" i="14"/>
  <c r="G96" i="14"/>
  <c r="G42" i="14"/>
  <c r="N31" i="14"/>
  <c r="N10" i="14"/>
  <c r="N83" i="14"/>
  <c r="N36" i="14"/>
  <c r="N40" i="14"/>
  <c r="N78" i="14"/>
  <c r="N63" i="14"/>
  <c r="N12" i="14"/>
  <c r="N16" i="14"/>
  <c r="N14" i="14"/>
  <c r="N38" i="14"/>
  <c r="N94" i="14"/>
  <c r="N71" i="14"/>
  <c r="N44" i="14"/>
  <c r="N57" i="14"/>
  <c r="N42" i="14"/>
  <c r="N96" i="14"/>
  <c r="S40" i="14"/>
  <c r="S14" i="14"/>
  <c r="S63" i="14"/>
  <c r="S36" i="14"/>
  <c r="S57" i="14"/>
  <c r="S16" i="14"/>
  <c r="S71" i="14"/>
  <c r="S94" i="14"/>
  <c r="S38" i="14"/>
  <c r="S31" i="14"/>
  <c r="S12" i="14"/>
  <c r="S78" i="14"/>
  <c r="S83" i="14"/>
  <c r="S10" i="14"/>
  <c r="S96" i="14"/>
  <c r="S44" i="14"/>
  <c r="S42" i="14"/>
  <c r="Z40" i="14"/>
  <c r="Z38" i="14"/>
  <c r="Z14" i="14"/>
  <c r="Z78" i="14"/>
  <c r="Z16" i="14"/>
  <c r="Z63" i="14"/>
  <c r="Z10" i="14"/>
  <c r="Z83" i="14"/>
  <c r="Z12" i="14"/>
  <c r="Z31" i="14"/>
  <c r="Z71" i="14"/>
  <c r="Z94" i="14"/>
  <c r="Z57" i="14"/>
  <c r="Z36" i="14"/>
  <c r="Z96" i="14"/>
  <c r="Z42" i="14"/>
  <c r="Z44" i="14"/>
  <c r="E18" i="14"/>
  <c r="AN63" i="14"/>
  <c r="AN42" i="14"/>
  <c r="AN83" i="14"/>
  <c r="AN31" i="14"/>
  <c r="AN36" i="14"/>
  <c r="AN94" i="14"/>
  <c r="AN78" i="14"/>
  <c r="AN40" i="14"/>
  <c r="AN12" i="14"/>
  <c r="AN57" i="14"/>
  <c r="AN44" i="14"/>
  <c r="AN71" i="14"/>
  <c r="AN14" i="14"/>
  <c r="AN16" i="14"/>
  <c r="AN38" i="14"/>
  <c r="AN10" i="14"/>
  <c r="AN96" i="14"/>
  <c r="AI99" i="14"/>
  <c r="AI107" i="14"/>
  <c r="F114" i="14"/>
  <c r="F108" i="14"/>
  <c r="AD45" i="4"/>
  <c r="AN108" i="4"/>
  <c r="AN115" i="4"/>
  <c r="AN124" i="4" s="1"/>
  <c r="AN9" i="9"/>
  <c r="AN32" i="9" s="1"/>
  <c r="AN33" i="9" s="1"/>
  <c r="Y109" i="4"/>
  <c r="Y9" i="9"/>
  <c r="AC109" i="4"/>
  <c r="AC9" i="9"/>
  <c r="AJ109" i="4"/>
  <c r="AJ9" i="9"/>
  <c r="AH109" i="4"/>
  <c r="AH9" i="9"/>
  <c r="X109" i="4"/>
  <c r="X9" i="9"/>
  <c r="AG109" i="4"/>
  <c r="AG9" i="9"/>
  <c r="AB109" i="4"/>
  <c r="AB9" i="9"/>
  <c r="S109" i="4"/>
  <c r="S9" i="9"/>
  <c r="R109" i="4"/>
  <c r="R9" i="9"/>
  <c r="Z109" i="4"/>
  <c r="Z9" i="9"/>
  <c r="W109" i="4"/>
  <c r="W9" i="9"/>
  <c r="V109" i="4"/>
  <c r="V9" i="9"/>
  <c r="AE109" i="4"/>
  <c r="AE9" i="9"/>
  <c r="AI109" i="4"/>
  <c r="AI9" i="9"/>
  <c r="T109" i="4"/>
  <c r="T9" i="9"/>
  <c r="U109" i="4"/>
  <c r="U9" i="9"/>
  <c r="AK32" i="9"/>
  <c r="AK33" i="9" s="1"/>
  <c r="AK22" i="9"/>
  <c r="AL109" i="4"/>
  <c r="AL9" i="9"/>
  <c r="E109" i="4"/>
  <c r="E9" i="9"/>
  <c r="AA109" i="4"/>
  <c r="AA9" i="9"/>
  <c r="AF109" i="4"/>
  <c r="AF9" i="9"/>
  <c r="I15" i="7"/>
  <c r="I24" i="7" s="1"/>
  <c r="Z99" i="4"/>
  <c r="AF99" i="4"/>
  <c r="X99" i="4"/>
  <c r="AC99" i="4"/>
  <c r="AM107" i="4"/>
  <c r="AM99" i="4"/>
  <c r="T115" i="4"/>
  <c r="T108" i="4"/>
  <c r="O107" i="4"/>
  <c r="O99" i="4"/>
  <c r="W115" i="4"/>
  <c r="W108" i="4"/>
  <c r="AJ115" i="4"/>
  <c r="AJ108" i="4"/>
  <c r="Z115" i="4"/>
  <c r="Z108" i="4"/>
  <c r="AB115" i="4"/>
  <c r="AB108" i="4"/>
  <c r="J107" i="4"/>
  <c r="J99" i="4"/>
  <c r="G107" i="4"/>
  <c r="G99" i="4"/>
  <c r="R115" i="4"/>
  <c r="R108" i="4"/>
  <c r="AP98" i="4"/>
  <c r="AP45" i="4"/>
  <c r="AG115" i="4"/>
  <c r="AG108" i="4"/>
  <c r="AC115" i="4"/>
  <c r="AC108" i="4"/>
  <c r="U115" i="4"/>
  <c r="U108" i="4"/>
  <c r="I107" i="4"/>
  <c r="I99" i="4"/>
  <c r="Y115" i="4"/>
  <c r="Y108" i="4"/>
  <c r="K107" i="4"/>
  <c r="K99" i="4"/>
  <c r="AO98" i="4"/>
  <c r="AO45" i="4"/>
  <c r="P107" i="4"/>
  <c r="P99" i="4"/>
  <c r="AE115" i="4"/>
  <c r="AE108" i="4"/>
  <c r="Q98" i="4"/>
  <c r="Q45" i="4"/>
  <c r="AI115" i="4"/>
  <c r="AI108" i="4"/>
  <c r="AD107" i="4"/>
  <c r="AD99" i="4"/>
  <c r="M107" i="4"/>
  <c r="M99" i="4"/>
  <c r="H107" i="4"/>
  <c r="H99" i="4"/>
  <c r="AH115" i="4"/>
  <c r="AH108" i="4"/>
  <c r="L107" i="4"/>
  <c r="L99" i="4"/>
  <c r="S115" i="4"/>
  <c r="S108" i="4"/>
  <c r="V115" i="4"/>
  <c r="V108" i="4"/>
  <c r="AL115" i="4"/>
  <c r="AL108" i="4"/>
  <c r="E115" i="4"/>
  <c r="E108" i="4"/>
  <c r="N107" i="4"/>
  <c r="N99" i="4"/>
  <c r="AK124" i="4"/>
  <c r="AK116" i="4"/>
  <c r="AF115" i="4"/>
  <c r="AF108" i="4"/>
  <c r="X115" i="4"/>
  <c r="X108" i="4"/>
  <c r="F107" i="4"/>
  <c r="F99" i="4"/>
  <c r="AA115" i="4"/>
  <c r="AA108" i="4"/>
  <c r="AN22" i="9" l="1"/>
  <c r="AN116" i="4"/>
  <c r="T98" i="14"/>
  <c r="T45" i="14"/>
  <c r="AJ45" i="14"/>
  <c r="AJ98" i="14"/>
  <c r="AE98" i="14"/>
  <c r="AE45" i="14"/>
  <c r="AP19" i="14"/>
  <c r="AP18" i="14"/>
  <c r="AO18" i="14"/>
  <c r="AO63" i="14"/>
  <c r="AO12" i="14"/>
  <c r="AO83" i="14"/>
  <c r="AO71" i="14"/>
  <c r="AO36" i="14"/>
  <c r="AO78" i="14"/>
  <c r="AO57" i="14"/>
  <c r="AO10" i="14"/>
  <c r="AO40" i="14"/>
  <c r="AO94" i="14"/>
  <c r="AO38" i="14"/>
  <c r="AO14" i="14"/>
  <c r="AO31" i="14"/>
  <c r="AO16" i="14"/>
  <c r="AO42" i="14"/>
  <c r="AO44" i="14"/>
  <c r="AO96" i="14"/>
  <c r="X45" i="14"/>
  <c r="X98" i="14"/>
  <c r="AB45" i="14"/>
  <c r="AB98" i="14"/>
  <c r="S45" i="14"/>
  <c r="S98" i="14"/>
  <c r="H98" i="14"/>
  <c r="H45" i="14"/>
  <c r="N98" i="14"/>
  <c r="N45" i="14"/>
  <c r="O45" i="14"/>
  <c r="O98" i="14"/>
  <c r="K45" i="14"/>
  <c r="K98" i="14"/>
  <c r="I45" i="14"/>
  <c r="I98" i="14"/>
  <c r="V98" i="14"/>
  <c r="V45" i="14"/>
  <c r="AD40" i="14"/>
  <c r="AD10" i="14"/>
  <c r="AD38" i="14"/>
  <c r="AD36" i="14"/>
  <c r="AD14" i="14"/>
  <c r="AD63" i="14"/>
  <c r="AD71" i="14"/>
  <c r="AD16" i="14"/>
  <c r="AD83" i="14"/>
  <c r="AD12" i="14"/>
  <c r="AD78" i="14"/>
  <c r="AD42" i="14"/>
  <c r="AD94" i="14"/>
  <c r="AD31" i="14"/>
  <c r="AD57" i="14"/>
  <c r="AD44" i="14"/>
  <c r="AD96" i="14"/>
  <c r="R45" i="14"/>
  <c r="R98" i="14"/>
  <c r="AG45" i="14"/>
  <c r="AG98" i="14"/>
  <c r="W45" i="14"/>
  <c r="W98" i="14"/>
  <c r="AH98" i="14"/>
  <c r="AH45" i="14"/>
  <c r="Q63" i="14"/>
  <c r="Q10" i="14"/>
  <c r="Q31" i="14"/>
  <c r="Q12" i="14"/>
  <c r="Q78" i="14"/>
  <c r="Q16" i="14"/>
  <c r="Q14" i="14"/>
  <c r="Q40" i="14"/>
  <c r="Q71" i="14"/>
  <c r="Q38" i="14"/>
  <c r="Q36" i="14"/>
  <c r="Q94" i="14"/>
  <c r="Q83" i="14"/>
  <c r="Q44" i="14"/>
  <c r="Q57" i="14"/>
  <c r="Q42" i="14"/>
  <c r="Q96" i="14"/>
  <c r="U98" i="14"/>
  <c r="U45" i="14"/>
  <c r="P45" i="14"/>
  <c r="P98" i="14"/>
  <c r="G98" i="14"/>
  <c r="G45" i="14"/>
  <c r="AA45" i="14"/>
  <c r="AA98" i="14"/>
  <c r="L45" i="14"/>
  <c r="L98" i="14"/>
  <c r="AC98" i="14"/>
  <c r="AC45" i="14"/>
  <c r="Z98" i="14"/>
  <c r="Z45" i="14"/>
  <c r="AF45" i="14"/>
  <c r="AF98" i="14"/>
  <c r="M45" i="14"/>
  <c r="M98" i="14"/>
  <c r="AN98" i="14"/>
  <c r="AN45" i="14"/>
  <c r="Y107" i="14"/>
  <c r="Y99" i="14"/>
  <c r="AM45" i="14"/>
  <c r="AM98" i="14"/>
  <c r="AL45" i="14"/>
  <c r="AL98" i="14"/>
  <c r="E98" i="14"/>
  <c r="E45" i="14"/>
  <c r="AK45" i="14"/>
  <c r="AK98" i="14"/>
  <c r="J98" i="14"/>
  <c r="J45" i="14"/>
  <c r="AI108" i="14"/>
  <c r="AI114" i="14"/>
  <c r="F115" i="14"/>
  <c r="AD109" i="4"/>
  <c r="AF32" i="9"/>
  <c r="AF33" i="9" s="1"/>
  <c r="AF22" i="9"/>
  <c r="I109" i="4"/>
  <c r="I9" i="9"/>
  <c r="AB32" i="9"/>
  <c r="AB33" i="9" s="1"/>
  <c r="AB22" i="9"/>
  <c r="Z32" i="9"/>
  <c r="Z33" i="9" s="1"/>
  <c r="Z22" i="9"/>
  <c r="L109" i="4"/>
  <c r="L9" i="9"/>
  <c r="AG32" i="9"/>
  <c r="AG33" i="9" s="1"/>
  <c r="AG22" i="9"/>
  <c r="AA32" i="9"/>
  <c r="AA33" i="9" s="1"/>
  <c r="AA22" i="9"/>
  <c r="T32" i="9"/>
  <c r="T33" i="9" s="1"/>
  <c r="T22" i="9"/>
  <c r="X32" i="9"/>
  <c r="X33" i="9" s="1"/>
  <c r="X22" i="9"/>
  <c r="S32" i="9"/>
  <c r="S33" i="9" s="1"/>
  <c r="S22" i="9"/>
  <c r="F109" i="4"/>
  <c r="F9" i="9"/>
  <c r="H109" i="4"/>
  <c r="H9" i="9"/>
  <c r="E32" i="9"/>
  <c r="E22" i="9"/>
  <c r="U32" i="9"/>
  <c r="U33" i="9" s="1"/>
  <c r="U22" i="9"/>
  <c r="AJ32" i="9"/>
  <c r="AJ33" i="9" s="1"/>
  <c r="AJ22" i="9"/>
  <c r="R32" i="9"/>
  <c r="R22" i="9"/>
  <c r="AD9" i="9"/>
  <c r="AD22" i="9" s="1"/>
  <c r="N109" i="4"/>
  <c r="N9" i="9"/>
  <c r="AC32" i="9"/>
  <c r="AC33" i="9" s="1"/>
  <c r="AC22" i="9"/>
  <c r="AI32" i="9"/>
  <c r="AI33" i="9" s="1"/>
  <c r="AI22" i="9"/>
  <c r="AE32" i="9"/>
  <c r="AE22" i="9"/>
  <c r="V32" i="9"/>
  <c r="V33" i="9" s="1"/>
  <c r="V22" i="9"/>
  <c r="P109" i="4"/>
  <c r="P9" i="9"/>
  <c r="G109" i="4"/>
  <c r="G9" i="9"/>
  <c r="AN37" i="9"/>
  <c r="K109" i="4"/>
  <c r="K9" i="9"/>
  <c r="AL32" i="9"/>
  <c r="AL33" i="9" s="1"/>
  <c r="AL22" i="9"/>
  <c r="M109" i="4"/>
  <c r="M9" i="9"/>
  <c r="AM109" i="4"/>
  <c r="AO109" i="4" s="1"/>
  <c r="AP109" i="4" s="1"/>
  <c r="AM9" i="9"/>
  <c r="AO9" i="9" s="1"/>
  <c r="W32" i="9"/>
  <c r="W33" i="9" s="1"/>
  <c r="W22" i="9"/>
  <c r="Y32" i="9"/>
  <c r="Y33" i="9" s="1"/>
  <c r="Y22" i="9"/>
  <c r="AK37" i="9"/>
  <c r="O109" i="4"/>
  <c r="O9" i="9"/>
  <c r="AH32" i="9"/>
  <c r="AH33" i="9" s="1"/>
  <c r="AH22" i="9"/>
  <c r="J109" i="4"/>
  <c r="J9" i="9"/>
  <c r="J15" i="7"/>
  <c r="J24" i="7" s="1"/>
  <c r="AM115" i="4"/>
  <c r="AM108" i="4"/>
  <c r="AE124" i="4"/>
  <c r="AE116" i="4"/>
  <c r="Y124" i="4"/>
  <c r="Y116" i="4"/>
  <c r="X124" i="4"/>
  <c r="X116" i="4"/>
  <c r="M115" i="4"/>
  <c r="M108" i="4"/>
  <c r="G115" i="4"/>
  <c r="G108" i="4"/>
  <c r="L115" i="4"/>
  <c r="L108" i="4"/>
  <c r="P115" i="4"/>
  <c r="P108" i="4"/>
  <c r="AP107" i="4"/>
  <c r="AP99" i="4"/>
  <c r="W124" i="4"/>
  <c r="W116" i="4"/>
  <c r="AL124" i="4"/>
  <c r="AL116" i="4"/>
  <c r="AO107" i="4"/>
  <c r="AO99" i="4"/>
  <c r="AB124" i="4"/>
  <c r="AB116" i="4"/>
  <c r="N115" i="4"/>
  <c r="N108" i="4"/>
  <c r="S124" i="4"/>
  <c r="S116" i="4"/>
  <c r="AG124" i="4"/>
  <c r="AG116" i="4"/>
  <c r="AJ124" i="4"/>
  <c r="AJ116" i="4"/>
  <c r="E124" i="4"/>
  <c r="E116" i="4"/>
  <c r="AD115" i="4"/>
  <c r="AD108" i="4"/>
  <c r="I115" i="4"/>
  <c r="I108" i="4"/>
  <c r="J115" i="4"/>
  <c r="J108" i="4"/>
  <c r="AA124" i="4"/>
  <c r="AA116" i="4"/>
  <c r="AF124" i="4"/>
  <c r="AF116" i="4"/>
  <c r="AH124" i="4"/>
  <c r="AH116" i="4"/>
  <c r="AI124" i="4"/>
  <c r="AI116" i="4"/>
  <c r="U124" i="4"/>
  <c r="U116" i="4"/>
  <c r="R124" i="4"/>
  <c r="R116" i="4"/>
  <c r="O115" i="4"/>
  <c r="O108" i="4"/>
  <c r="F115" i="4"/>
  <c r="F108" i="4"/>
  <c r="AK133" i="4"/>
  <c r="AK134" i="4" s="1"/>
  <c r="AK125" i="4"/>
  <c r="V124" i="4"/>
  <c r="V116" i="4"/>
  <c r="H115" i="4"/>
  <c r="H108" i="4"/>
  <c r="Q107" i="4"/>
  <c r="Q99" i="4"/>
  <c r="K115" i="4"/>
  <c r="K108" i="4"/>
  <c r="AC124" i="4"/>
  <c r="AC116" i="4"/>
  <c r="AN133" i="4"/>
  <c r="AN134" i="4" s="1"/>
  <c r="AN125" i="4"/>
  <c r="Z124" i="4"/>
  <c r="Z116" i="4"/>
  <c r="T124" i="4"/>
  <c r="T116" i="4"/>
  <c r="X37" i="9" l="1"/>
  <c r="AF99" i="14"/>
  <c r="AF107" i="14"/>
  <c r="Y114" i="14"/>
  <c r="Y108" i="14"/>
  <c r="V99" i="14"/>
  <c r="V107" i="14"/>
  <c r="R107" i="14"/>
  <c r="R99" i="14"/>
  <c r="Z107" i="14"/>
  <c r="Z99" i="14"/>
  <c r="AM99" i="14"/>
  <c r="AM107" i="14"/>
  <c r="U107" i="14"/>
  <c r="U99" i="14"/>
  <c r="M99" i="14"/>
  <c r="M107" i="14"/>
  <c r="AE107" i="14"/>
  <c r="AE99" i="14"/>
  <c r="I107" i="14"/>
  <c r="I99" i="14"/>
  <c r="K99" i="14"/>
  <c r="K107" i="14"/>
  <c r="AN99" i="14"/>
  <c r="AN107" i="14"/>
  <c r="S99" i="14"/>
  <c r="S107" i="14"/>
  <c r="L107" i="14"/>
  <c r="L99" i="14"/>
  <c r="AA107" i="14"/>
  <c r="AA99" i="14"/>
  <c r="E99" i="14"/>
  <c r="E107" i="14"/>
  <c r="AJ107" i="14"/>
  <c r="AJ99" i="14"/>
  <c r="Q45" i="14"/>
  <c r="Q98" i="14"/>
  <c r="O107" i="14"/>
  <c r="O99" i="14"/>
  <c r="N99" i="14"/>
  <c r="N107" i="14"/>
  <c r="AI116" i="14"/>
  <c r="J99" i="14"/>
  <c r="J107" i="14"/>
  <c r="AB99" i="14"/>
  <c r="AB107" i="14"/>
  <c r="G99" i="14"/>
  <c r="G107" i="14"/>
  <c r="AO45" i="14"/>
  <c r="AO98" i="14"/>
  <c r="AD45" i="14"/>
  <c r="AD98" i="14"/>
  <c r="H99" i="14"/>
  <c r="H107" i="14"/>
  <c r="AP94" i="14"/>
  <c r="AP78" i="14"/>
  <c r="AP10" i="14"/>
  <c r="AP83" i="14"/>
  <c r="AP42" i="14"/>
  <c r="AP44" i="14"/>
  <c r="AP63" i="14"/>
  <c r="AP71" i="14"/>
  <c r="AP96" i="14"/>
  <c r="AP40" i="14"/>
  <c r="AP36" i="14"/>
  <c r="AP31" i="14"/>
  <c r="AP16" i="14"/>
  <c r="AP57" i="14"/>
  <c r="AP12" i="14"/>
  <c r="AP14" i="14"/>
  <c r="AP38" i="14"/>
  <c r="AL99" i="14"/>
  <c r="AL107" i="14"/>
  <c r="P107" i="14"/>
  <c r="P99" i="14"/>
  <c r="AH99" i="14"/>
  <c r="AH107" i="14"/>
  <c r="AG107" i="14"/>
  <c r="AG99" i="14"/>
  <c r="AC99" i="14"/>
  <c r="AC107" i="14"/>
  <c r="AK99" i="14"/>
  <c r="AK107" i="14"/>
  <c r="X107" i="14"/>
  <c r="X99" i="14"/>
  <c r="W99" i="14"/>
  <c r="W107" i="14"/>
  <c r="T107" i="14"/>
  <c r="T99" i="14"/>
  <c r="AI115" i="14"/>
  <c r="AG37" i="9"/>
  <c r="Z37" i="9"/>
  <c r="T37" i="9"/>
  <c r="W37" i="9"/>
  <c r="AC37" i="9"/>
  <c r="AI37" i="9"/>
  <c r="Q109" i="4"/>
  <c r="AL37" i="9"/>
  <c r="AF37" i="9"/>
  <c r="U37" i="9"/>
  <c r="F32" i="9"/>
  <c r="F33" i="9" s="1"/>
  <c r="F22" i="9"/>
  <c r="AM32" i="9"/>
  <c r="AM33" i="9" s="1"/>
  <c r="AM22" i="9"/>
  <c r="N32" i="9"/>
  <c r="N33" i="9" s="1"/>
  <c r="N22" i="9"/>
  <c r="AA37" i="9"/>
  <c r="AJ37" i="9"/>
  <c r="O32" i="9"/>
  <c r="O33" i="9" s="1"/>
  <c r="O22" i="9"/>
  <c r="AE33" i="9"/>
  <c r="AE37" i="9" s="1"/>
  <c r="AB37" i="9"/>
  <c r="R33" i="9"/>
  <c r="R37" i="9" s="1"/>
  <c r="AD32" i="9"/>
  <c r="AD33" i="9" s="1"/>
  <c r="AD37" i="9" s="1"/>
  <c r="L32" i="9"/>
  <c r="L33" i="9" s="1"/>
  <c r="L22" i="9"/>
  <c r="AP9" i="9"/>
  <c r="AP22" i="9" s="1"/>
  <c r="AO22" i="9"/>
  <c r="I32" i="9"/>
  <c r="I33" i="9" s="1"/>
  <c r="I22" i="9"/>
  <c r="E33" i="9"/>
  <c r="E37" i="9" s="1"/>
  <c r="E38" i="9" s="1"/>
  <c r="K32" i="9"/>
  <c r="K33" i="9" s="1"/>
  <c r="K22" i="9"/>
  <c r="G32" i="9"/>
  <c r="G33" i="9" s="1"/>
  <c r="G22" i="9"/>
  <c r="H32" i="9"/>
  <c r="H33" i="9" s="1"/>
  <c r="H22" i="9"/>
  <c r="S37" i="9"/>
  <c r="Y37" i="9"/>
  <c r="M32" i="9"/>
  <c r="M33" i="9" s="1"/>
  <c r="M22" i="9"/>
  <c r="Q9" i="9"/>
  <c r="Q22" i="9" s="1"/>
  <c r="J32" i="9"/>
  <c r="J33" i="9" s="1"/>
  <c r="J22" i="9"/>
  <c r="P32" i="9"/>
  <c r="P33" i="9" s="1"/>
  <c r="P22" i="9"/>
  <c r="AH37" i="9"/>
  <c r="V37" i="9"/>
  <c r="K15" i="7"/>
  <c r="K24" i="7" s="1"/>
  <c r="AM124" i="4"/>
  <c r="AM116" i="4"/>
  <c r="O124" i="4"/>
  <c r="O116" i="4"/>
  <c r="P124" i="4"/>
  <c r="P116" i="4"/>
  <c r="V133" i="4"/>
  <c r="V134" i="4" s="1"/>
  <c r="V125" i="4"/>
  <c r="S133" i="4"/>
  <c r="S134" i="4" s="1"/>
  <c r="S125" i="4"/>
  <c r="X133" i="4"/>
  <c r="X134" i="4" s="1"/>
  <c r="X125" i="4"/>
  <c r="AH133" i="4"/>
  <c r="AH134" i="4" s="1"/>
  <c r="AH125" i="4"/>
  <c r="H124" i="4"/>
  <c r="H116" i="4"/>
  <c r="AG133" i="4"/>
  <c r="AG134" i="4" s="1"/>
  <c r="AG125" i="4"/>
  <c r="R133" i="4"/>
  <c r="R134" i="4" s="1"/>
  <c r="R125" i="4"/>
  <c r="AO115" i="4"/>
  <c r="AO108" i="4"/>
  <c r="L124" i="4"/>
  <c r="L116" i="4"/>
  <c r="I124" i="4"/>
  <c r="I116" i="4"/>
  <c r="M124" i="4"/>
  <c r="M116" i="4"/>
  <c r="AC133" i="4"/>
  <c r="AC134" i="4" s="1"/>
  <c r="AC125" i="4"/>
  <c r="AF133" i="4"/>
  <c r="AF134" i="4" s="1"/>
  <c r="AF125" i="4"/>
  <c r="AD124" i="4"/>
  <c r="AD116" i="4"/>
  <c r="AL133" i="4"/>
  <c r="AL134" i="4" s="1"/>
  <c r="AL125" i="4"/>
  <c r="T133" i="4"/>
  <c r="T134" i="4" s="1"/>
  <c r="T125" i="4"/>
  <c r="K124" i="4"/>
  <c r="K116" i="4"/>
  <c r="U133" i="4"/>
  <c r="U134" i="4" s="1"/>
  <c r="U125" i="4"/>
  <c r="AA133" i="4"/>
  <c r="AA134" i="4" s="1"/>
  <c r="AA125" i="4"/>
  <c r="E133" i="4"/>
  <c r="E134" i="4" s="1"/>
  <c r="E125" i="4"/>
  <c r="N124" i="4"/>
  <c r="N116" i="4"/>
  <c r="W133" i="4"/>
  <c r="W134" i="4" s="1"/>
  <c r="W125" i="4"/>
  <c r="Y133" i="4"/>
  <c r="Y134" i="4" s="1"/>
  <c r="Y125" i="4"/>
  <c r="Z133" i="4"/>
  <c r="Z134" i="4" s="1"/>
  <c r="Z125" i="4"/>
  <c r="Q115" i="4"/>
  <c r="Q108" i="4"/>
  <c r="F124" i="4"/>
  <c r="F116" i="4"/>
  <c r="AI133" i="4"/>
  <c r="AI134" i="4" s="1"/>
  <c r="AI125" i="4"/>
  <c r="J124" i="4"/>
  <c r="J116" i="4"/>
  <c r="AJ133" i="4"/>
  <c r="AJ134" i="4" s="1"/>
  <c r="AJ125" i="4"/>
  <c r="AB133" i="4"/>
  <c r="AB134" i="4" s="1"/>
  <c r="AB125" i="4"/>
  <c r="AP115" i="4"/>
  <c r="AP108" i="4"/>
  <c r="G124" i="4"/>
  <c r="G116" i="4"/>
  <c r="AE133" i="4"/>
  <c r="AE134" i="4" s="1"/>
  <c r="AE125" i="4"/>
  <c r="AE114" i="14" l="1"/>
  <c r="AE108" i="14"/>
  <c r="AP45" i="14"/>
  <c r="AP98" i="14"/>
  <c r="J114" i="14"/>
  <c r="J108" i="14"/>
  <c r="W108" i="14"/>
  <c r="W114" i="14"/>
  <c r="T108" i="14"/>
  <c r="T114" i="14"/>
  <c r="I108" i="14"/>
  <c r="I114" i="14"/>
  <c r="O114" i="14"/>
  <c r="O108" i="14"/>
  <c r="AC108" i="14"/>
  <c r="AC114" i="14"/>
  <c r="AJ114" i="14"/>
  <c r="AJ108" i="14"/>
  <c r="AD107" i="14"/>
  <c r="AD99" i="14"/>
  <c r="AO107" i="14"/>
  <c r="AO99" i="14"/>
  <c r="L114" i="14"/>
  <c r="L108" i="14"/>
  <c r="X114" i="14"/>
  <c r="X108" i="14"/>
  <c r="R108" i="14"/>
  <c r="R114" i="14"/>
  <c r="AL108" i="14"/>
  <c r="AL114" i="14"/>
  <c r="S108" i="14"/>
  <c r="S114" i="14"/>
  <c r="M108" i="14"/>
  <c r="M114" i="14"/>
  <c r="U108" i="14"/>
  <c r="U114" i="14"/>
  <c r="AH108" i="14"/>
  <c r="AH114" i="14"/>
  <c r="H114" i="14"/>
  <c r="H108" i="14"/>
  <c r="Z114" i="14"/>
  <c r="Z108" i="14"/>
  <c r="P108" i="14"/>
  <c r="P114" i="14"/>
  <c r="AA114" i="14"/>
  <c r="AA108" i="14"/>
  <c r="G108" i="14"/>
  <c r="G114" i="14"/>
  <c r="Y116" i="14"/>
  <c r="Y115" i="14"/>
  <c r="N114" i="14"/>
  <c r="N108" i="14"/>
  <c r="Q107" i="14"/>
  <c r="Q99" i="14"/>
  <c r="AM108" i="14"/>
  <c r="AM114" i="14"/>
  <c r="AN108" i="14"/>
  <c r="AN114" i="14"/>
  <c r="AF114" i="14"/>
  <c r="AF108" i="14"/>
  <c r="K108" i="14"/>
  <c r="K114" i="14"/>
  <c r="AK108" i="14"/>
  <c r="AK114" i="14"/>
  <c r="AG108" i="14"/>
  <c r="AG114" i="14"/>
  <c r="E114" i="14"/>
  <c r="E108" i="14"/>
  <c r="V108" i="14"/>
  <c r="V114" i="14"/>
  <c r="AB108" i="14"/>
  <c r="AB114" i="14"/>
  <c r="AO32" i="9"/>
  <c r="J37" i="9"/>
  <c r="I37" i="9"/>
  <c r="F37" i="9"/>
  <c r="F36" i="9"/>
  <c r="F38" i="9" s="1"/>
  <c r="E39" i="9"/>
  <c r="AP32" i="9"/>
  <c r="AP33" i="9" s="1"/>
  <c r="AP37" i="9" s="1"/>
  <c r="AO33" i="9"/>
  <c r="AO37" i="9" s="1"/>
  <c r="O37" i="9"/>
  <c r="G37" i="9"/>
  <c r="L37" i="9"/>
  <c r="K37" i="9"/>
  <c r="N37" i="9"/>
  <c r="P37" i="9"/>
  <c r="Q32" i="9"/>
  <c r="Q33" i="9" s="1"/>
  <c r="Q37" i="9" s="1"/>
  <c r="AM37" i="9"/>
  <c r="M37" i="9"/>
  <c r="H37" i="9"/>
  <c r="L15" i="7"/>
  <c r="L24" i="7" s="1"/>
  <c r="AM133" i="4"/>
  <c r="AM134" i="4" s="1"/>
  <c r="AM125" i="4"/>
  <c r="AD133" i="4"/>
  <c r="AD134" i="4" s="1"/>
  <c r="AD125" i="4"/>
  <c r="F133" i="4"/>
  <c r="F125" i="4"/>
  <c r="I133" i="4"/>
  <c r="I134" i="4" s="1"/>
  <c r="I125" i="4"/>
  <c r="K133" i="4"/>
  <c r="K134" i="4" s="1"/>
  <c r="K125" i="4"/>
  <c r="G133" i="4"/>
  <c r="G134" i="4" s="1"/>
  <c r="G125" i="4"/>
  <c r="Q124" i="4"/>
  <c r="Q116" i="4"/>
  <c r="N133" i="4"/>
  <c r="N134" i="4" s="1"/>
  <c r="N125" i="4"/>
  <c r="L133" i="4"/>
  <c r="L134" i="4" s="1"/>
  <c r="L125" i="4"/>
  <c r="H133" i="4"/>
  <c r="H134" i="4" s="1"/>
  <c r="H125" i="4"/>
  <c r="J133" i="4"/>
  <c r="J134" i="4" s="1"/>
  <c r="J125" i="4"/>
  <c r="AO124" i="4"/>
  <c r="AO116" i="4"/>
  <c r="P133" i="4"/>
  <c r="P134" i="4" s="1"/>
  <c r="P125" i="4"/>
  <c r="AP124" i="4"/>
  <c r="AP116" i="4"/>
  <c r="M133" i="4"/>
  <c r="M134" i="4" s="1"/>
  <c r="M125" i="4"/>
  <c r="O133" i="4"/>
  <c r="O134" i="4" s="1"/>
  <c r="O125" i="4"/>
  <c r="P116" i="14" l="1"/>
  <c r="P115" i="14"/>
  <c r="AD108" i="14"/>
  <c r="AD114" i="14"/>
  <c r="AO108" i="14"/>
  <c r="AO114" i="14"/>
  <c r="AK116" i="14"/>
  <c r="AK115" i="14"/>
  <c r="H116" i="14"/>
  <c r="H115" i="14"/>
  <c r="AG116" i="14"/>
  <c r="AG115" i="14"/>
  <c r="F134" i="4"/>
  <c r="F116" i="14"/>
  <c r="K116" i="14"/>
  <c r="K115" i="14"/>
  <c r="AH116" i="14"/>
  <c r="AH115" i="14"/>
  <c r="AF116" i="14"/>
  <c r="AF115" i="14"/>
  <c r="I116" i="14"/>
  <c r="I115" i="14"/>
  <c r="J116" i="14"/>
  <c r="J115" i="14"/>
  <c r="Z116" i="14"/>
  <c r="Z115" i="14"/>
  <c r="N116" i="14"/>
  <c r="N115" i="14"/>
  <c r="V116" i="14"/>
  <c r="V115" i="14"/>
  <c r="AP107" i="14"/>
  <c r="AP99" i="14"/>
  <c r="AJ116" i="14"/>
  <c r="AJ115" i="14"/>
  <c r="U116" i="14"/>
  <c r="U115" i="14"/>
  <c r="O116" i="14"/>
  <c r="O115" i="14"/>
  <c r="AM116" i="14"/>
  <c r="AM115" i="14"/>
  <c r="Q114" i="14"/>
  <c r="Q108" i="14"/>
  <c r="AL116" i="14"/>
  <c r="AL115" i="14"/>
  <c r="S116" i="14"/>
  <c r="S115" i="14"/>
  <c r="AB116" i="14"/>
  <c r="AB115" i="14"/>
  <c r="R116" i="14"/>
  <c r="R115" i="14"/>
  <c r="G116" i="14"/>
  <c r="G115" i="14"/>
  <c r="X116" i="14"/>
  <c r="X115" i="14"/>
  <c r="AC116" i="14"/>
  <c r="AC115" i="14"/>
  <c r="AN116" i="14"/>
  <c r="AN115" i="14"/>
  <c r="M116" i="14"/>
  <c r="M115" i="14"/>
  <c r="T116" i="14"/>
  <c r="T115" i="14"/>
  <c r="W116" i="14"/>
  <c r="W115" i="14"/>
  <c r="E116" i="14"/>
  <c r="E115" i="14"/>
  <c r="AA116" i="14"/>
  <c r="AA115" i="14"/>
  <c r="L116" i="14"/>
  <c r="L115" i="14"/>
  <c r="AE116" i="14"/>
  <c r="AE115" i="14"/>
  <c r="F39" i="9"/>
  <c r="G36" i="9"/>
  <c r="G38" i="9" s="1"/>
  <c r="M15" i="7"/>
  <c r="M24" i="7" s="1"/>
  <c r="AO133" i="4"/>
  <c r="AO134" i="4" s="1"/>
  <c r="AO125" i="4"/>
  <c r="Q133" i="4"/>
  <c r="Q134" i="4" s="1"/>
  <c r="Q125" i="4"/>
  <c r="AP133" i="4"/>
  <c r="AP134" i="4" s="1"/>
  <c r="AP125" i="4"/>
  <c r="AP108" i="14" l="1"/>
  <c r="AP114" i="14"/>
  <c r="AO116" i="14"/>
  <c r="AO115" i="14"/>
  <c r="AD116" i="14"/>
  <c r="AD115" i="14"/>
  <c r="Q116" i="14"/>
  <c r="Q115" i="14"/>
  <c r="H36" i="9"/>
  <c r="H38" i="9" s="1"/>
  <c r="G39" i="9"/>
  <c r="Q38" i="9"/>
  <c r="R36" i="9" s="1"/>
  <c r="N15" i="7"/>
  <c r="N24" i="7" s="1"/>
  <c r="AP116" i="14" l="1"/>
  <c r="AP115" i="14"/>
  <c r="R38" i="9"/>
  <c r="AD36" i="9"/>
  <c r="AD38" i="9" s="1"/>
  <c r="AE36" i="9" s="1"/>
  <c r="I36" i="9"/>
  <c r="I38" i="9" s="1"/>
  <c r="H39" i="9"/>
  <c r="O15" i="7"/>
  <c r="O24" i="7" s="1"/>
  <c r="J36" i="9" l="1"/>
  <c r="J38" i="9" s="1"/>
  <c r="I39" i="9"/>
  <c r="R39" i="9"/>
  <c r="S36" i="9"/>
  <c r="S38" i="9" s="1"/>
  <c r="AE38" i="9"/>
  <c r="AO36" i="9"/>
  <c r="AO38" i="9" s="1"/>
  <c r="P15" i="7"/>
  <c r="P24" i="7" s="1"/>
  <c r="AE39" i="9" l="1"/>
  <c r="AF36" i="9"/>
  <c r="AF38" i="9" s="1"/>
  <c r="S39" i="9"/>
  <c r="T36" i="9"/>
  <c r="T38" i="9" s="1"/>
  <c r="K36" i="9"/>
  <c r="K38" i="9" s="1"/>
  <c r="J39" i="9"/>
  <c r="Q15" i="7"/>
  <c r="Q24" i="7" s="1"/>
  <c r="L36" i="9" l="1"/>
  <c r="L38" i="9" s="1"/>
  <c r="K39" i="9"/>
  <c r="U36" i="9"/>
  <c r="U38" i="9" s="1"/>
  <c r="T39" i="9"/>
  <c r="AG36" i="9"/>
  <c r="AG38" i="9" s="1"/>
  <c r="AF39" i="9"/>
  <c r="R15" i="7"/>
  <c r="R24" i="7" s="1"/>
  <c r="AH36" i="9" l="1"/>
  <c r="AH38" i="9" s="1"/>
  <c r="AG39" i="9"/>
  <c r="V36" i="9"/>
  <c r="V38" i="9" s="1"/>
  <c r="U39" i="9"/>
  <c r="M36" i="9"/>
  <c r="M38" i="9" s="1"/>
  <c r="L39" i="9"/>
  <c r="S15" i="7"/>
  <c r="S24" i="7" s="1"/>
  <c r="N36" i="9" l="1"/>
  <c r="N38" i="9" s="1"/>
  <c r="M39" i="9"/>
  <c r="W36" i="9"/>
  <c r="W38" i="9" s="1"/>
  <c r="V39" i="9"/>
  <c r="AH39" i="9"/>
  <c r="AI36" i="9"/>
  <c r="AI38" i="9" s="1"/>
  <c r="T15" i="7"/>
  <c r="T24" i="7" s="1"/>
  <c r="AJ36" i="9" l="1"/>
  <c r="AJ38" i="9" s="1"/>
  <c r="AI39" i="9"/>
  <c r="X36" i="9"/>
  <c r="X38" i="9" s="1"/>
  <c r="W39" i="9"/>
  <c r="O36" i="9"/>
  <c r="O38" i="9" s="1"/>
  <c r="N39" i="9"/>
  <c r="U15" i="7"/>
  <c r="U24" i="7" s="1"/>
  <c r="P36" i="9" l="1"/>
  <c r="P38" i="9" s="1"/>
  <c r="P39" i="9" s="1"/>
  <c r="O39" i="9"/>
  <c r="Y36" i="9"/>
  <c r="Y38" i="9" s="1"/>
  <c r="X39" i="9"/>
  <c r="AJ39" i="9"/>
  <c r="AK36" i="9"/>
  <c r="AK38" i="9" s="1"/>
  <c r="V15" i="7"/>
  <c r="V24" i="7" s="1"/>
  <c r="AL36" i="9" l="1"/>
  <c r="AL38" i="9" s="1"/>
  <c r="AK39" i="9"/>
  <c r="Z36" i="9"/>
  <c r="Z38" i="9" s="1"/>
  <c r="Y39" i="9"/>
  <c r="Q39" i="9"/>
  <c r="W15" i="7"/>
  <c r="W24" i="7" s="1"/>
  <c r="AA36" i="9" l="1"/>
  <c r="AA38" i="9" s="1"/>
  <c r="Z39" i="9"/>
  <c r="AM36" i="9"/>
  <c r="AM38" i="9" s="1"/>
  <c r="AL39" i="9"/>
  <c r="X15" i="7"/>
  <c r="X24" i="7" s="1"/>
  <c r="AN36" i="9" l="1"/>
  <c r="AN38" i="9" s="1"/>
  <c r="AN39" i="9" s="1"/>
  <c r="AM39" i="9"/>
  <c r="AB36" i="9"/>
  <c r="AA39" i="9"/>
  <c r="Y15" i="7"/>
  <c r="Y24" i="7" s="1"/>
  <c r="AB38" i="9" l="1"/>
  <c r="AP36" i="9"/>
  <c r="AP38" i="9" s="1"/>
  <c r="AO39" i="9"/>
  <c r="Z15" i="7"/>
  <c r="Z24" i="7" s="1"/>
  <c r="AC36" i="9" l="1"/>
  <c r="AC38" i="9" s="1"/>
  <c r="AC39" i="9" s="1"/>
  <c r="AB39" i="9"/>
  <c r="AP39" i="9" s="1"/>
  <c r="AA15" i="7"/>
  <c r="AA24" i="7" s="1"/>
  <c r="AD39" i="9" l="1"/>
  <c r="AB15" i="7"/>
  <c r="AB24" i="7" s="1"/>
  <c r="AC15" i="7" l="1"/>
  <c r="AC24" i="7" s="1"/>
  <c r="AD15" i="7" l="1"/>
  <c r="AD24" i="7" s="1"/>
  <c r="AE15" i="7" l="1"/>
  <c r="AE24" i="7" s="1"/>
  <c r="AF15" i="7" l="1"/>
  <c r="AF24" i="7" s="1"/>
  <c r="AG15" i="7" l="1"/>
  <c r="AG24" i="7" s="1"/>
  <c r="AH15" i="7" l="1"/>
  <c r="AH24" i="7" s="1"/>
  <c r="AI15" i="7" l="1"/>
  <c r="AI24" i="7" s="1"/>
  <c r="AJ15" i="7" l="1"/>
  <c r="AJ24" i="7" s="1"/>
  <c r="AL15" i="7" l="1"/>
  <c r="AL24" i="7" s="1"/>
  <c r="AK15" i="7"/>
  <c r="AK24" i="7" s="1"/>
</calcChain>
</file>

<file path=xl/sharedStrings.xml><?xml version="1.0" encoding="utf-8"?>
<sst xmlns="http://schemas.openxmlformats.org/spreadsheetml/2006/main" count="1633" uniqueCount="480">
  <si>
    <t>ABC Fire Protection</t>
  </si>
  <si>
    <t xml:space="preserve"> Inc. - Profit &amp; Loss (Jan 2023 - Oct 2025)</t>
  </si>
  <si>
    <t>Accrual Basis</t>
  </si>
  <si>
    <t>Account</t>
  </si>
  <si>
    <t>REVENUE</t>
  </si>
  <si>
    <t>Fire Sprinkler Installation</t>
  </si>
  <si>
    <t>Fire Alarm Installation</t>
  </si>
  <si>
    <t>Inspection &amp; Testing Services</t>
  </si>
  <si>
    <t>Maintenance Contracts</t>
  </si>
  <si>
    <t>WIP Adjustment</t>
  </si>
  <si>
    <t>Total Revenue</t>
  </si>
  <si>
    <t>COST OF GOODS SOLD</t>
  </si>
  <si>
    <t>Sprinkler Subcontractor Labor</t>
  </si>
  <si>
    <t>Alarm Installation Labor - Direct</t>
  </si>
  <si>
    <t>Sprinkler Materials &amp; Fittings</t>
  </si>
  <si>
    <t>Alarm Equipment &amp; Devices</t>
  </si>
  <si>
    <t>Pipe &amp; Valves</t>
  </si>
  <si>
    <t>Wire &amp; Cable</t>
  </si>
  <si>
    <t>Equipment Rental</t>
  </si>
  <si>
    <t>Vehicle Fuel - Job Related</t>
  </si>
  <si>
    <t>Job Supplies &amp; Consumables</t>
  </si>
  <si>
    <t>Subcontractor - Other</t>
  </si>
  <si>
    <t>Total COGS</t>
  </si>
  <si>
    <t>Gross Profit</t>
  </si>
  <si>
    <t>SELLING</t>
  </si>
  <si>
    <t xml:space="preserve"> GENERAL &amp; ADMINISTRATIVE</t>
  </si>
  <si>
    <t>Officer Salaries</t>
  </si>
  <si>
    <t>Office Salaries</t>
  </si>
  <si>
    <t>Project Manager Salaries</t>
  </si>
  <si>
    <t>Field Supervisor Salaries</t>
  </si>
  <si>
    <t>Bonus Expense</t>
  </si>
  <si>
    <t>Payroll Taxes</t>
  </si>
  <si>
    <t>Health Insurance</t>
  </si>
  <si>
    <t>Workers Compensation Insurance</t>
  </si>
  <si>
    <t>General Liability Insurance</t>
  </si>
  <si>
    <t>Professional Liability Insurance</t>
  </si>
  <si>
    <t>Rent - Office</t>
  </si>
  <si>
    <t>Rent - Warehouse</t>
  </si>
  <si>
    <t>Utilities</t>
  </si>
  <si>
    <t>Telephone &amp; Internet</t>
  </si>
  <si>
    <t>Vehicle Lease Payments</t>
  </si>
  <si>
    <t>Vehicle Insurance</t>
  </si>
  <si>
    <t>Vehicle Maintenance &amp; Repairs</t>
  </si>
  <si>
    <t>Fuel - Non-Job Related</t>
  </si>
  <si>
    <t>Office Supplies</t>
  </si>
  <si>
    <t>Computer &amp; Software</t>
  </si>
  <si>
    <t>Accounting &amp; Bookkeeping</t>
  </si>
  <si>
    <t>Legal &amp; Professional Fees</t>
  </si>
  <si>
    <t>Licenses &amp; Permits</t>
  </si>
  <si>
    <t>Advertising &amp; Marketing</t>
  </si>
  <si>
    <t>Bank Fees &amp; Charges</t>
  </si>
  <si>
    <t>Meals &amp; Entertainment</t>
  </si>
  <si>
    <t>Training &amp; Education</t>
  </si>
  <si>
    <t>Dues &amp; Subscriptions</t>
  </si>
  <si>
    <t>Equipment Maintenance</t>
  </si>
  <si>
    <t>Depreciation</t>
  </si>
  <si>
    <t>Miscellaneous Expense</t>
  </si>
  <si>
    <t>Total SG&amp;A</t>
  </si>
  <si>
    <t>OTHER INCOME</t>
  </si>
  <si>
    <t>Miscellaneous Income</t>
  </si>
  <si>
    <t>Total Other Income</t>
  </si>
  <si>
    <t>Net Income</t>
  </si>
  <si>
    <t>SUMIF Match</t>
  </si>
  <si>
    <t>FY</t>
  </si>
  <si>
    <t>YTD</t>
  </si>
  <si>
    <t>TTM</t>
  </si>
  <si>
    <t>Revenue</t>
  </si>
  <si>
    <t>[XX]</t>
  </si>
  <si>
    <t>($'000s)</t>
  </si>
  <si>
    <t>Cost of Goods Sold</t>
  </si>
  <si>
    <t>Operating Expense</t>
  </si>
  <si>
    <t>Other (Income) / Expense</t>
  </si>
  <si>
    <t>Net Income / (Loss)</t>
  </si>
  <si>
    <t>Operating Profit</t>
  </si>
  <si>
    <t>Reported EBITDA</t>
  </si>
  <si>
    <t>Interest Expense, net</t>
  </si>
  <si>
    <t>Depreciation Expense</t>
  </si>
  <si>
    <t>Taxes</t>
  </si>
  <si>
    <t>check to source</t>
  </si>
  <si>
    <t>Management Adjusted EBITDA</t>
  </si>
  <si>
    <t>Adjustments</t>
  </si>
  <si>
    <t>Management Adjustments</t>
  </si>
  <si>
    <t>Diligence Adjusted EBITDA</t>
  </si>
  <si>
    <t>Diligence Adjustments</t>
  </si>
  <si>
    <t>Mapping 1</t>
  </si>
  <si>
    <t>Mapping 2</t>
  </si>
  <si>
    <t>Sprinkler Sales</t>
  </si>
  <si>
    <t>Fire Alarm Sales</t>
  </si>
  <si>
    <t>COGS</t>
  </si>
  <si>
    <t>Materials &amp; Equipment</t>
  </si>
  <si>
    <t>Direct Labor</t>
  </si>
  <si>
    <t>Subcontract</t>
  </si>
  <si>
    <t>Other</t>
  </si>
  <si>
    <t>OPEX</t>
  </si>
  <si>
    <t>Personnel</t>
  </si>
  <si>
    <t>Other Income / Expense</t>
  </si>
  <si>
    <t>Insurance</t>
  </si>
  <si>
    <t>Facilities</t>
  </si>
  <si>
    <t>Vehicle</t>
  </si>
  <si>
    <t>Professional Fees</t>
  </si>
  <si>
    <t>Current Assets</t>
  </si>
  <si>
    <t>Cash</t>
  </si>
  <si>
    <t>Accounts Receivable</t>
  </si>
  <si>
    <t>SUMIF Mapping</t>
  </si>
  <si>
    <t>Non-Current Assets</t>
  </si>
  <si>
    <t>Total Assets</t>
  </si>
  <si>
    <t>Current Liabilities</t>
  </si>
  <si>
    <t>Accounts Payable</t>
  </si>
  <si>
    <t>Non-Current Liabilities</t>
  </si>
  <si>
    <t>Total Liabilities</t>
  </si>
  <si>
    <t>Equity</t>
  </si>
  <si>
    <t>Total Liabilities + Equity</t>
  </si>
  <si>
    <t>balancing check</t>
  </si>
  <si>
    <t>Net Working Capital, Reported</t>
  </si>
  <si>
    <t>NWC, Adjusted</t>
  </si>
  <si>
    <t xml:space="preserve"> Inc. - Balance Sheet (Dec 2022 - Oct 2025)</t>
  </si>
  <si>
    <t>ASSETS</t>
  </si>
  <si>
    <t>CURRENT ASSETS</t>
  </si>
  <si>
    <t>Total Current Assets</t>
  </si>
  <si>
    <t>FIXED ASSETS</t>
  </si>
  <si>
    <t>Vehicles &amp; Equipment</t>
  </si>
  <si>
    <t>Accumulated Depreciation</t>
  </si>
  <si>
    <t>Vehicles &amp; Equipment - Net</t>
  </si>
  <si>
    <t>TOTAL ASSETS</t>
  </si>
  <si>
    <t>LIABILITIES</t>
  </si>
  <si>
    <t>CURRENT LIABILITIES</t>
  </si>
  <si>
    <t>Accrued Payroll Taxes</t>
  </si>
  <si>
    <t>Accrued Bonus</t>
  </si>
  <si>
    <t>Line of Credit</t>
  </si>
  <si>
    <t>Total Current Liabilities</t>
  </si>
  <si>
    <t>LONG TERM LIABILITIES</t>
  </si>
  <si>
    <t>Total Long Term Liabilities</t>
  </si>
  <si>
    <t>TOTAL LIABILITIES</t>
  </si>
  <si>
    <t>EQUITY</t>
  </si>
  <si>
    <t>Common Stock</t>
  </si>
  <si>
    <t>Retained Earnings</t>
  </si>
  <si>
    <t>Total Equity</t>
  </si>
  <si>
    <t>TOTAL LIABILITIES &amp; EQUITY</t>
  </si>
  <si>
    <t>Fixed Assets, net</t>
  </si>
  <si>
    <t>1000-01</t>
  </si>
  <si>
    <t>1200-01</t>
  </si>
  <si>
    <t>1250-01</t>
  </si>
  <si>
    <t>1400-01</t>
  </si>
  <si>
    <t>Prepaid Insurance</t>
  </si>
  <si>
    <t>1400-02</t>
  </si>
  <si>
    <t>Prepaid Rent</t>
  </si>
  <si>
    <t>1400-03</t>
  </si>
  <si>
    <t>Other Prepaid Expenses</t>
  </si>
  <si>
    <t>Inventory - Materials</t>
  </si>
  <si>
    <t>Contract Asset (Underbillings)</t>
  </si>
  <si>
    <t>1700-01</t>
  </si>
  <si>
    <t>Vehicles</t>
  </si>
  <si>
    <t>1700-02</t>
  </si>
  <si>
    <t>Equipment</t>
  </si>
  <si>
    <t>1700-03</t>
  </si>
  <si>
    <t>Furniture &amp; Fixtures</t>
  </si>
  <si>
    <t>1750-01</t>
  </si>
  <si>
    <t>1300-01</t>
  </si>
  <si>
    <t>2000-01</t>
  </si>
  <si>
    <t>Contract Liability (Overbillings)</t>
  </si>
  <si>
    <t>2050-01</t>
  </si>
  <si>
    <t>2100-01</t>
  </si>
  <si>
    <t>Accrued Payroll</t>
  </si>
  <si>
    <t>2100-02</t>
  </si>
  <si>
    <t>2100-03</t>
  </si>
  <si>
    <t>Accrued Insurance</t>
  </si>
  <si>
    <t>2100-04</t>
  </si>
  <si>
    <t>2100-05</t>
  </si>
  <si>
    <t>Accrued Legal Settlement</t>
  </si>
  <si>
    <t>2100-06</t>
  </si>
  <si>
    <t>Accrued Other Expenses</t>
  </si>
  <si>
    <t>2200-01</t>
  </si>
  <si>
    <t>2500-01</t>
  </si>
  <si>
    <t>Vehicle Loans</t>
  </si>
  <si>
    <t>2500-02</t>
  </si>
  <si>
    <t>Equipment Loans</t>
  </si>
  <si>
    <t>3000-01</t>
  </si>
  <si>
    <t>3500-01</t>
  </si>
  <si>
    <t>Prepaid Expenses</t>
  </si>
  <si>
    <t>Cash Flow - Ops.</t>
  </si>
  <si>
    <t>Reconciling Items:</t>
  </si>
  <si>
    <t>(Increase) / Decrease from AR</t>
  </si>
  <si>
    <t>SUMIF</t>
  </si>
  <si>
    <t>AR</t>
  </si>
  <si>
    <t>CF Match</t>
  </si>
  <si>
    <t>Inventory</t>
  </si>
  <si>
    <t>Contract Asset</t>
  </si>
  <si>
    <t>(Increase) / Decrease from Inventory</t>
  </si>
  <si>
    <t>(Increase) / Decrease from Contract Asset</t>
  </si>
  <si>
    <t>(Increase) / Decrease from Prepaid Expenses</t>
  </si>
  <si>
    <t>Increase / (Decrease) from AP</t>
  </si>
  <si>
    <t>AP</t>
  </si>
  <si>
    <t>Accrued Compensation</t>
  </si>
  <si>
    <t>Contract Liability</t>
  </si>
  <si>
    <t>Increase / (Decrease) from Contract Liability</t>
  </si>
  <si>
    <t>Increase / (Decrease) from Accrued Comp.</t>
  </si>
  <si>
    <t>Increase / (Decrease) from Accrued Expenses</t>
  </si>
  <si>
    <t>Cash Inflow / (Outflow) from Operations</t>
  </si>
  <si>
    <t>Cash Flow - Investing</t>
  </si>
  <si>
    <t>Capital Expenditures</t>
  </si>
  <si>
    <t>CAPEX</t>
  </si>
  <si>
    <t>Cash Inflow / (Outflow) from Investing</t>
  </si>
  <si>
    <t>Cash Flow - Financing</t>
  </si>
  <si>
    <t>Increase / (Decrease) from LOC</t>
  </si>
  <si>
    <t>Increase / (Decrease) from Equipment Loans</t>
  </si>
  <si>
    <t>Increase / (Decrease) from Vehicle Loans</t>
  </si>
  <si>
    <t>Owner Contribution / (Distribution)</t>
  </si>
  <si>
    <t>LOC</t>
  </si>
  <si>
    <t>Change in Cash</t>
  </si>
  <si>
    <t>Beginning Balance</t>
  </si>
  <si>
    <t>Monthly Inflow / (Outflow)</t>
  </si>
  <si>
    <t>Ending Cash</t>
  </si>
  <si>
    <t>check</t>
  </si>
  <si>
    <t>Project_Number</t>
  </si>
  <si>
    <t>Project_Name</t>
  </si>
  <si>
    <t>ALM-2307</t>
  </si>
  <si>
    <t>Retail Complex - Alarm System Install</t>
  </si>
  <si>
    <t>ALM-2403</t>
  </si>
  <si>
    <t>Manufacturing Facility - Fire Detection</t>
  </si>
  <si>
    <t>ALM-2406</t>
  </si>
  <si>
    <t>Entertainment Venue - Fire Detection System</t>
  </si>
  <si>
    <t>SPR-2301</t>
  </si>
  <si>
    <t>Downtown Office Tower - Sprinkler System</t>
  </si>
  <si>
    <t>SPR-2303</t>
  </si>
  <si>
    <t>Memorial Hospital Phase II - Sprinkler Install</t>
  </si>
  <si>
    <t>SPR-2306</t>
  </si>
  <si>
    <t>University Library Renovation - Sprinklers</t>
  </si>
  <si>
    <t>SPR-2408</t>
  </si>
  <si>
    <t>Shopping Plaza Development - Sprinkler Install</t>
  </si>
  <si>
    <t>SPR-2504</t>
  </si>
  <si>
    <t>Sports Complex Renovation - Sprinkler Install</t>
  </si>
  <si>
    <t>Est. GP</t>
  </si>
  <si>
    <t>Est. GM</t>
  </si>
  <si>
    <t>% Complete</t>
  </si>
  <si>
    <t>Earned Revenue</t>
  </si>
  <si>
    <t>Billed Revenue</t>
  </si>
  <si>
    <t>(Over) / Under Billing</t>
  </si>
  <si>
    <t>Backlog - Revenue</t>
  </si>
  <si>
    <t>Backlog - GP</t>
  </si>
  <si>
    <t>Backlog - GM</t>
  </si>
  <si>
    <t>Incurred Cost</t>
  </si>
  <si>
    <t>Total Est. Cost</t>
  </si>
  <si>
    <t>Contract Value</t>
  </si>
  <si>
    <t>Project Number</t>
  </si>
  <si>
    <t>Project Name</t>
  </si>
  <si>
    <t>Total</t>
  </si>
  <si>
    <t>Customer Name</t>
  </si>
  <si>
    <t>ABC Construction Company</t>
  </si>
  <si>
    <t>City Government</t>
  </si>
  <si>
    <t>Coastal Contractors Inc</t>
  </si>
  <si>
    <t>Commercial Development Corp</t>
  </si>
  <si>
    <t>General Contractor - Smith Bros</t>
  </si>
  <si>
    <t>Heritage Building Company</t>
  </si>
  <si>
    <t>Hospital Management Group</t>
  </si>
  <si>
    <t>Industrial Real Estate Trust</t>
  </si>
  <si>
    <t>Metro Development Partners</t>
  </si>
  <si>
    <t>Premier Builders Inc</t>
  </si>
  <si>
    <t>Property Management Services</t>
  </si>
  <si>
    <t>Retail Properties LLC</t>
  </si>
  <si>
    <t>Skyline Construction Group</t>
  </si>
  <si>
    <t>Summit Properties LLC</t>
  </si>
  <si>
    <t>University Facilities</t>
  </si>
  <si>
    <t>Test &amp; Inspect</t>
  </si>
  <si>
    <t>Monitoring</t>
  </si>
  <si>
    <t>Consolidated Total</t>
  </si>
  <si>
    <t>&lt;&lt; Contract Asset per Balance Sheet</t>
  </si>
  <si>
    <t>&lt;&lt; Contract Liability per Balance Sheet</t>
  </si>
  <si>
    <t>&lt;&lt; Net Contract Asset / (Liability) per Balance Sheet</t>
  </si>
  <si>
    <t>&lt;&lt; Variance, BS Higher / (Lower) than WIP</t>
  </si>
  <si>
    <t>ALM-2301</t>
  </si>
  <si>
    <t>Regional Hospital - Fire Alarm System</t>
  </si>
  <si>
    <t>ALM-2302</t>
  </si>
  <si>
    <t>Financial District Tower - Alarm Install</t>
  </si>
  <si>
    <t>ALM-2303</t>
  </si>
  <si>
    <t>University Science Building - Fire Alarm</t>
  </si>
  <si>
    <t>ALM-2304</t>
  </si>
  <si>
    <t>Airport Terminal B - Alarm System</t>
  </si>
  <si>
    <t>ALM-2305</t>
  </si>
  <si>
    <t>Data Center Facility - Fire Detection</t>
  </si>
  <si>
    <t>ALM-2306</t>
  </si>
  <si>
    <t>Historic Building Restoration - Fire Alarm</t>
  </si>
  <si>
    <t>ALM-2308</t>
  </si>
  <si>
    <t>Corporate Campus Phase 2 - Fire Alarm</t>
  </si>
  <si>
    <t>ALM-2401</t>
  </si>
  <si>
    <t>Medical Center Expansion - Alarm System</t>
  </si>
  <si>
    <t>ALM-2402</t>
  </si>
  <si>
    <t>High-Rise Residential - Fire Alarm Install</t>
  </si>
  <si>
    <t>ALM-2404</t>
  </si>
  <si>
    <t>Transit Station Upgrade - Alarm System</t>
  </si>
  <si>
    <t>ALM-2405</t>
  </si>
  <si>
    <t>Educational Complex - Fire Alarm Install</t>
  </si>
  <si>
    <t>ALM-2407</t>
  </si>
  <si>
    <t>Logistics Hub - Fire Alarm System</t>
  </si>
  <si>
    <t>ALM-2408</t>
  </si>
  <si>
    <t>Government Complex - Alarm Upgrade</t>
  </si>
  <si>
    <t>ALM-2501</t>
  </si>
  <si>
    <t>Business Park Development - Fire Alarm</t>
  </si>
  <si>
    <t>ALM-2502</t>
  </si>
  <si>
    <t>Healthcare Tower - Fire Detection System</t>
  </si>
  <si>
    <t>ALM-2503</t>
  </si>
  <si>
    <t>Hotel Resort - Fire Alarm Install</t>
  </si>
  <si>
    <t>ALM-2504</t>
  </si>
  <si>
    <t>Cultural Center - Fire Alarm System</t>
  </si>
  <si>
    <t>MON-002</t>
  </si>
  <si>
    <t>Regional Hospital System - Monitoring Services</t>
  </si>
  <si>
    <t>MON-005</t>
  </si>
  <si>
    <t>Industrial Portfolio - Service Contract</t>
  </si>
  <si>
    <t>MON-007</t>
  </si>
  <si>
    <t>Hotel Properties - Monitoring &amp; Maintenance</t>
  </si>
  <si>
    <t>MON-008</t>
  </si>
  <si>
    <t>Corporate Real Estate - Service Agreement</t>
  </si>
  <si>
    <t>MON-012</t>
  </si>
  <si>
    <t>Shopping Centers - Service Contract</t>
  </si>
  <si>
    <t>MON-013</t>
  </si>
  <si>
    <t>Manufacturing Sites - Maintenance Services</t>
  </si>
  <si>
    <t>MON-014</t>
  </si>
  <si>
    <t>Office Buildings - Monitoring Agreement</t>
  </si>
  <si>
    <t>MON-016</t>
  </si>
  <si>
    <t>Restaurant Chain - Service Agreement</t>
  </si>
  <si>
    <t>MON-018</t>
  </si>
  <si>
    <t>Government Buildings - Maintenance Contract</t>
  </si>
  <si>
    <t>SPR-2302</t>
  </si>
  <si>
    <t>Riverside Mall Expansion - Fire Protection</t>
  </si>
  <si>
    <t>SPR-2304</t>
  </si>
  <si>
    <t>Tech Park Building C - Fire Suppression</t>
  </si>
  <si>
    <t>SPR-2305</t>
  </si>
  <si>
    <t>Airport Hangar Complex - Sprinkler System</t>
  </si>
  <si>
    <t>SPR-2307</t>
  </si>
  <si>
    <t>Manufacturing Plant East Wing - Fire Protection</t>
  </si>
  <si>
    <t>SPR-2308</t>
  </si>
  <si>
    <t>Luxury Residential Tower - Sprinkler Install</t>
  </si>
  <si>
    <t>SPR-2401</t>
  </si>
  <si>
    <t>City Convention Center - Sprinkler System</t>
  </si>
  <si>
    <t>SPR-2402</t>
  </si>
  <si>
    <t>Distribution Warehouse Complex - Fire Protection</t>
  </si>
  <si>
    <t>SPR-2403</t>
  </si>
  <si>
    <t>Medical Office Building - Sprinkler Install</t>
  </si>
  <si>
    <t>SPR-2404</t>
  </si>
  <si>
    <t>Hotel &amp; Conference Center - Fire Suppression</t>
  </si>
  <si>
    <t>SPR-2405</t>
  </si>
  <si>
    <t>School District Campus - Sprinkler System</t>
  </si>
  <si>
    <t>SPR-2406</t>
  </si>
  <si>
    <t>Industrial Park Phase 3 - Fire Protection</t>
  </si>
  <si>
    <t>SPR-2407</t>
  </si>
  <si>
    <t>Government Building Retrofit - Sprinklers</t>
  </si>
  <si>
    <t>SPR-2501</t>
  </si>
  <si>
    <t>Corporate Headquarters - Fire Protection</t>
  </si>
  <si>
    <t>SPR-2502</t>
  </si>
  <si>
    <t>Healthcare Clinic Network - Sprinkler System</t>
  </si>
  <si>
    <t>SPR-2503</t>
  </si>
  <si>
    <t>Mixed-Use Development - Fire Suppression</t>
  </si>
  <si>
    <t>TI-001</t>
  </si>
  <si>
    <t>ABC Property Management - Monthly Inspections</t>
  </si>
  <si>
    <t>TI-002</t>
  </si>
  <si>
    <t>City School District - Quarterly Testing</t>
  </si>
  <si>
    <t>TI-003</t>
  </si>
  <si>
    <t>Healthcare Group - Compliance Inspections</t>
  </si>
  <si>
    <t>TI-004</t>
  </si>
  <si>
    <t>Retail Chain - Store Inspections</t>
  </si>
  <si>
    <t>TI-005</t>
  </si>
  <si>
    <t>Office Park Portfolio - Testing Services</t>
  </si>
  <si>
    <t>TI-006</t>
  </si>
  <si>
    <t>Hotel Chain - Property Inspections</t>
  </si>
  <si>
    <t>TI-007</t>
  </si>
  <si>
    <t>Manufacturing Sites - Safety Testing</t>
  </si>
  <si>
    <t>TI-008</t>
  </si>
  <si>
    <t>Municipal Buildings - Annual Inspections</t>
  </si>
  <si>
    <t>TI-009</t>
  </si>
  <si>
    <t>Apartment Communities - Fire System Testing</t>
  </si>
  <si>
    <t>TI-010</t>
  </si>
  <si>
    <t>Restaurant Group - Kitchen Suppression Testing</t>
  </si>
  <si>
    <t>TI-011</t>
  </si>
  <si>
    <t>Warehouse Network - Sprinkler Inspections</t>
  </si>
  <si>
    <t>TI-012</t>
  </si>
  <si>
    <t>Medical Offices - Quarterly Testing</t>
  </si>
  <si>
    <t>TI-013</t>
  </si>
  <si>
    <t>Shopping Centers - Fire Safety Inspections</t>
  </si>
  <si>
    <t>TI-014</t>
  </si>
  <si>
    <t>Senior Living Facilities - Monthly Testing</t>
  </si>
  <si>
    <t>TI-015</t>
  </si>
  <si>
    <t>Corporate Offices - Annual Inspections</t>
  </si>
  <si>
    <t>TI-016</t>
  </si>
  <si>
    <t>Industrial Clients - Safety Compliance Testing</t>
  </si>
  <si>
    <t>TI-017</t>
  </si>
  <si>
    <t>Government Facilities - Inspection Services</t>
  </si>
  <si>
    <t>TI-018</t>
  </si>
  <si>
    <t>Educational Institutions - Fire System Testing</t>
  </si>
  <si>
    <t>TI-019</t>
  </si>
  <si>
    <t>Hospitality Properties - Inspection Services</t>
  </si>
  <si>
    <t>TI-020</t>
  </si>
  <si>
    <t>Commercial Portfolio - Testing &amp; Inspection</t>
  </si>
  <si>
    <t>TI-021</t>
  </si>
  <si>
    <t>Residential High-Rises - Fire Safety Testing</t>
  </si>
  <si>
    <t>TI-022</t>
  </si>
  <si>
    <t>Sports &amp; Recreation - System Inspections</t>
  </si>
  <si>
    <t>TI-023</t>
  </si>
  <si>
    <t>Religious Facilities - Annual Testing</t>
  </si>
  <si>
    <t>TI-024</t>
  </si>
  <si>
    <t>Financial Institutions - Compliance Inspections</t>
  </si>
  <si>
    <t>TI-025</t>
  </si>
  <si>
    <t>Transportation Hubs - Fire System Testing</t>
  </si>
  <si>
    <t>TI-026</t>
  </si>
  <si>
    <t>Entertainment Venues - Safety Inspections</t>
  </si>
  <si>
    <t>TI-027</t>
  </si>
  <si>
    <t>Agricultural Facilities - Fire Protection Testing</t>
  </si>
  <si>
    <t>TI-028</t>
  </si>
  <si>
    <t>Technology Companies - Office Inspections</t>
  </si>
  <si>
    <t>TI-029</t>
  </si>
  <si>
    <t>Distribution Centers - Sprinkler Testing</t>
  </si>
  <si>
    <t>TI-030</t>
  </si>
  <si>
    <t>Mixed-Use Properties - Fire Safety Services</t>
  </si>
  <si>
    <t>Total Cost</t>
  </si>
  <si>
    <t>Gross Margin %</t>
  </si>
  <si>
    <t>Type</t>
  </si>
  <si>
    <t>Maintenance/Monitoring</t>
  </si>
  <si>
    <t>Sprinkler Installation</t>
  </si>
  <si>
    <t>Test &amp; Inspection</t>
  </si>
  <si>
    <t>Customer</t>
  </si>
  <si>
    <t>End Customer Vertical</t>
  </si>
  <si>
    <t>Direct Customer Type</t>
  </si>
  <si>
    <t>Class</t>
  </si>
  <si>
    <t>Work Type</t>
  </si>
  <si>
    <t>Commercial</t>
  </si>
  <si>
    <t>General Contractor</t>
  </si>
  <si>
    <t>New Construction</t>
  </si>
  <si>
    <t>Industrial</t>
  </si>
  <si>
    <t>Property Management Company</t>
  </si>
  <si>
    <t>Retrofit</t>
  </si>
  <si>
    <t>Direct</t>
  </si>
  <si>
    <t>Healthcare</t>
  </si>
  <si>
    <t>Higher Education</t>
  </si>
  <si>
    <t>K-12</t>
  </si>
  <si>
    <t>Infrastructure</t>
  </si>
  <si>
    <t>Data Center</t>
  </si>
  <si>
    <t>Multi-Family</t>
  </si>
  <si>
    <t>Municipality</t>
  </si>
  <si>
    <t>Hospitality</t>
  </si>
  <si>
    <t>Service Contract</t>
  </si>
  <si>
    <t>Government</t>
  </si>
  <si>
    <t>Inspection</t>
  </si>
  <si>
    <t>Testing</t>
  </si>
  <si>
    <t>Religious</t>
  </si>
  <si>
    <t>Agriculture</t>
  </si>
  <si>
    <t>Cash Inflow / (Outflow) from Financing</t>
  </si>
  <si>
    <t>POC Lookback Analysis</t>
  </si>
  <si>
    <t>Recalculated Earned Revenue</t>
  </si>
  <si>
    <t>Gross Profit ($)</t>
  </si>
  <si>
    <t>Company Earned Revenue</t>
  </si>
  <si>
    <t>Recalculated Revenue Adjustment</t>
  </si>
  <si>
    <t>Job #</t>
  </si>
  <si>
    <t>Description</t>
  </si>
  <si>
    <t>Adjusted EBITDA</t>
  </si>
  <si>
    <t>x</t>
  </si>
  <si>
    <t>Grand Total</t>
  </si>
  <si>
    <t>2023 Revenue</t>
  </si>
  <si>
    <t>2024 Revenue</t>
  </si>
  <si>
    <t>YTD Oct-25 Revenue</t>
  </si>
  <si>
    <t>TTM Oct-25 Revenue</t>
  </si>
  <si>
    <t>2023 Gross Profit ($)</t>
  </si>
  <si>
    <t>2024 Gross Profit ($)</t>
  </si>
  <si>
    <t>YTD Oct-25 Gross Profit ($)</t>
  </si>
  <si>
    <t>TTM Oct-25 Gross Profit ($)</t>
  </si>
  <si>
    <t xml:space="preserve">2023 Gross Margin (%) </t>
  </si>
  <si>
    <t xml:space="preserve">2024 Gross Margin (%) </t>
  </si>
  <si>
    <t>YTD Oct-25 Gross Margin (%)</t>
  </si>
  <si>
    <t>TTM Oct-25 Gross Margin (%)</t>
  </si>
  <si>
    <t>Project #</t>
  </si>
  <si>
    <t>Start</t>
  </si>
  <si>
    <t>End</t>
  </si>
  <si>
    <t>Amount</t>
  </si>
  <si>
    <t>Billing Frequency</t>
  </si>
  <si>
    <t>Semi-Annual</t>
  </si>
  <si>
    <t>Status</t>
  </si>
  <si>
    <t>Inactive</t>
  </si>
  <si>
    <t>Annual</t>
  </si>
  <si>
    <t>Quarterly</t>
  </si>
  <si>
    <t>Note: originally billed quarterly for 10/1/2024 to 12/31/2024; billed annually in Dec-24 for 1/1/2025 to 12/31/2025.  Amount reflected here is for 2025 contract amount.</t>
  </si>
  <si>
    <t>Active</t>
  </si>
  <si>
    <t>Note: originally billed annually for 7/1/2024 to 6/30/2024 in June 2024 for amount $68,364; billed annually in Mar-25 for 4/1/2025 to 4/30/2026.  Amount reflected here is for current contract amount.</t>
  </si>
  <si>
    <t>Note: reflects original contract that was billed in Mar-24 due to error.  Contract was extended for quarter four of 2024 in Sep-24 and client was billed $15,240 in Sep-24.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</si>
</sst>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i/>
      <sz val="8"/>
      <color theme="0"/>
      <name val="Arial"/>
      <family val="2"/>
    </font>
    <font>
      <i/>
      <sz val="8"/>
      <color theme="1"/>
      <name val="Arial"/>
      <family val="2"/>
    </font>
    <font>
      <i/>
      <sz val="8"/>
      <color rgb="FFFF0000"/>
      <name val="Arial"/>
      <family val="2"/>
    </font>
    <font>
      <b/>
      <i/>
      <sz val="8"/>
      <color theme="1"/>
      <name val="Arial"/>
      <family val="2"/>
    </font>
    <font>
      <i/>
      <sz val="9"/>
      <color theme="1"/>
      <name val="Arial"/>
      <family val="2"/>
    </font>
    <font>
      <b/>
      <u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84">
    <xf numFmtId="0" fontId="0" fillId="0" borderId="0" xfId="0"/>
    <xf numFmtId="17" fontId="0" fillId="0" borderId="0" xfId="0" applyNumberFormat="1"/>
    <xf numFmtId="43" fontId="0" fillId="0" borderId="0" xfId="1" applyFont="1"/>
    <xf numFmtId="0" fontId="0" fillId="2" borderId="0" xfId="0" applyFill="1"/>
    <xf numFmtId="0" fontId="3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/>
    <xf numFmtId="164" fontId="4" fillId="3" borderId="0" xfId="0" applyNumberFormat="1" applyFont="1" applyFill="1" applyAlignment="1">
      <alignment horizontal="center"/>
    </xf>
    <xf numFmtId="0" fontId="3" fillId="0" borderId="1" xfId="0" applyFont="1" applyBorder="1"/>
    <xf numFmtId="0" fontId="3" fillId="4" borderId="0" xfId="0" applyFont="1" applyFill="1"/>
    <xf numFmtId="0" fontId="3" fillId="0" borderId="6" xfId="0" applyFont="1" applyBorder="1"/>
    <xf numFmtId="0" fontId="5" fillId="2" borderId="2" xfId="0" applyFont="1" applyFill="1" applyBorder="1"/>
    <xf numFmtId="0" fontId="3" fillId="2" borderId="3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2" borderId="11" xfId="0" applyFont="1" applyFill="1" applyBorder="1"/>
    <xf numFmtId="165" fontId="3" fillId="4" borderId="0" xfId="1" applyNumberFormat="1" applyFont="1" applyFill="1"/>
    <xf numFmtId="165" fontId="3" fillId="0" borderId="0" xfId="1" applyNumberFormat="1" applyFont="1" applyFill="1"/>
    <xf numFmtId="165" fontId="3" fillId="4" borderId="9" xfId="0" applyNumberFormat="1" applyFont="1" applyFill="1" applyBorder="1"/>
    <xf numFmtId="165" fontId="3" fillId="0" borderId="9" xfId="0" applyNumberFormat="1" applyFont="1" applyFill="1" applyBorder="1"/>
    <xf numFmtId="0" fontId="4" fillId="3" borderId="12" xfId="0" applyFont="1" applyFill="1" applyBorder="1"/>
    <xf numFmtId="0" fontId="6" fillId="3" borderId="12" xfId="0" applyFont="1" applyFill="1" applyBorder="1"/>
    <xf numFmtId="0" fontId="3" fillId="0" borderId="12" xfId="0" applyFont="1" applyBorder="1"/>
    <xf numFmtId="0" fontId="5" fillId="0" borderId="12" xfId="0" applyFont="1" applyBorder="1"/>
    <xf numFmtId="0" fontId="3" fillId="4" borderId="12" xfId="0" applyFont="1" applyFill="1" applyBorder="1" applyAlignment="1">
      <alignment horizontal="left" indent="1"/>
    </xf>
    <xf numFmtId="0" fontId="3" fillId="4" borderId="12" xfId="0" applyFont="1" applyFill="1" applyBorder="1"/>
    <xf numFmtId="0" fontId="3" fillId="0" borderId="12" xfId="0" applyFont="1" applyBorder="1" applyAlignment="1">
      <alignment horizontal="left" indent="1"/>
    </xf>
    <xf numFmtId="0" fontId="3" fillId="0" borderId="12" xfId="0" applyFont="1" applyBorder="1" applyAlignment="1">
      <alignment horizontal="left" indent="2"/>
    </xf>
    <xf numFmtId="165" fontId="3" fillId="0" borderId="6" xfId="1" applyNumberFormat="1" applyFont="1" applyFill="1" applyBorder="1"/>
    <xf numFmtId="165" fontId="3" fillId="0" borderId="11" xfId="0" applyNumberFormat="1" applyFont="1" applyFill="1" applyBorder="1"/>
    <xf numFmtId="0" fontId="3" fillId="0" borderId="12" xfId="0" applyFont="1" applyFill="1" applyBorder="1" applyAlignment="1">
      <alignment horizontal="left" indent="1"/>
    </xf>
    <xf numFmtId="0" fontId="3" fillId="0" borderId="0" xfId="0" applyFont="1" applyFill="1"/>
    <xf numFmtId="0" fontId="3" fillId="0" borderId="12" xfId="0" applyFont="1" applyFill="1" applyBorder="1"/>
    <xf numFmtId="0" fontId="4" fillId="3" borderId="8" xfId="0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0" fontId="8" fillId="0" borderId="12" xfId="0" applyFont="1" applyBorder="1"/>
    <xf numFmtId="0" fontId="8" fillId="0" borderId="0" xfId="0" applyFont="1"/>
    <xf numFmtId="0" fontId="3" fillId="0" borderId="5" xfId="0" applyFont="1" applyFill="1" applyBorder="1" applyAlignment="1">
      <alignment horizontal="left" indent="2"/>
    </xf>
    <xf numFmtId="0" fontId="3" fillId="0" borderId="6" xfId="0" applyFont="1" applyFill="1" applyBorder="1"/>
    <xf numFmtId="165" fontId="5" fillId="2" borderId="3" xfId="1" applyNumberFormat="1" applyFont="1" applyFill="1" applyBorder="1"/>
    <xf numFmtId="165" fontId="5" fillId="2" borderId="10" xfId="1" applyNumberFormat="1" applyFont="1" applyFill="1" applyBorder="1"/>
    <xf numFmtId="0" fontId="5" fillId="2" borderId="3" xfId="0" applyFont="1" applyFill="1" applyBorder="1"/>
    <xf numFmtId="9" fontId="7" fillId="4" borderId="0" xfId="2" applyFont="1" applyFill="1"/>
    <xf numFmtId="9" fontId="7" fillId="4" borderId="9" xfId="2" applyFont="1" applyFill="1" applyBorder="1"/>
    <xf numFmtId="9" fontId="7" fillId="0" borderId="0" xfId="0" applyNumberFormat="1" applyFont="1"/>
    <xf numFmtId="9" fontId="7" fillId="0" borderId="9" xfId="0" applyNumberFormat="1" applyFont="1" applyBorder="1"/>
    <xf numFmtId="9" fontId="9" fillId="2" borderId="6" xfId="0" applyNumberFormat="1" applyFont="1" applyFill="1" applyBorder="1"/>
    <xf numFmtId="9" fontId="9" fillId="2" borderId="11" xfId="0" applyNumberFormat="1" applyFont="1" applyFill="1" applyBorder="1"/>
    <xf numFmtId="9" fontId="7" fillId="0" borderId="0" xfId="2" applyFont="1" applyFill="1"/>
    <xf numFmtId="9" fontId="7" fillId="0" borderId="9" xfId="2" applyFont="1" applyFill="1" applyBorder="1"/>
    <xf numFmtId="0" fontId="3" fillId="0" borderId="0" xfId="0" applyFont="1" applyBorder="1" applyAlignment="1">
      <alignment horizontal="left"/>
    </xf>
    <xf numFmtId="43" fontId="8" fillId="0" borderId="0" xfId="1" applyFont="1"/>
    <xf numFmtId="43" fontId="8" fillId="0" borderId="9" xfId="0" applyNumberFormat="1" applyFont="1" applyBorder="1"/>
    <xf numFmtId="43" fontId="8" fillId="0" borderId="9" xfId="1" applyFont="1" applyBorder="1"/>
    <xf numFmtId="165" fontId="3" fillId="0" borderId="0" xfId="1" applyNumberFormat="1" applyFont="1"/>
    <xf numFmtId="165" fontId="3" fillId="0" borderId="6" xfId="1" applyNumberFormat="1" applyFont="1" applyBorder="1"/>
    <xf numFmtId="0" fontId="5" fillId="4" borderId="0" xfId="0" applyFont="1" applyFill="1"/>
    <xf numFmtId="165" fontId="5" fillId="4" borderId="0" xfId="1" applyNumberFormat="1" applyFont="1" applyFill="1"/>
    <xf numFmtId="165" fontId="3" fillId="0" borderId="8" xfId="1" applyNumberFormat="1" applyFont="1" applyBorder="1"/>
    <xf numFmtId="165" fontId="3" fillId="0" borderId="7" xfId="1" applyNumberFormat="1" applyFont="1" applyBorder="1"/>
    <xf numFmtId="165" fontId="5" fillId="4" borderId="8" xfId="1" applyNumberFormat="1" applyFont="1" applyFill="1" applyBorder="1"/>
    <xf numFmtId="0" fontId="4" fillId="3" borderId="8" xfId="0" applyFont="1" applyFill="1" applyBorder="1"/>
    <xf numFmtId="164" fontId="4" fillId="3" borderId="8" xfId="0" applyNumberFormat="1" applyFont="1" applyFill="1" applyBorder="1"/>
    <xf numFmtId="0" fontId="3" fillId="0" borderId="5" xfId="0" applyFont="1" applyBorder="1" applyAlignment="1">
      <alignment horizontal="left" indent="1"/>
    </xf>
    <xf numFmtId="0" fontId="5" fillId="4" borderId="12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165" fontId="5" fillId="4" borderId="15" xfId="1" applyNumberFormat="1" applyFont="1" applyFill="1" applyBorder="1"/>
    <xf numFmtId="165" fontId="5" fillId="4" borderId="14" xfId="1" applyNumberFormat="1" applyFont="1" applyFill="1" applyBorder="1"/>
    <xf numFmtId="0" fontId="8" fillId="0" borderId="2" xfId="0" applyFont="1" applyBorder="1"/>
    <xf numFmtId="165" fontId="8" fillId="0" borderId="0" xfId="0" applyNumberFormat="1" applyFont="1"/>
    <xf numFmtId="165" fontId="8" fillId="0" borderId="4" xfId="0" applyNumberFormat="1" applyFont="1" applyBorder="1"/>
    <xf numFmtId="0" fontId="3" fillId="0" borderId="5" xfId="0" applyFont="1" applyBorder="1" applyAlignment="1">
      <alignment horizontal="left" indent="2"/>
    </xf>
    <xf numFmtId="0" fontId="3" fillId="0" borderId="13" xfId="0" applyFont="1" applyBorder="1" applyAlignment="1">
      <alignment horizontal="left" indent="1"/>
    </xf>
    <xf numFmtId="0" fontId="3" fillId="0" borderId="14" xfId="0" applyFont="1" applyBorder="1"/>
    <xf numFmtId="165" fontId="3" fillId="0" borderId="15" xfId="1" applyNumberFormat="1" applyFont="1" applyBorder="1"/>
    <xf numFmtId="165" fontId="3" fillId="0" borderId="14" xfId="1" applyNumberFormat="1" applyFont="1" applyBorder="1"/>
    <xf numFmtId="0" fontId="0" fillId="0" borderId="6" xfId="0" applyBorder="1"/>
    <xf numFmtId="43" fontId="0" fillId="0" borderId="6" xfId="1" applyFont="1" applyBorder="1"/>
    <xf numFmtId="41" fontId="0" fillId="0" borderId="0" xfId="3" applyFont="1"/>
    <xf numFmtId="41" fontId="0" fillId="0" borderId="14" xfId="3" applyFont="1" applyBorder="1"/>
    <xf numFmtId="41" fontId="0" fillId="0" borderId="0" xfId="0" applyNumberFormat="1"/>
    <xf numFmtId="0" fontId="3" fillId="0" borderId="0" xfId="0" applyFont="1" applyBorder="1"/>
    <xf numFmtId="165" fontId="3" fillId="0" borderId="0" xfId="1" applyNumberFormat="1" applyFont="1" applyBorder="1"/>
    <xf numFmtId="0" fontId="1" fillId="0" borderId="12" xfId="0" applyFont="1" applyBorder="1" applyAlignment="1">
      <alignment horizontal="left" indent="1"/>
    </xf>
    <xf numFmtId="0" fontId="1" fillId="0" borderId="5" xfId="0" applyFont="1" applyBorder="1" applyAlignment="1">
      <alignment horizontal="left" indent="1"/>
    </xf>
    <xf numFmtId="0" fontId="1" fillId="0" borderId="0" xfId="0" applyFont="1"/>
    <xf numFmtId="0" fontId="5" fillId="0" borderId="0" xfId="0" applyFont="1"/>
    <xf numFmtId="41" fontId="1" fillId="0" borderId="0" xfId="3" applyFont="1"/>
    <xf numFmtId="41" fontId="1" fillId="0" borderId="0" xfId="0" applyNumberFormat="1" applyFont="1"/>
    <xf numFmtId="0" fontId="1" fillId="0" borderId="0" xfId="0" applyFont="1" applyBorder="1"/>
    <xf numFmtId="41" fontId="5" fillId="2" borderId="3" xfId="3" applyFont="1" applyFill="1" applyBorder="1"/>
    <xf numFmtId="0" fontId="1" fillId="0" borderId="8" xfId="0" applyFont="1" applyBorder="1"/>
    <xf numFmtId="41" fontId="1" fillId="0" borderId="8" xfId="0" applyNumberFormat="1" applyFont="1" applyBorder="1"/>
    <xf numFmtId="0" fontId="1" fillId="0" borderId="9" xfId="0" applyFont="1" applyBorder="1"/>
    <xf numFmtId="41" fontId="1" fillId="0" borderId="9" xfId="0" applyNumberFormat="1" applyFont="1" applyBorder="1"/>
    <xf numFmtId="41" fontId="5" fillId="2" borderId="10" xfId="3" applyFont="1" applyFill="1" applyBorder="1"/>
    <xf numFmtId="41" fontId="1" fillId="0" borderId="9" xfId="3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indent="2"/>
    </xf>
    <xf numFmtId="0" fontId="1" fillId="0" borderId="12" xfId="0" applyFont="1" applyBorder="1" applyAlignment="1">
      <alignment horizontal="left" indent="3"/>
    </xf>
    <xf numFmtId="0" fontId="1" fillId="0" borderId="1" xfId="0" applyFont="1" applyBorder="1"/>
    <xf numFmtId="0" fontId="5" fillId="2" borderId="13" xfId="0" applyFont="1" applyFill="1" applyBorder="1"/>
    <xf numFmtId="0" fontId="5" fillId="2" borderId="14" xfId="0" applyFont="1" applyFill="1" applyBorder="1"/>
    <xf numFmtId="41" fontId="5" fillId="2" borderId="14" xfId="3" applyFont="1" applyFill="1" applyBorder="1"/>
    <xf numFmtId="41" fontId="5" fillId="2" borderId="16" xfId="3" applyFont="1" applyFill="1" applyBorder="1"/>
    <xf numFmtId="0" fontId="10" fillId="0" borderId="0" xfId="0" applyFont="1"/>
    <xf numFmtId="41" fontId="8" fillId="0" borderId="0" xfId="3" applyFont="1"/>
    <xf numFmtId="0" fontId="1" fillId="0" borderId="0" xfId="0" applyFont="1" applyAlignment="1">
      <alignment horizontal="center" wrapText="1"/>
    </xf>
    <xf numFmtId="41" fontId="5" fillId="2" borderId="14" xfId="0" applyNumberFormat="1" applyFont="1" applyFill="1" applyBorder="1"/>
    <xf numFmtId="9" fontId="5" fillId="2" borderId="14" xfId="2" applyFont="1" applyFill="1" applyBorder="1" applyAlignment="1">
      <alignment horizontal="center"/>
    </xf>
    <xf numFmtId="9" fontId="5" fillId="2" borderId="15" xfId="2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41" fontId="1" fillId="0" borderId="0" xfId="3" applyFont="1" applyBorder="1"/>
    <xf numFmtId="9" fontId="1" fillId="0" borderId="0" xfId="2" applyFont="1" applyBorder="1" applyAlignment="1">
      <alignment horizontal="center"/>
    </xf>
    <xf numFmtId="41" fontId="1" fillId="0" borderId="0" xfId="0" applyNumberFormat="1" applyFont="1" applyBorder="1"/>
    <xf numFmtId="9" fontId="1" fillId="0" borderId="8" xfId="2" applyFont="1" applyBorder="1" applyAlignment="1">
      <alignment horizontal="center"/>
    </xf>
    <xf numFmtId="41" fontId="1" fillId="0" borderId="17" xfId="0" applyNumberFormat="1" applyFont="1" applyBorder="1"/>
    <xf numFmtId="41" fontId="5" fillId="2" borderId="18" xfId="0" applyNumberFormat="1" applyFont="1" applyFill="1" applyBorder="1"/>
    <xf numFmtId="41" fontId="5" fillId="2" borderId="15" xfId="0" applyNumberFormat="1" applyFont="1" applyFill="1" applyBorder="1"/>
    <xf numFmtId="0" fontId="6" fillId="3" borderId="2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/>
    <xf numFmtId="164" fontId="4" fillId="3" borderId="0" xfId="0" applyNumberFormat="1" applyFont="1" applyFill="1" applyBorder="1"/>
    <xf numFmtId="0" fontId="4" fillId="3" borderId="0" xfId="0" applyFont="1" applyFill="1" applyBorder="1" applyAlignment="1">
      <alignment horizontal="center"/>
    </xf>
    <xf numFmtId="164" fontId="4" fillId="3" borderId="0" xfId="0" applyNumberFormat="1" applyFont="1" applyFill="1" applyBorder="1" applyAlignment="1">
      <alignment horizontal="center"/>
    </xf>
    <xf numFmtId="41" fontId="5" fillId="2" borderId="16" xfId="0" applyNumberFormat="1" applyFont="1" applyFill="1" applyBorder="1"/>
    <xf numFmtId="0" fontId="1" fillId="4" borderId="12" xfId="0" applyFont="1" applyFill="1" applyBorder="1" applyAlignment="1">
      <alignment horizontal="left" indent="1"/>
    </xf>
    <xf numFmtId="0" fontId="1" fillId="4" borderId="0" xfId="0" applyFont="1" applyFill="1" applyBorder="1"/>
    <xf numFmtId="41" fontId="1" fillId="4" borderId="0" xfId="3" applyFont="1" applyFill="1" applyBorder="1"/>
    <xf numFmtId="41" fontId="1" fillId="4" borderId="9" xfId="0" applyNumberFormat="1" applyFont="1" applyFill="1" applyBorder="1"/>
    <xf numFmtId="41" fontId="1" fillId="4" borderId="8" xfId="0" applyNumberFormat="1" applyFont="1" applyFill="1" applyBorder="1"/>
    <xf numFmtId="0" fontId="11" fillId="0" borderId="0" xfId="0" applyFont="1"/>
    <xf numFmtId="41" fontId="1" fillId="0" borderId="3" xfId="0" applyNumberFormat="1" applyFont="1" applyBorder="1"/>
    <xf numFmtId="41" fontId="5" fillId="0" borderId="19" xfId="0" applyNumberFormat="1" applyFont="1" applyBorder="1"/>
    <xf numFmtId="0" fontId="1" fillId="0" borderId="3" xfId="0" applyFont="1" applyBorder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4" fillId="3" borderId="0" xfId="0" applyFont="1" applyFill="1" applyBorder="1" applyAlignment="1">
      <alignment wrapText="1"/>
    </xf>
    <xf numFmtId="0" fontId="4" fillId="3" borderId="0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1" fillId="0" borderId="5" xfId="0" applyFont="1" applyBorder="1"/>
    <xf numFmtId="41" fontId="1" fillId="0" borderId="6" xfId="3" applyFont="1" applyBorder="1"/>
    <xf numFmtId="41" fontId="1" fillId="0" borderId="6" xfId="0" applyNumberFormat="1" applyFont="1" applyBorder="1"/>
    <xf numFmtId="9" fontId="1" fillId="0" borderId="7" xfId="2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8" xfId="0" applyFont="1" applyBorder="1"/>
    <xf numFmtId="0" fontId="5" fillId="0" borderId="8" xfId="0" applyFont="1" applyBorder="1"/>
    <xf numFmtId="9" fontId="5" fillId="2" borderId="14" xfId="2" applyFont="1" applyFill="1" applyBorder="1"/>
    <xf numFmtId="9" fontId="5" fillId="2" borderId="16" xfId="2" applyFont="1" applyFill="1" applyBorder="1"/>
    <xf numFmtId="9" fontId="5" fillId="2" borderId="15" xfId="2" applyFont="1" applyFill="1" applyBorder="1"/>
    <xf numFmtId="9" fontId="1" fillId="0" borderId="0" xfId="2" applyFont="1" applyBorder="1"/>
    <xf numFmtId="9" fontId="1" fillId="0" borderId="9" xfId="2" applyFont="1" applyBorder="1"/>
    <xf numFmtId="9" fontId="1" fillId="0" borderId="8" xfId="2" applyFont="1" applyBorder="1"/>
    <xf numFmtId="0" fontId="8" fillId="0" borderId="0" xfId="0" applyFont="1" applyBorder="1"/>
    <xf numFmtId="41" fontId="8" fillId="0" borderId="0" xfId="3" applyFont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12" xfId="0" applyFont="1" applyBorder="1" applyAlignment="1">
      <alignment horizontal="center" wrapText="1"/>
    </xf>
    <xf numFmtId="41" fontId="1" fillId="0" borderId="12" xfId="0" applyNumberFormat="1" applyFont="1" applyBorder="1"/>
    <xf numFmtId="0" fontId="1" fillId="0" borderId="1" xfId="0" applyFont="1" applyBorder="1" applyAlignment="1">
      <alignment horizontal="center"/>
    </xf>
    <xf numFmtId="0" fontId="4" fillId="3" borderId="4" xfId="0" applyFont="1" applyFill="1" applyBorder="1"/>
    <xf numFmtId="14" fontId="1" fillId="0" borderId="0" xfId="0" applyNumberFormat="1" applyFont="1" applyBorder="1"/>
    <xf numFmtId="0" fontId="1" fillId="0" borderId="8" xfId="0" applyNumberFormat="1" applyFont="1" applyBorder="1"/>
    <xf numFmtId="0" fontId="1" fillId="0" borderId="8" xfId="3" applyNumberFormat="1" applyFont="1" applyBorder="1"/>
    <xf numFmtId="0" fontId="1" fillId="0" borderId="6" xfId="0" applyFont="1" applyBorder="1"/>
    <xf numFmtId="14" fontId="1" fillId="0" borderId="6" xfId="0" applyNumberFormat="1" applyFont="1" applyBorder="1"/>
    <xf numFmtId="0" fontId="1" fillId="0" borderId="7" xfId="0" applyNumberFormat="1" applyFont="1" applyBorder="1"/>
    <xf numFmtId="165" fontId="3" fillId="0" borderId="0" xfId="0" applyNumberFormat="1" applyFont="1"/>
    <xf numFmtId="43" fontId="3" fillId="0" borderId="0" xfId="0" applyNumberFormat="1" applyFont="1"/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1026"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wrapText="1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wrapText="1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wrapText="1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wrapText="1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wrapText="1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wrapText="1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wrapText="1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alignment wrapText="1"/>
    </dxf>
    <dxf>
      <alignment horizontal="center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center"/>
    </dxf>
    <dxf>
      <alignment wrapText="1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Schaefer" refreshedDate="45987.517785763892" createdVersion="8" refreshedVersion="8" minRefreshableVersion="3" recordCount="40" xr:uid="{D36081A3-36FC-48A8-AB63-4B904B0108EF}">
  <cacheSource type="worksheet">
    <worksheetSource ref="B7:II47" sheet="7. POC Lookback Summary"/>
  </cacheSource>
  <cacheFields count="246">
    <cacheField name="Job #" numFmtId="0">
      <sharedItems count="40">
        <s v="ALM-2301"/>
        <s v="ALM-2302"/>
        <s v="ALM-2303"/>
        <s v="ALM-2304"/>
        <s v="ALM-2305"/>
        <s v="ALM-2306"/>
        <s v="ALM-2307"/>
        <s v="ALM-2308"/>
        <s v="ALM-2401"/>
        <s v="ALM-2402"/>
        <s v="ALM-2403"/>
        <s v="ALM-2404"/>
        <s v="ALM-2405"/>
        <s v="ALM-2406"/>
        <s v="ALM-2407"/>
        <s v="ALM-2408"/>
        <s v="ALM-2501"/>
        <s v="ALM-2502"/>
        <s v="ALM-2503"/>
        <s v="ALM-2504"/>
        <s v="SPR-2301"/>
        <s v="SPR-2302"/>
        <s v="SPR-2303"/>
        <s v="SPR-2304"/>
        <s v="SPR-2305"/>
        <s v="SPR-2306"/>
        <s v="SPR-2307"/>
        <s v="SPR-2308"/>
        <s v="SPR-2401"/>
        <s v="SPR-2402"/>
        <s v="SPR-2403"/>
        <s v="SPR-2404"/>
        <s v="SPR-2405"/>
        <s v="SPR-2406"/>
        <s v="SPR-2407"/>
        <s v="SPR-2408"/>
        <s v="SPR-2501"/>
        <s v="SPR-2502"/>
        <s v="SPR-2503"/>
        <s v="SPR-2504"/>
      </sharedItems>
    </cacheField>
    <cacheField name="Description" numFmtId="0">
      <sharedItems count="40">
        <s v="Regional Hospital - Fire Alarm System"/>
        <s v="Financial District Tower - Alarm Install"/>
        <s v="University Science Building - Fire Alarm"/>
        <s v="Airport Terminal B - Alarm System"/>
        <s v="Data Center Facility - Fire Detection"/>
        <s v="Historic Building Restoration - Fire Alarm"/>
        <s v="Retail Complex - Alarm System Install"/>
        <s v="Corporate Campus Phase 2 - Fire Alarm"/>
        <s v="Medical Center Expansion - Alarm System"/>
        <s v="High-Rise Residential - Fire Alarm Install"/>
        <s v="Manufacturing Facility - Fire Detection"/>
        <s v="Transit Station Upgrade - Alarm System"/>
        <s v="Educational Complex - Fire Alarm Install"/>
        <s v="Entertainment Venue - Fire Detection System"/>
        <s v="Logistics Hub - Fire Alarm System"/>
        <s v="Government Complex - Alarm Upgrade"/>
        <s v="Business Park Development - Fire Alarm"/>
        <s v="Healthcare Tower - Fire Detection System"/>
        <s v="Hotel Resort - Fire Alarm Install"/>
        <s v="Cultural Center - Fire Alarm System"/>
        <s v="Downtown Office Tower - Sprinkler System"/>
        <s v="Riverside Mall Expansion - Fire Protection"/>
        <s v="Memorial Hospital Phase II - Sprinkler Install"/>
        <s v="Tech Park Building C - Fire Suppression"/>
        <s v="Airport Hangar Complex - Sprinkler System"/>
        <s v="University Library Renovation - Sprinklers"/>
        <s v="Manufacturing Plant East Wing - Fire Protection"/>
        <s v="Luxury Residential Tower - Sprinkler Install"/>
        <s v="City Convention Center - Sprinkler System"/>
        <s v="Distribution Warehouse Complex - Fire Protection"/>
        <s v="Medical Office Building - Sprinkler Install"/>
        <s v="Hotel &amp; Conference Center - Fire Suppression"/>
        <s v="School District Campus - Sprinkler System"/>
        <s v="Industrial Park Phase 3 - Fire Protection"/>
        <s v="Government Building Retrofit - Sprinklers"/>
        <s v="Shopping Plaza Development - Sprinkler Install"/>
        <s v="Corporate Headquarters - Fire Protection"/>
        <s v="Healthcare Clinic Network - Sprinkler System"/>
        <s v="Mixed-Use Development - Fire Suppression"/>
        <s v="Sports Complex Renovation - Sprinkler Install"/>
      </sharedItems>
    </cacheField>
    <cacheField name="Customer" numFmtId="0">
      <sharedItems count="15">
        <s v="ABC Construction Company"/>
        <s v="Skyline Construction Group"/>
        <s v="Property Management Services"/>
        <s v="Industrial Real Estate Trust"/>
        <s v="City Government"/>
        <s v="Hospital Management Group"/>
        <s v="General Contractor - Smith Bros"/>
        <s v="Metro Development Partners"/>
        <s v="University Facilities"/>
        <s v="Commercial Development Corp"/>
        <s v="Heritage Building Company"/>
        <s v="Retail Properties LLC"/>
        <s v="Coastal Contractors Inc"/>
        <s v="Summit Properties LLC"/>
        <s v="Premier Builders Inc"/>
      </sharedItems>
    </cacheField>
    <cacheField name="Work Type" numFmtId="0">
      <sharedItems count="2">
        <s v="Fire Alarm Installation"/>
        <s v="Sprinkler Installation"/>
      </sharedItems>
    </cacheField>
    <cacheField name="End Customer Vertical" numFmtId="0">
      <sharedItems count="10">
        <s v="Healthcare"/>
        <s v="Commercial"/>
        <s v="Higher Education"/>
        <s v="Infrastructure"/>
        <s v="Data Center"/>
        <s v="Multi-Family"/>
        <s v="Industrial"/>
        <s v="Hospitality"/>
        <s v="Government"/>
        <s v="K-12"/>
      </sharedItems>
    </cacheField>
    <cacheField name="Direct Customer Type" numFmtId="0">
      <sharedItems count="4">
        <s v="General Contractor"/>
        <s v="Property Management Company"/>
        <s v="Direct"/>
        <s v="Municipality"/>
      </sharedItems>
    </cacheField>
    <cacheField name="Class" numFmtId="0">
      <sharedItems count="2">
        <s v="New Construction"/>
        <s v="Retrofit"/>
      </sharedItems>
    </cacheField>
    <cacheField name="x" numFmtId="0">
      <sharedItems containsNonDate="0" containsString="0" containsBlank="1"/>
    </cacheField>
    <cacheField name="x2" numFmtId="0">
      <sharedItems containsNonDate="0" containsString="0" containsBlank="1"/>
    </cacheField>
    <cacheField name="Jan-23" numFmtId="41">
      <sharedItems containsSemiMixedTypes="0" containsString="0" containsNumber="1" minValue="0" maxValue="146530.79336319317"/>
    </cacheField>
    <cacheField name="Feb-23" numFmtId="41">
      <sharedItems containsSemiMixedTypes="0" containsString="0" containsNumber="1" minValue="0" maxValue="41190.024999999994"/>
    </cacheField>
    <cacheField name="Mar-23" numFmtId="41">
      <sharedItems containsSemiMixedTypes="0" containsString="0" containsNumber="1" minValue="0" maxValue="47220.783116439932"/>
    </cacheField>
    <cacheField name="Apr-23" numFmtId="41">
      <sharedItems containsSemiMixedTypes="0" containsString="0" containsNumber="1" minValue="0" maxValue="30165.886583387906"/>
    </cacheField>
    <cacheField name="May-23" numFmtId="41">
      <sharedItems containsSemiMixedTypes="0" containsString="0" containsNumber="1" minValue="0" maxValue="32123.97500000006"/>
    </cacheField>
    <cacheField name="Jun-23" numFmtId="41">
      <sharedItems containsSemiMixedTypes="0" containsString="0" containsNumber="1" minValue="0" maxValue="69353.4375"/>
    </cacheField>
    <cacheField name="Jul-23" numFmtId="41">
      <sharedItems containsSemiMixedTypes="0" containsString="0" containsNumber="1" minValue="0" maxValue="53934.881000000001"/>
    </cacheField>
    <cacheField name="Aug-23" numFmtId="41">
      <sharedItems containsSemiMixedTypes="0" containsString="0" containsNumber="1" minValue="0" maxValue="49992.799550461161"/>
    </cacheField>
    <cacheField name="Sep-23" numFmtId="41">
      <sharedItems containsSemiMixedTypes="0" containsString="0" containsNumber="1" minValue="0" maxValue="131067.53750000001"/>
    </cacheField>
    <cacheField name="Oct-23" numFmtId="41">
      <sharedItems containsSemiMixedTypes="0" containsString="0" containsNumber="1" minValue="0" maxValue="24831.468862477315"/>
    </cacheField>
    <cacheField name="Nov-23" numFmtId="41">
      <sharedItems containsSemiMixedTypes="0" containsString="0" containsNumber="1" minValue="0" maxValue="35474.682764633122"/>
    </cacheField>
    <cacheField name="Dec-23" numFmtId="41">
      <sharedItems containsSemiMixedTypes="0" containsString="0" containsNumber="1" minValue="0" maxValue="102607.08916833374"/>
    </cacheField>
    <cacheField name="2023" numFmtId="41">
      <sharedItems containsSemiMixedTypes="0" containsString="0" containsNumber="1" minValue="12185.082000000006" maxValue="304109.81250000006"/>
    </cacheField>
    <cacheField name="Jan-24" numFmtId="41">
      <sharedItems containsSemiMixedTypes="0" containsString="0" containsNumber="1" minValue="0" maxValue="55933.968712714195"/>
    </cacheField>
    <cacheField name="Feb-24" numFmtId="41">
      <sharedItems containsSemiMixedTypes="0" containsString="0" containsNumber="1" minValue="0" maxValue="57746.912499999999"/>
    </cacheField>
    <cacheField name="Mar-24" numFmtId="41">
      <sharedItems containsSemiMixedTypes="0" containsString="0" containsNumber="1" minValue="0" maxValue="84713.968063075998"/>
    </cacheField>
    <cacheField name="Apr-24" numFmtId="41">
      <sharedItems containsSemiMixedTypes="0" containsString="0" containsNumber="1" minValue="0" maxValue="24712.025000000045"/>
    </cacheField>
    <cacheField name="May-24" numFmtId="41">
      <sharedItems containsSemiMixedTypes="0" containsString="0" containsNumber="1" minValue="0" maxValue="121298.82499999997"/>
    </cacheField>
    <cacheField name="Jun-24" numFmtId="41">
      <sharedItems containsSemiMixedTypes="0" containsString="0" containsNumber="1" minValue="0" maxValue="171247.76603019508"/>
    </cacheField>
    <cacheField name="Jul-24" numFmtId="41">
      <sharedItems containsSemiMixedTypes="0" containsString="0" containsNumber="1" minValue="0" maxValue="113587.05159298361"/>
    </cacheField>
    <cacheField name="Aug-24" numFmtId="41">
      <sharedItems containsSemiMixedTypes="0" containsString="0" containsNumber="1" minValue="0" maxValue="70724.061637996987"/>
    </cacheField>
    <cacheField name="Sep-24" numFmtId="41">
      <sharedItems containsSemiMixedTypes="0" containsString="0" containsNumber="1" minValue="0" maxValue="140188.97500000001"/>
    </cacheField>
    <cacheField name="Oct-24" numFmtId="41">
      <sharedItems containsSemiMixedTypes="0" containsString="0" containsNumber="1" minValue="0" maxValue="53245.312499999993"/>
    </cacheField>
    <cacheField name="Nov-24" numFmtId="41">
      <sharedItems containsSemiMixedTypes="0" containsString="0" containsNumber="1" minValue="0" maxValue="199337.33749999999"/>
    </cacheField>
    <cacheField name="Dec-24" numFmtId="41">
      <sharedItems containsSemiMixedTypes="0" containsString="0" containsNumber="1" minValue="0" maxValue="49502.271056013924"/>
    </cacheField>
    <cacheField name="2024" numFmtId="41">
      <sharedItems containsSemiMixedTypes="0" containsString="0" containsNumber="1" minValue="4454.7122980993772" maxValue="352784.11250000005"/>
    </cacheField>
    <cacheField name="Jan-25" numFmtId="41">
      <sharedItems containsSemiMixedTypes="0" containsString="0" containsNumber="1" minValue="0" maxValue="30505.402338103628"/>
    </cacheField>
    <cacheField name="Feb-25" numFmtId="41">
      <sharedItems containsSemiMixedTypes="0" containsString="0" containsNumber="1" minValue="0" maxValue="57102.54706393279"/>
    </cacheField>
    <cacheField name="Mar-25" numFmtId="41">
      <sharedItems containsSemiMixedTypes="0" containsString="0" containsNumber="1" minValue="0" maxValue="96004.947197551257"/>
    </cacheField>
    <cacheField name="Apr-25" numFmtId="41">
      <sharedItems containsSemiMixedTypes="0" containsString="0" containsNumber="1" minValue="0" maxValue="133335.91116622344"/>
    </cacheField>
    <cacheField name="May-25" numFmtId="41">
      <sharedItems containsSemiMixedTypes="0" containsString="0" containsNumber="1" minValue="0" maxValue="49639.497443453707"/>
    </cacheField>
    <cacheField name="Jun-25" numFmtId="41">
      <sharedItems containsSemiMixedTypes="0" containsString="0" containsNumber="1" minValue="0" maxValue="59835.001690166799"/>
    </cacheField>
    <cacheField name="Jul-25" numFmtId="41">
      <sharedItems containsSemiMixedTypes="0" containsString="0" containsNumber="1" minValue="0" maxValue="47480.002922685635"/>
    </cacheField>
    <cacheField name="Aug-25" numFmtId="41">
      <sharedItems containsSemiMixedTypes="0" containsString="0" containsNumber="1" minValue="0" maxValue="72409.887499999997"/>
    </cacheField>
    <cacheField name="Sep-25" numFmtId="41">
      <sharedItems containsSemiMixedTypes="0" containsString="0" containsNumber="1" minValue="0" maxValue="28773.229277271319"/>
    </cacheField>
    <cacheField name="Oct-25" numFmtId="41">
      <sharedItems containsSemiMixedTypes="0" containsString="0" containsNumber="1" minValue="0" maxValue="111693.4142657459"/>
    </cacheField>
    <cacheField name="Oct-252" numFmtId="41">
      <sharedItems containsSemiMixedTypes="0" containsString="0" containsNumber="1" minValue="6240.0166160594636" maxValue="224095.99263775992"/>
    </cacheField>
    <cacheField name="Oct-253" numFmtId="41">
      <sharedItems containsSemiMixedTypes="0" containsString="0" containsNumber="1" minValue="10233.602958260137" maxValue="237531.02500000002"/>
    </cacheField>
    <cacheField name="x3" numFmtId="0">
      <sharedItems containsNonDate="0" containsString="0" containsBlank="1"/>
    </cacheField>
    <cacheField name="Jan-232" numFmtId="41">
      <sharedItems containsSemiMixedTypes="0" containsString="0" containsNumber="1" minValue="0" maxValue="50880.38"/>
    </cacheField>
    <cacheField name="Feb-232" numFmtId="41">
      <sharedItems containsSemiMixedTypes="0" containsString="0" containsNumber="1" minValue="0" maxValue="43021.159999999996"/>
    </cacheField>
    <cacheField name="Mar-232" numFmtId="41">
      <sharedItems containsSemiMixedTypes="0" containsString="0" containsNumber="1" minValue="0" maxValue="24812.33"/>
    </cacheField>
    <cacheField name="Apr-232" numFmtId="41">
      <sharedItems containsSemiMixedTypes="0" containsString="0" containsNumber="1" minValue="0" maxValue="54317.07"/>
    </cacheField>
    <cacheField name="May-232" numFmtId="41">
      <sharedItems containsSemiMixedTypes="0" containsString="0" containsNumber="1" minValue="0" maxValue="38377.870000000003"/>
    </cacheField>
    <cacheField name="Jun-232" numFmtId="41">
      <sharedItems containsSemiMixedTypes="0" containsString="0" containsNumber="1" minValue="0" maxValue="71336.39"/>
    </cacheField>
    <cacheField name="Jul-232" numFmtId="41">
      <sharedItems containsSemiMixedTypes="0" containsString="0" containsNumber="1" minValue="0" maxValue="41488.370000000003"/>
    </cacheField>
    <cacheField name="Aug-232" numFmtId="41">
      <sharedItems containsSemiMixedTypes="0" containsString="0" containsNumber="1" minValue="0" maxValue="22077.53"/>
    </cacheField>
    <cacheField name="Sep-232" numFmtId="41">
      <sharedItems containsSemiMixedTypes="0" containsString="0" containsNumber="1" minValue="0" maxValue="104854.03"/>
    </cacheField>
    <cacheField name="Oct-232" numFmtId="41">
      <sharedItems containsSemiMixedTypes="0" containsString="0" containsNumber="1" minValue="0" maxValue="21769.989999999998"/>
    </cacheField>
    <cacheField name="Nov-232" numFmtId="41">
      <sharedItems containsSemiMixedTypes="0" containsString="0" containsNumber="1" minValue="0" maxValue="36822.409999999996"/>
    </cacheField>
    <cacheField name="Dec-232" numFmtId="41">
      <sharedItems containsSemiMixedTypes="0" containsString="0" containsNumber="1" minValue="0" maxValue="41325.260000000009"/>
    </cacheField>
    <cacheField name="20232" numFmtId="41">
      <sharedItems containsSemiMixedTypes="0" containsString="0" containsNumber="1" minValue="9373.14" maxValue="243287.84999999998"/>
    </cacheField>
    <cacheField name="Jan-242" numFmtId="41">
      <sharedItems containsSemiMixedTypes="0" containsString="0" containsNumber="1" minValue="0" maxValue="31174.27"/>
    </cacheField>
    <cacheField name="Feb-242" numFmtId="41">
      <sharedItems containsSemiMixedTypes="0" containsString="0" containsNumber="1" minValue="0" maxValue="46197.53"/>
    </cacheField>
    <cacheField name="Mar-242" numFmtId="41">
      <sharedItems containsSemiMixedTypes="0" containsString="0" containsNumber="1" minValue="0" maxValue="104616.67"/>
    </cacheField>
    <cacheField name="Apr-242" numFmtId="41">
      <sharedItems containsSemiMixedTypes="0" containsString="0" containsNumber="1" minValue="0" maxValue="21729.37"/>
    </cacheField>
    <cacheField name="May-242" numFmtId="41">
      <sharedItems containsSemiMixedTypes="0" containsString="0" containsNumber="1" minValue="0" maxValue="97039.059999999983"/>
    </cacheField>
    <cacheField name="Jun-242" numFmtId="41">
      <sharedItems containsSemiMixedTypes="0" containsString="0" containsNumber="1" minValue="0" maxValue="127683.3"/>
    </cacheField>
    <cacheField name="Jul-242" numFmtId="41">
      <sharedItems containsSemiMixedTypes="0" containsString="0" containsNumber="1" minValue="0" maxValue="147491.75"/>
    </cacheField>
    <cacheField name="Aug-242" numFmtId="41">
      <sharedItems containsSemiMixedTypes="0" containsString="0" containsNumber="1" minValue="0" maxValue="29757.309999999998"/>
    </cacheField>
    <cacheField name="Sep-242" numFmtId="41">
      <sharedItems containsSemiMixedTypes="0" containsString="0" containsNumber="1" minValue="0" maxValue="112151.18"/>
    </cacheField>
    <cacheField name="Oct-242" numFmtId="41">
      <sharedItems containsSemiMixedTypes="0" containsString="0" containsNumber="1" minValue="0" maxValue="42596.25"/>
    </cacheField>
    <cacheField name="Nov-242" numFmtId="41">
      <sharedItems containsSemiMixedTypes="0" containsString="0" containsNumber="1" minValue="0" maxValue="159469.87"/>
    </cacheField>
    <cacheField name="Dec-242" numFmtId="41">
      <sharedItems containsSemiMixedTypes="0" containsString="0" containsNumber="1" minValue="0" maxValue="44188.19"/>
    </cacheField>
    <cacheField name="20242" numFmtId="41">
      <sharedItems containsSemiMixedTypes="0" containsString="0" containsNumber="1" minValue="6340.8700000000008" maxValue="282227.28999999998"/>
    </cacheField>
    <cacheField name="Jan-252" numFmtId="41">
      <sharedItems containsSemiMixedTypes="0" containsString="0" containsNumber="1" minValue="0" maxValue="22745"/>
    </cacheField>
    <cacheField name="Feb-252" numFmtId="41">
      <sharedItems containsSemiMixedTypes="0" containsString="0" containsNumber="1" minValue="0" maxValue="48340.05"/>
    </cacheField>
    <cacheField name="Mar-252" numFmtId="41">
      <sharedItems containsSemiMixedTypes="0" containsString="0" containsNumber="1" minValue="0" maxValue="57670.209999999992"/>
    </cacheField>
    <cacheField name="Apr-252" numFmtId="41">
      <sharedItems containsSemiMixedTypes="0" containsString="0" containsNumber="1" minValue="0" maxValue="107591.70000000003"/>
    </cacheField>
    <cacheField name="May-252" numFmtId="41">
      <sharedItems containsSemiMixedTypes="0" containsString="0" containsNumber="1" minValue="0" maxValue="21193.239999999998"/>
    </cacheField>
    <cacheField name="Jun-252" numFmtId="41">
      <sharedItems containsSemiMixedTypes="0" containsString="0" containsNumber="1" minValue="0" maxValue="107098.29"/>
    </cacheField>
    <cacheField name="Jul-252" numFmtId="41">
      <sharedItems containsSemiMixedTypes="0" containsString="0" containsNumber="1" minValue="0" maxValue="50469.32"/>
    </cacheField>
    <cacheField name="Aug-252" numFmtId="41">
      <sharedItems containsSemiMixedTypes="0" containsString="0" containsNumber="1" minValue="0" maxValue="57927.909999999996"/>
    </cacheField>
    <cacheField name="Sep-252" numFmtId="41">
      <sharedItems containsSemiMixedTypes="0" containsString="0" containsNumber="1" minValue="0" maxValue="31367.260000000002"/>
    </cacheField>
    <cacheField name="Oct-254" numFmtId="41">
      <sharedItems containsSemiMixedTypes="0" containsString="0" containsNumber="1" minValue="0" maxValue="44984.800000000003"/>
    </cacheField>
    <cacheField name="Oct-255" numFmtId="41">
      <sharedItems containsSemiMixedTypes="0" containsString="0" containsNumber="1" minValue="9370.67" maxValue="180828.02000000002"/>
    </cacheField>
    <cacheField name="Oct-256" numFmtId="41">
      <sharedItems containsSemiMixedTypes="0" containsString="0" containsNumber="1" minValue="13254.26" maxValue="190024.81999999998"/>
    </cacheField>
    <cacheField name="x4" numFmtId="0">
      <sharedItems containsNonDate="0" containsString="0" containsBlank="1"/>
    </cacheField>
    <cacheField name="Jan-233" numFmtId="41">
      <sharedItems containsSemiMixedTypes="0" containsString="0" containsNumber="1" minValue="-3868.6498647549852" maxValue="95650.413363193162"/>
    </cacheField>
    <cacheField name="Feb-233" numFmtId="41">
      <sharedItems containsSemiMixedTypes="0" containsString="0" containsNumber="1" minValue="-9889.4985985317617" maxValue="12615.134077337536"/>
    </cacheField>
    <cacheField name="Mar-233" numFmtId="41">
      <sharedItems containsSemiMixedTypes="0" containsString="0" containsNumber="1" minValue="-3863.1023993020535" maxValue="34156.193116439928"/>
    </cacheField>
    <cacheField name="Apr-233" numFmtId="41">
      <sharedItems containsSemiMixedTypes="0" containsString="0" containsNumber="1" minValue="-24151.183416612093" maxValue="2714.9051215429417"/>
    </cacheField>
    <cacheField name="May-233" numFmtId="41">
      <sharedItems containsSemiMixedTypes="0" containsString="0" containsNumber="1" minValue="-17064.082755363921" maxValue="15398.798412258355"/>
    </cacheField>
    <cacheField name="Jun-233" numFmtId="41">
      <sharedItems containsSemiMixedTypes="0" containsString="0" containsNumber="1" minValue="-31718.5415039687" maxValue="20443.826024639035"/>
    </cacheField>
    <cacheField name="Jul-233" numFmtId="41">
      <sharedItems containsSemiMixedTypes="0" containsString="0" containsNumber="1" minValue="-7675.729953413882" maxValue="12446.510999999999"/>
    </cacheField>
    <cacheField name="Aug-233" numFmtId="41">
      <sharedItems containsSemiMixedTypes="0" containsString="0" containsNumber="1" minValue="-8624.7171463181876" maxValue="35424.409550461161"/>
    </cacheField>
    <cacheField name="Sep-233" numFmtId="41">
      <sharedItems containsSemiMixedTypes="0" containsString="0" containsNumber="1" minValue="-12238.195507917728" maxValue="31881.841867805768"/>
    </cacheField>
    <cacheField name="Oct-233" numFmtId="41">
      <sharedItems containsSemiMixedTypes="0" containsString="0" containsNumber="1" minValue="-7172.303453331906" maxValue="6796.8926505165746"/>
    </cacheField>
    <cacheField name="Nov-233" numFmtId="41">
      <sharedItems containsSemiMixedTypes="0" containsString="0" containsNumber="1" minValue="-1753.507660245923" maxValue="16399.655767456617"/>
    </cacheField>
    <cacheField name="Dec-233" numFmtId="41">
      <sharedItems containsSemiMixedTypes="0" containsString="0" containsNumber="1" minValue="-8921.3748656618882" maxValue="61281.82916833373"/>
    </cacheField>
    <cacheField name="20233" numFmtId="41">
      <sharedItems containsSemiMixedTypes="0" containsString="0" containsNumber="1" minValue="-81374.883729847483" maxValue="165220.79331067458"/>
    </cacheField>
    <cacheField name="Jan-243" numFmtId="41">
      <sharedItems containsSemiMixedTypes="0" containsString="0" containsNumber="1" minValue="-4437.9020252748796" maxValue="36511.828712714196"/>
    </cacheField>
    <cacheField name="Feb-243" numFmtId="41">
      <sharedItems containsSemiMixedTypes="0" containsString="0" containsNumber="1" minValue="-2423.0083519332838" maxValue="18236.323635788132"/>
    </cacheField>
    <cacheField name="Mar-243" numFmtId="41">
      <sharedItems containsSemiMixedTypes="0" containsString="0" containsNumber="1" minValue="-40389.765786110547" maxValue="39802.834950449935"/>
    </cacheField>
    <cacheField name="Apr-243" numFmtId="41">
      <sharedItems containsSemiMixedTypes="0" containsString="0" containsNumber="1" minValue="-3587.719849088111" maxValue="5702.7750000000451"/>
    </cacheField>
    <cacheField name="May-243" numFmtId="41">
      <sharedItems containsSemiMixedTypes="0" containsString="0" containsNumber="1" minValue="-9625.5425368108117" maxValue="30165.021684863117"/>
    </cacheField>
    <cacheField name="Jun-243" numFmtId="41">
      <sharedItems containsSemiMixedTypes="0" containsString="0" containsNumber="1" minValue="-7853.8859271137626" maxValue="43564.466030195079"/>
    </cacheField>
    <cacheField name="Jul-243" numFmtId="41">
      <sharedItems containsSemiMixedTypes="0" containsString="0" containsNumber="1" minValue="-33904.698407016389" maxValue="51023.509734769155"/>
    </cacheField>
    <cacheField name="Aug-243" numFmtId="41">
      <sharedItems containsSemiMixedTypes="0" containsString="0" containsNumber="1" minValue="-6291.0264083203065" maxValue="51156.811637996987"/>
    </cacheField>
    <cacheField name="Sep-243" numFmtId="41">
      <sharedItems containsSemiMixedTypes="0" containsString="0" containsNumber="1" minValue="-5814.8612212255712" maxValue="28037.795000000013"/>
    </cacheField>
    <cacheField name="Oct-243" numFmtId="41">
      <sharedItems containsSemiMixedTypes="0" containsString="0" containsNumber="1" minValue="-3626.2448077193349" maxValue="13362.152970668125"/>
    </cacheField>
    <cacheField name="Nov-243" numFmtId="41">
      <sharedItems containsSemiMixedTypes="0" containsString="0" containsNumber="1" minValue="-3607.1260141206203" maxValue="39867.467499999999"/>
    </cacheField>
    <cacheField name="Dec-243" numFmtId="41">
      <sharedItems containsSemiMixedTypes="0" containsString="0" containsNumber="1" minValue="-7214.9402593783598" maxValue="32313.431056013924"/>
    </cacheField>
    <cacheField name="20243" numFmtId="41">
      <sharedItems containsSemiMixedTypes="0" containsString="0" containsNumber="1" minValue="-57894.961351688667" maxValue="143940.85274293809"/>
    </cacheField>
    <cacheField name="Jan-253" numFmtId="41">
      <sharedItems containsSemiMixedTypes="0" containsString="0" containsNumber="1" minValue="-7660.3007431216411" maxValue="13764.621356146943"/>
    </cacheField>
    <cacheField name="Feb-253" numFmtId="41">
      <sharedItems containsSemiMixedTypes="0" containsString="0" containsNumber="1" minValue="-21511.997405802238" maxValue="11025.237063932793"/>
    </cacheField>
    <cacheField name="Mar-253" numFmtId="41">
      <sharedItems containsSemiMixedTypes="0" containsString="0" containsNumber="1" minValue="-19049.271339857369" maxValue="38334.737197551265"/>
    </cacheField>
    <cacheField name="Apr-253" numFmtId="41">
      <sharedItems containsSemiMixedTypes="0" containsString="0" containsNumber="1" minValue="-5049.4885058181408" maxValue="25744.211166223409"/>
    </cacheField>
    <cacheField name="May-253" numFmtId="41">
      <sharedItems containsSemiMixedTypes="0" containsString="0" containsNumber="1" minValue="-5215.036624770697" maxValue="28446.257443453709"/>
    </cacheField>
    <cacheField name="Jun-253" numFmtId="41">
      <sharedItems containsSemiMixedTypes="0" containsString="0" containsNumber="1" minValue="-47619.476628535245" maxValue="34288.861690166799"/>
    </cacheField>
    <cacheField name="Jul-253" numFmtId="41">
      <sharedItems containsSemiMixedTypes="0" containsString="0" containsNumber="1" minValue="-22459.55229489012" maxValue="36051.952522482839"/>
    </cacheField>
    <cacheField name="Aug-253" numFmtId="41">
      <sharedItems containsSemiMixedTypes="0" containsString="0" containsNumber="1" minValue="-10860.091542855822" maxValue="14481.977500000001"/>
    </cacheField>
    <cacheField name="Sep-253" numFmtId="41">
      <sharedItems containsSemiMixedTypes="0" containsString="0" containsNumber="1" minValue="-8460.0619000076604" maxValue="20388.42927727132"/>
    </cacheField>
    <cacheField name="Oct-257" numFmtId="41">
      <sharedItems containsSemiMixedTypes="0" containsString="0" containsNumber="1" minValue="-5751.5998259814914" maxValue="66708.614265745899"/>
    </cacheField>
    <cacheField name="Oct-258" numFmtId="41">
      <sharedItems containsSemiMixedTypes="0" containsString="0" containsNumber="1" minValue="-79389.250088122732" maxValue="82294.658346411394"/>
    </cacheField>
    <cacheField name="Oct-259" numFmtId="41">
      <sharedItems containsSemiMixedTypes="0" containsString="0" containsNumber="1" minValue="-79389.250088122732" maxValue="112720.41444197083"/>
    </cacheField>
    <cacheField name="x5" numFmtId="0">
      <sharedItems containsNonDate="0" containsString="0" containsBlank="1"/>
    </cacheField>
    <cacheField name="Jan-234" numFmtId="9">
      <sharedItems containsSemiMixedTypes="0" containsString="0" containsNumber="1" minValue="-0.82181779731365634" maxValue="0.76798534122592788"/>
    </cacheField>
    <cacheField name="Feb-234" numFmtId="9">
      <sharedItems containsSemiMixedTypes="0" containsString="0" containsNumber="1" minValue="-0.82181779731365612" maxValue="0.76798534122592788"/>
    </cacheField>
    <cacheField name="Mar-234" numFmtId="9">
      <sharedItems containsSemiMixedTypes="0" containsString="0" containsNumber="1" minValue="-0.82181779731365645" maxValue="0.76798534122592788"/>
    </cacheField>
    <cacheField name="Apr-234" numFmtId="9">
      <sharedItems containsSemiMixedTypes="0" containsString="0" containsNumber="1" minValue="-0.80061241859577703" maxValue="0.65276663810938906"/>
    </cacheField>
    <cacheField name="May-234" numFmtId="9">
      <sharedItems containsSemiMixedTypes="0" containsString="0" containsNumber="1" minValue="-0.80061241859577725" maxValue="0.76798534122592788"/>
    </cacheField>
    <cacheField name="Jun-234" numFmtId="9">
      <sharedItems containsSemiMixedTypes="0" containsString="0" containsNumber="1" minValue="-0.82181779731365634" maxValue="0.72332966253896025"/>
    </cacheField>
    <cacheField name="Jul-234" numFmtId="9">
      <sharedItems containsSemiMixedTypes="0" containsString="0" containsNumber="1" minValue="-0.80184714601516582" maxValue="0.72332966253896036"/>
    </cacheField>
    <cacheField name="Aug-234" numFmtId="9">
      <sharedItems containsSemiMixedTypes="0" containsString="0" containsNumber="1" minValue="-0.82181779731365656" maxValue="0.72332966253896025"/>
    </cacheField>
    <cacheField name="Sep-234" numFmtId="9">
      <sharedItems containsSemiMixedTypes="0" containsString="0" containsNumber="1" minValue="-0.82181779731365656" maxValue="0.76798534122592788"/>
    </cacheField>
    <cacheField name="Oct-234" numFmtId="9">
      <sharedItems containsSemiMixedTypes="0" containsString="0" containsNumber="1" minValue="-0.82181779731365645" maxValue="0.76798534122592788"/>
    </cacheField>
    <cacheField name="Nov-234" numFmtId="9">
      <sharedItems containsSemiMixedTypes="0" containsString="0" containsNumber="1" minValue="-0.65487109844830138" maxValue="0.72332966253896036"/>
    </cacheField>
    <cacheField name="Dec-234" numFmtId="9">
      <sharedItems containsSemiMixedTypes="0" containsString="0" containsNumber="1" minValue="-0.82181779731365634" maxValue="0.76798534122592788"/>
    </cacheField>
    <cacheField name="20234" numFmtId="9">
      <sharedItems containsSemiMixedTypes="0" containsString="0" containsNumber="1" minValue="-0.82181779731365634" maxValue="0.76798534122592799"/>
    </cacheField>
    <cacheField name="Jan-244" numFmtId="9">
      <sharedItems containsSemiMixedTypes="0" containsString="0" containsNumber="1" minValue="-0.80061241859577736" maxValue="0.76798534122592788"/>
    </cacheField>
    <cacheField name="Feb-244" numFmtId="9">
      <sharedItems containsSemiMixedTypes="0" containsString="0" containsNumber="1" minValue="-0.82181779731365634" maxValue="0.72332966253896025"/>
    </cacheField>
    <cacheField name="Mar-244" numFmtId="9">
      <sharedItems containsSemiMixedTypes="0" containsString="0" containsNumber="1" minValue="-0.82181779731365656" maxValue="0.76798534122592799"/>
    </cacheField>
    <cacheField name="Apr-244" numFmtId="9">
      <sharedItems containsSemiMixedTypes="0" containsString="0" containsNumber="1" minValue="-0.82181779731365634" maxValue="0.70859023437374957"/>
    </cacheField>
    <cacheField name="May-244" numFmtId="9">
      <sharedItems containsSemiMixedTypes="0" containsString="0" containsNumber="1" minValue="-0.80184714601516582" maxValue="0.76798534122592788"/>
    </cacheField>
    <cacheField name="Jun-244" numFmtId="9">
      <sharedItems containsSemiMixedTypes="0" containsString="0" containsNumber="1" minValue="-0.82181779731365634" maxValue="0.76798534122592788"/>
    </cacheField>
    <cacheField name="Jul-244" numFmtId="9">
      <sharedItems containsSemiMixedTypes="0" containsString="0" containsNumber="1" minValue="-0.82181779731365623" maxValue="0.76798534122592788"/>
    </cacheField>
    <cacheField name="Aug-244" numFmtId="9">
      <sharedItems containsSemiMixedTypes="0" containsString="0" containsNumber="1" minValue="-0.82181779731365623" maxValue="0.76798534122592788"/>
    </cacheField>
    <cacheField name="Sep-244" numFmtId="9">
      <sharedItems containsSemiMixedTypes="0" containsString="0" containsNumber="1" minValue="-0.82181779731365623" maxValue="0.59724751637576245"/>
    </cacheField>
    <cacheField name="Oct-244" numFmtId="9">
      <sharedItems containsSemiMixedTypes="0" containsString="0" containsNumber="1" minValue="-0.82181779731365623" maxValue="0.65276663810938895"/>
    </cacheField>
    <cacheField name="Nov-244" numFmtId="9">
      <sharedItems containsSemiMixedTypes="0" containsString="0" containsNumber="1" minValue="-0.59752599542716678" maxValue="0.76798534122592788"/>
    </cacheField>
    <cacheField name="Dec-244" numFmtId="9">
      <sharedItems containsSemiMixedTypes="0" containsString="0" containsNumber="1" minValue="-0.6548710984483016" maxValue="0.70859023437374968"/>
    </cacheField>
    <cacheField name="20244" numFmtId="9">
      <sharedItems containsSemiMixedTypes="0" containsString="0" containsNumber="1" minValue="-0.82181779731365623" maxValue="0.76798534122592788"/>
    </cacheField>
    <cacheField name="Jan-254" numFmtId="9">
      <sharedItems containsSemiMixedTypes="0" containsString="0" containsNumber="1" minValue="-0.80061241859577736" maxValue="0.72332966253896036"/>
    </cacheField>
    <cacheField name="Feb-254" numFmtId="9">
      <sharedItems containsSemiMixedTypes="0" containsString="0" containsNumber="1" minValue="-0.82181779731365623" maxValue="0.76798534122592799"/>
    </cacheField>
    <cacheField name="Mar-254" numFmtId="9">
      <sharedItems containsSemiMixedTypes="0" containsString="0" containsNumber="1" minValue="-0.82181779731365656" maxValue="0.72332966253896036"/>
    </cacheField>
    <cacheField name="Apr-254" numFmtId="9">
      <sharedItems containsSemiMixedTypes="0" containsString="0" containsNumber="1" minValue="-0.82181779731365623" maxValue="0.76798534122592776"/>
    </cacheField>
    <cacheField name="May-254" numFmtId="9">
      <sharedItems containsSemiMixedTypes="0" containsString="0" containsNumber="1" minValue="-0.82181779731365612" maxValue="0.72332966253896036"/>
    </cacheField>
    <cacheField name="Jun-254" numFmtId="9">
      <sharedItems containsSemiMixedTypes="0" containsString="0" containsNumber="1" minValue="-0.80184714601516582" maxValue="0.65276663810938895"/>
    </cacheField>
    <cacheField name="Jul-254" numFmtId="9">
      <sharedItems containsSemiMixedTypes="0" containsString="0" containsNumber="1" minValue="-0.82181779731365634" maxValue="0.76798534122592799"/>
    </cacheField>
    <cacheField name="Aug-254" numFmtId="9">
      <sharedItems containsSemiMixedTypes="0" containsString="0" containsNumber="1" minValue="-0.80184714601516593" maxValue="0.76798534122592788"/>
    </cacheField>
    <cacheField name="Sep-254" numFmtId="9">
      <sharedItems containsSemiMixedTypes="0" containsString="0" containsNumber="1" minValue="-0.80184714601516582" maxValue="0.72332966253896025"/>
    </cacheField>
    <cacheField name="Oct-2510" numFmtId="9">
      <sharedItems containsSemiMixedTypes="0" containsString="0" containsNumber="1" minValue="-0.56305405906184969" maxValue="0.76798534122592788"/>
    </cacheField>
    <cacheField name="Oct-2511" numFmtId="9">
      <sharedItems containsSemiMixedTypes="0" containsString="0" containsNumber="1" minValue="-0.82181779731365623" maxValue="0.76798534122592799"/>
    </cacheField>
    <cacheField name="Oct-2512" numFmtId="9">
      <sharedItems containsSemiMixedTypes="0" containsString="0" containsNumber="1" minValue="-0.82181779731365623" maxValue="0.76798534122592788"/>
    </cacheField>
    <cacheField name="x6" numFmtId="0">
      <sharedItems containsNonDate="0" containsString="0" containsBlank="1"/>
    </cacheField>
    <cacheField name="Jan-235" numFmtId="41">
      <sharedItems containsSemiMixedTypes="0" containsString="0" containsNumber="1" minValue="-25000" maxValue="94662.609999999986"/>
    </cacheField>
    <cacheField name="Feb-235" numFmtId="41">
      <sharedItems containsSemiMixedTypes="0" containsString="0" containsNumber="1" minValue="0" maxValue="63981.04"/>
    </cacheField>
    <cacheField name="Mar-235" numFmtId="41">
      <sharedItems containsSemiMixedTypes="0" containsString="0" containsNumber="1" minValue="0" maxValue="109051.63"/>
    </cacheField>
    <cacheField name="Apr-235" numFmtId="41">
      <sharedItems containsSemiMixedTypes="0" containsString="0" containsNumber="1" minValue="0" maxValue="100143.04999999999"/>
    </cacheField>
    <cacheField name="May-235" numFmtId="41">
      <sharedItems containsSemiMixedTypes="0" containsString="0" containsNumber="1" minValue="0" maxValue="124700.43"/>
    </cacheField>
    <cacheField name="Jun-235" numFmtId="41">
      <sharedItems containsSemiMixedTypes="0" containsString="0" containsNumber="1" minValue="0" maxValue="58187.8"/>
    </cacheField>
    <cacheField name="Jul-235" numFmtId="41">
      <sharedItems containsSemiMixedTypes="0" containsString="0" containsNumber="1" minValue="0" maxValue="101481.95999999999"/>
    </cacheField>
    <cacheField name="Aug-235" numFmtId="41">
      <sharedItems containsSemiMixedTypes="0" containsString="0" containsNumber="1" minValue="0" maxValue="121314.38"/>
    </cacheField>
    <cacheField name="Sep-235" numFmtId="41">
      <sharedItems containsSemiMixedTypes="0" containsString="0" containsNumber="1" minValue="0" maxValue="85969.919999999998"/>
    </cacheField>
    <cacheField name="Oct-235" numFmtId="41">
      <sharedItems containsSemiMixedTypes="0" containsString="0" containsNumber="1" minValue="0" maxValue="108334.08"/>
    </cacheField>
    <cacheField name="Nov-235" numFmtId="41">
      <sharedItems containsSemiMixedTypes="0" containsString="0" containsNumber="1" minValue="0" maxValue="92353.06"/>
    </cacheField>
    <cacheField name="Dec-235" numFmtId="41">
      <sharedItems containsSemiMixedTypes="0" containsString="0" containsNumber="1" minValue="0" maxValue="86558.12"/>
    </cacheField>
    <cacheField name="20235" numFmtId="41">
      <sharedItems containsSemiMixedTypes="0" containsString="0" containsNumber="1" minValue="-25000" maxValue="321790.09999999998"/>
    </cacheField>
    <cacheField name="Jan-245" numFmtId="41">
      <sharedItems containsSemiMixedTypes="0" containsString="0" containsNumber="1" minValue="-48523.45" maxValue="74871.91"/>
    </cacheField>
    <cacheField name="Feb-245" numFmtId="41">
      <sharedItems containsSemiMixedTypes="0" containsString="0" containsNumber="1" minValue="0" maxValue="86647.64"/>
    </cacheField>
    <cacheField name="Mar-245" numFmtId="41">
      <sharedItems containsSemiMixedTypes="0" containsString="0" containsNumber="1" minValue="0" maxValue="122061.74999999999"/>
    </cacheField>
    <cacheField name="Apr-245" numFmtId="41">
      <sharedItems containsSemiMixedTypes="0" containsString="0" containsNumber="1" minValue="0" maxValue="145134.53999999998"/>
    </cacheField>
    <cacheField name="May-245" numFmtId="41">
      <sharedItems containsSemiMixedTypes="0" containsString="0" containsNumber="1" minValue="0" maxValue="179571.91"/>
    </cacheField>
    <cacheField name="Jun-245" numFmtId="41">
      <sharedItems containsSemiMixedTypes="0" containsString="0" containsNumber="1" minValue="0" maxValue="120320.75"/>
    </cacheField>
    <cacheField name="Jul-245" numFmtId="41">
      <sharedItems containsSemiMixedTypes="0" containsString="0" containsNumber="1" minValue="0" maxValue="163044.63"/>
    </cacheField>
    <cacheField name="Aug-245" numFmtId="41">
      <sharedItems containsSemiMixedTypes="0" containsString="0" containsNumber="1" minValue="0" maxValue="174466.12"/>
    </cacheField>
    <cacheField name="Sep-245" numFmtId="41">
      <sharedItems containsSemiMixedTypes="0" containsString="0" containsNumber="1" minValue="0" maxValue="172581.97"/>
    </cacheField>
    <cacheField name="Oct-245" numFmtId="41">
      <sharedItems containsSemiMixedTypes="0" containsString="0" containsNumber="1" minValue="0" maxValue="93461.33"/>
    </cacheField>
    <cacheField name="Nov-245" numFmtId="41">
      <sharedItems containsSemiMixedTypes="0" containsString="0" containsNumber="1" minValue="0" maxValue="106858.63"/>
    </cacheField>
    <cacheField name="Dec-245" numFmtId="41">
      <sharedItems containsSemiMixedTypes="0" containsString="0" containsNumber="1" minValue="0" maxValue="97381.72"/>
    </cacheField>
    <cacheField name="20245" numFmtId="41">
      <sharedItems containsSemiMixedTypes="0" containsString="0" containsNumber="1" minValue="-5045.8899999999994" maxValue="319600.65999999997"/>
    </cacheField>
    <cacheField name="Jan-255" numFmtId="41">
      <sharedItems containsSemiMixedTypes="0" containsString="0" containsNumber="1" minValue="-52891.23" maxValue="127523.64"/>
    </cacheField>
    <cacheField name="Feb-255" numFmtId="41">
      <sharedItems containsSemiMixedTypes="0" containsString="0" containsNumber="1" minValue="0" maxValue="97323.34"/>
    </cacheField>
    <cacheField name="Mar-255" numFmtId="41">
      <sharedItems containsSemiMixedTypes="0" containsString="0" containsNumber="1" minValue="0" maxValue="154374.44"/>
    </cacheField>
    <cacheField name="Apr-255" numFmtId="41">
      <sharedItems containsSemiMixedTypes="0" containsString="0" containsNumber="1" minValue="0" maxValue="180382.14"/>
    </cacheField>
    <cacheField name="May-255" numFmtId="41">
      <sharedItems containsSemiMixedTypes="0" containsString="0" containsNumber="1" minValue="0" maxValue="116155.73000000001"/>
    </cacheField>
    <cacheField name="Jun-255" numFmtId="41">
      <sharedItems containsSemiMixedTypes="0" containsString="0" containsNumber="1" minValue="0" maxValue="118155.42000000001"/>
    </cacheField>
    <cacheField name="Jul-255" numFmtId="41">
      <sharedItems containsSemiMixedTypes="0" containsString="0" containsNumber="1" minValue="0" maxValue="118569.76000000001"/>
    </cacheField>
    <cacheField name="Aug-255" numFmtId="41">
      <sharedItems containsSemiMixedTypes="0" containsString="0" containsNumber="1" minValue="0" maxValue="149855.93"/>
    </cacheField>
    <cacheField name="Sep-255" numFmtId="41">
      <sharedItems containsSemiMixedTypes="0" containsString="0" containsNumber="1" minValue="0" maxValue="81750"/>
    </cacheField>
    <cacheField name="Oct-2513" numFmtId="41">
      <sharedItems containsSemiMixedTypes="0" containsString="0" containsNumber="1" minValue="0" maxValue="113677.67"/>
    </cacheField>
    <cacheField name="Oct-2514" numFmtId="41">
      <sharedItems containsSemiMixedTypes="0" containsString="0" containsNumber="1" minValue="0" maxValue="214214.52000000002"/>
    </cacheField>
    <cacheField name="Oct-2515" numFmtId="41">
      <sharedItems containsSemiMixedTypes="0" containsString="0" containsNumber="1" minValue="0" maxValue="305815.13"/>
    </cacheField>
    <cacheField name="x7" numFmtId="0">
      <sharedItems containsNonDate="0" containsString="0" containsBlank="1"/>
    </cacheField>
    <cacheField name="Jan-236" numFmtId="41">
      <sharedItems containsSemiMixedTypes="0" containsString="0" containsNumber="1" minValue="-91514.50999999998" maxValue="146530.79336319317"/>
    </cacheField>
    <cacheField name="Feb-236" numFmtId="41">
      <sharedItems containsSemiMixedTypes="0" containsString="0" containsNumber="1" minValue="-62666.887114331148" maxValue="41190.024999999994"/>
    </cacheField>
    <cacheField name="Mar-236" numFmtId="41">
      <sharedItems containsSemiMixedTypes="0" containsString="0" containsNumber="1" minValue="-109051.63" maxValue="47220.783116439932"/>
    </cacheField>
    <cacheField name="Apr-236" numFmtId="41">
      <sharedItems containsSemiMixedTypes="0" containsString="0" containsNumber="1" minValue="-100143.04999999999" maxValue="30165.886583387906"/>
    </cacheField>
    <cacheField name="May-236" numFmtId="41">
      <sharedItems containsSemiMixedTypes="0" containsString="0" containsNumber="1" minValue="-105612.61835050146" maxValue="32123.97500000006"/>
    </cacheField>
    <cacheField name="Jun-236" numFmtId="41">
      <sharedItems containsSemiMixedTypes="0" containsString="0" containsNumber="1" minValue="-57958.155233646947" maxValue="69353.4375"/>
    </cacheField>
    <cacheField name="Jul-236" numFmtId="41">
      <sharedItems containsSemiMixedTypes="0" containsString="0" containsNumber="1" minValue="-90315.044964452216" maxValue="53934.881000000001"/>
    </cacheField>
    <cacheField name="Aug-236" numFmtId="41">
      <sharedItems containsSemiMixedTypes="0" containsString="0" containsNumber="1" minValue="-120595.505" maxValue="36752.980471240771"/>
    </cacheField>
    <cacheField name="Sep-236" numFmtId="41">
      <sharedItems containsSemiMixedTypes="0" containsString="0" containsNumber="1" minValue="-85685.127045702407" maxValue="131067.53750000001"/>
    </cacheField>
    <cacheField name="Oct-236" numFmtId="41">
      <sharedItems containsSemiMixedTypes="0" containsString="0" containsNumber="1" minValue="-90075.943999999959" maxValue="24831.468862477315"/>
    </cacheField>
    <cacheField name="Nov-236" numFmtId="41">
      <sharedItems containsSemiMixedTypes="0" containsString="0" containsNumber="1" minValue="-92304.11" maxValue="35474.682764633122"/>
    </cacheField>
    <cacheField name="Dec-236" numFmtId="41">
      <sharedItems containsSemiMixedTypes="0" containsString="0" containsNumber="1" minValue="-46432.270000000004" maxValue="31041.795911238092"/>
    </cacheField>
    <cacheField name="20236" numFmtId="41">
      <sharedItems containsSemiMixedTypes="0" containsString="0" containsNumber="1" minValue="-292919.41249999998" maxValue="255586.36250000005"/>
    </cacheField>
    <cacheField name="Jan-246" numFmtId="41">
      <sharedItems containsSemiMixedTypes="0" containsString="0" containsNumber="1" minValue="-74291.58972394219" maxValue="55933.968712714195"/>
    </cacheField>
    <cacheField name="Feb-246" numFmtId="41">
      <sharedItems containsSemiMixedTypes="0" containsString="0" containsNumber="1" minValue="-81071.726029037207" maxValue="57746.912499999999"/>
    </cacheField>
    <cacheField name="Mar-246" numFmtId="41">
      <sharedItems containsSemiMixedTypes="0" containsString="0" containsNumber="1" minValue="-120044.47499999999" maxValue="67491.308063075994"/>
    </cacheField>
    <cacheField name="Apr-246" numFmtId="41">
      <sharedItems containsSemiMixedTypes="0" containsString="0" containsNumber="1" minValue="-145134.53999999998" maxValue="24712.025000000045"/>
    </cacheField>
    <cacheField name="May-246" numFmtId="41">
      <sharedItems containsSemiMixedTypes="0" containsString="0" containsNumber="1" minValue="-179571.91" maxValue="121298.82499999997"/>
    </cacheField>
    <cacheField name="Jun-246" numFmtId="41">
      <sharedItems containsSemiMixedTypes="0" containsString="0" containsNumber="1" minValue="-117819.04585806181" maxValue="171247.76603019508"/>
    </cacheField>
    <cacheField name="Jul-246" numFmtId="41">
      <sharedItems containsSemiMixedTypes="0" containsString="0" containsNumber="1" minValue="-157119.60500000001" maxValue="113587.05159298361"/>
    </cacheField>
    <cacheField name="Aug-246" numFmtId="41">
      <sharedItems containsSemiMixedTypes="0" containsString="0" containsNumber="1" minValue="-173790.69526914167" maxValue="70724.061637996987"/>
    </cacheField>
    <cacheField name="Sep-246" numFmtId="41">
      <sharedItems containsSemiMixedTypes="0" containsString="0" containsNumber="1" minValue="-172003.89688541405" maxValue="140188.97500000001"/>
    </cacheField>
    <cacheField name="Oct-246" numFmtId="41">
      <sharedItems containsSemiMixedTypes="0" containsString="0" containsNumber="1" minValue="-92805.508678844533" maxValue="53245.312499999993"/>
    </cacheField>
    <cacheField name="Nov-246" numFmtId="41">
      <sharedItems containsSemiMixedTypes="0" containsString="0" containsNumber="1" minValue="-106858.63" maxValue="199337.33749999999"/>
    </cacheField>
    <cacheField name="Dec-246" numFmtId="41">
      <sharedItems containsSemiMixedTypes="0" containsString="0" containsNumber="1" minValue="-97381.72" maxValue="49502.271056013924"/>
    </cacheField>
    <cacheField name="20246" numFmtId="41">
      <sharedItems containsSemiMixedTypes="0" containsString="0" containsNumber="1" minValue="-183887.43259605416" maxValue="245925.48250000004"/>
    </cacheField>
    <cacheField name="Jan-256" numFmtId="41">
      <sharedItems containsSemiMixedTypes="0" containsString="0" containsNumber="1" minValue="-123256.0025" maxValue="53147.629000000001"/>
    </cacheField>
    <cacheField name="Feb-256" numFmtId="41">
      <sharedItems containsSemiMixedTypes="0" containsString="0" containsNumber="1" minValue="-97323.34" maxValue="26828.052594197765"/>
    </cacheField>
    <cacheField name="Mar-256" numFmtId="41">
      <sharedItems containsSemiMixedTypes="0" containsString="0" containsNumber="1" minValue="-90897.85" maxValue="75219.623825622068"/>
    </cacheField>
    <cacheField name="Apr-256" numFmtId="41">
      <sharedItems containsSemiMixedTypes="0" containsString="0" containsNumber="1" minValue="-176620.78896209953" maxValue="133335.91116622344"/>
    </cacheField>
    <cacheField name="May-256" numFmtId="41">
      <sharedItems containsSemiMixedTypes="0" containsString="0" containsNumber="1" minValue="-115895.63483244795" maxValue="49639.497443453707"/>
    </cacheField>
    <cacheField name="Jun-256" numFmtId="41">
      <sharedItems containsSemiMixedTypes="0" containsString="0" containsNumber="1" minValue="-117648.94500000001" maxValue="59835.001690166799"/>
    </cacheField>
    <cacheField name="Jul-256" numFmtId="41">
      <sharedItems containsSemiMixedTypes="0" containsString="0" containsNumber="1" minValue="-78065.385000000009" maxValue="45422.602522482834"/>
    </cacheField>
    <cacheField name="Aug-256" numFmtId="41">
      <sharedItems containsSemiMixedTypes="0" containsString="0" containsNumber="1" minValue="-145448.5139672012" maxValue="72409.887499999997"/>
    </cacheField>
    <cacheField name="Sep-256" numFmtId="41">
      <sharedItems containsSemiMixedTypes="0" containsString="0" containsNumber="1" minValue="-81750" maxValue="28773.229277271319"/>
    </cacheField>
    <cacheField name="Oct-2516" numFmtId="41">
      <sharedItems containsSemiMixedTypes="0" containsString="0" containsNumber="1" minValue="-111224.55014066688" maxValue="48722.5142657459"/>
    </cacheField>
    <cacheField name="Oct-2517" numFmtId="41">
      <sharedItems containsSemiMixedTypes="0" containsString="0" containsNumber="1" minValue="-133526.22870431622" maxValue="158641.57849609377"/>
    </cacheField>
    <cacheField name="Oct-2518" numFmtId="41">
      <sharedItems containsSemiMixedTypes="0" containsString="0" containsNumber="1" minValue="-184341.13" maxValue="146611.11849609378"/>
    </cacheField>
    <cacheField name="2023 Gross Margin (%)" numFmtId="0" formula=" IFERROR('20233' /'2023',0)" databaseField="0"/>
    <cacheField name="2024 Gross Margin (%)" numFmtId="0" formula=" IFERROR('20243' /'2024',0)" databaseField="0"/>
    <cacheField name="YTD25 Gross Margin" numFmtId="0" formula=" IFERROR('Oct-258'/'Oct-252',0)" databaseField="0"/>
    <cacheField name="TTM25 Gross Margin" numFmtId="0" formula=" IFERROR('Oct-259' /'Oct-253'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x v="0"/>
    <x v="0"/>
    <x v="0"/>
    <m/>
    <m/>
    <n v="1930.5541699276951"/>
    <n v="1064.5927376053733"/>
    <n v="881.83121128736218"/>
    <n v="96.151319382405134"/>
    <n v="0"/>
    <n v="20.755065400174285"/>
    <n v="5786.7994291953837"/>
    <n v="8210.5306666989727"/>
    <n v="6757.3059912295676"/>
    <n v="8786.7502017229999"/>
    <n v="4995.8123397540767"/>
    <n v="687.85573201597583"/>
    <n v="39218.938864219992"/>
    <n v="1852.8189000159152"/>
    <n v="0"/>
    <n v="0"/>
    <n v="680.00226397404117"/>
    <n v="0"/>
    <n v="3032.7192013887334"/>
    <n v="0"/>
    <n v="724.62861536407354"/>
    <n v="8562.0270257068478"/>
    <n v="236.80315701939224"/>
    <n v="10276.843985879379"/>
    <n v="1137.1392411671095"/>
    <n v="26502.982390515492"/>
    <n v="672.96301033796203"/>
    <n v="6215.7941957424227"/>
    <n v="14498.479062698494"/>
    <n v="14386.19149418186"/>
    <n v="3104.2072262228571"/>
    <n v="792.89679232049559"/>
    <n v="0.58475398238722132"/>
    <n v="0"/>
    <n v="4778.46150508549"/>
    <n v="8186.3707046924956"/>
    <n v="52635.948745264468"/>
    <n v="64049.931972310958"/>
    <m/>
    <n v="2608.17"/>
    <n v="1438.26"/>
    <n v="1191.3499999999999"/>
    <n v="129.9"/>
    <n v="0"/>
    <n v="28.04"/>
    <n v="7817.9400000000005"/>
    <n v="11092.389999999998"/>
    <n v="9129.09"/>
    <n v="11870.86"/>
    <n v="6749.32"/>
    <n v="929.29000000000008"/>
    <n v="52984.61"/>
    <n v="2503.15"/>
    <n v="0"/>
    <n v="0"/>
    <n v="918.68000000000006"/>
    <n v="0"/>
    <n v="4097.1900000000005"/>
    <n v="0"/>
    <n v="978.97"/>
    <n v="11567.26"/>
    <n v="319.92"/>
    <n v="13883.97"/>
    <n v="1536.27"/>
    <n v="35805.409999999996"/>
    <n v="909.17"/>
    <n v="8397.5099999999984"/>
    <n v="19587.38"/>
    <n v="19435.68"/>
    <n v="4193.7700000000004"/>
    <n v="1071.2"/>
    <n v="0.79"/>
    <n v="0"/>
    <n v="6455.68"/>
    <n v="11059.75"/>
    <n v="71110.929999999993"/>
    <n v="86531.17"/>
    <m/>
    <n v="-677.61583007230502"/>
    <n v="-373.66726239462673"/>
    <n v="-309.51878871263773"/>
    <n v="-33.748680617594871"/>
    <n v="0"/>
    <n v="-7.2849345998257142"/>
    <n v="-2031.1405708046168"/>
    <n v="-2881.8593333010249"/>
    <n v="-2371.7840087704326"/>
    <n v="-3084.1097982770007"/>
    <n v="-1753.507660245923"/>
    <n v="-241.43426798402425"/>
    <n v="-13765.671135780014"/>
    <n v="-650.33109998408486"/>
    <n v="0"/>
    <n v="0"/>
    <n v="-238.67773602595889"/>
    <n v="0"/>
    <n v="-1064.4707986112671"/>
    <n v="0"/>
    <n v="-254.34138463592649"/>
    <n v="-3005.2329742931524"/>
    <n v="-83.116842980607771"/>
    <n v="-3607.1260141206203"/>
    <n v="-399.13075883289048"/>
    <n v="-9302.4276094845081"/>
    <n v="-236.20698966203793"/>
    <n v="-2181.7158042575757"/>
    <n v="-5088.9009373015069"/>
    <n v="-5049.4885058181408"/>
    <n v="-1089.5627737771433"/>
    <n v="-278.30320767950445"/>
    <n v="-0.20524601761277872"/>
    <n v="0"/>
    <n v="-1677.2184949145103"/>
    <n v="-2873.3792953075044"/>
    <n v="-18474.981254735536"/>
    <n v="-22481.238027689044"/>
    <m/>
    <n v="-0.35099550203125546"/>
    <n v="-0.35099550203125557"/>
    <n v="-0.3509955020312554"/>
    <n v="-0.35099550203125546"/>
    <n v="0"/>
    <n v="-0.35099550203125551"/>
    <n v="-0.35099550203125557"/>
    <n v="-0.35099550203125551"/>
    <n v="-0.35099550203125551"/>
    <n v="-0.35099550203125557"/>
    <n v="-0.35099550203125546"/>
    <n v="-0.35099550203125557"/>
    <n v="-0.35099550203125551"/>
    <n v="-0.35099550203125557"/>
    <n v="0"/>
    <n v="0"/>
    <n v="-0.35099550203125546"/>
    <n v="0"/>
    <n v="-0.35099550203125562"/>
    <n v="0"/>
    <n v="-0.35099550203125546"/>
    <n v="-0.35099550203125551"/>
    <n v="-0.35099550203125535"/>
    <n v="-0.3509955020312554"/>
    <n v="-0.35099550203125546"/>
    <n v="-0.35099550203125546"/>
    <n v="-0.35099550203125546"/>
    <n v="-0.35099550203125551"/>
    <n v="-0.35099550203125568"/>
    <n v="-0.35099550203125557"/>
    <n v="-0.35099550203125568"/>
    <n v="-0.35099550203125546"/>
    <n v="-0.35099550203125557"/>
    <n v="0"/>
    <n v="-0.35099550203125551"/>
    <n v="-0.3509955020312554"/>
    <n v="-0.35099550203125551"/>
    <n v="-0.35099550203125546"/>
    <m/>
    <n v="0"/>
    <n v="0"/>
    <n v="0"/>
    <n v="0"/>
    <n v="0"/>
    <n v="0"/>
    <n v="0"/>
    <n v="0"/>
    <n v="25878.07"/>
    <n v="0"/>
    <n v="0"/>
    <n v="0"/>
    <n v="25878.07"/>
    <n v="0"/>
    <n v="0"/>
    <n v="77385.77"/>
    <n v="0"/>
    <n v="0"/>
    <n v="0"/>
    <n v="0"/>
    <n v="0"/>
    <n v="0"/>
    <n v="0"/>
    <n v="0"/>
    <n v="0"/>
    <n v="77385.77"/>
    <n v="0"/>
    <n v="0"/>
    <n v="0"/>
    <n v="0"/>
    <n v="0"/>
    <n v="0"/>
    <n v="15094.03"/>
    <n v="0"/>
    <n v="0"/>
    <n v="0"/>
    <n v="15094.03"/>
    <n v="15094.03"/>
    <m/>
    <n v="1930.5541699276951"/>
    <n v="1064.5927376053733"/>
    <n v="881.83121128736218"/>
    <n v="96.151319382405134"/>
    <n v="0"/>
    <n v="20.755065400174285"/>
    <n v="5786.7994291953837"/>
    <n v="8210.5306666989727"/>
    <n v="-19120.764008770431"/>
    <n v="8786.7502017229999"/>
    <n v="4995.8123397540767"/>
    <n v="687.85573201597583"/>
    <n v="13340.86886421999"/>
    <n v="1852.8189000159152"/>
    <n v="0"/>
    <n v="-77385.77"/>
    <n v="680.00226397404117"/>
    <n v="0"/>
    <n v="3032.7192013887334"/>
    <n v="0"/>
    <n v="724.62861536407354"/>
    <n v="8562.0270257068478"/>
    <n v="236.80315701939224"/>
    <n v="10276.843985879379"/>
    <n v="1137.1392411671095"/>
    <n v="-50882.787609484512"/>
    <n v="672.96301033796203"/>
    <n v="6215.7941957424227"/>
    <n v="14498.479062698494"/>
    <n v="14386.19149418186"/>
    <n v="3104.2072262228571"/>
    <n v="792.89679232049559"/>
    <n v="-15093.445246017613"/>
    <n v="0"/>
    <n v="4778.46150508549"/>
    <n v="8186.3707046924956"/>
    <n v="37541.918745264469"/>
    <n v="48955.90197231096"/>
  </r>
  <r>
    <x v="1"/>
    <x v="1"/>
    <x v="1"/>
    <x v="0"/>
    <x v="1"/>
    <x v="0"/>
    <x v="0"/>
    <m/>
    <m/>
    <n v="0"/>
    <n v="1173.1434182715652"/>
    <n v="3112.4903006923078"/>
    <n v="0"/>
    <n v="18228.985483092569"/>
    <n v="0"/>
    <n v="211.48996155849622"/>
    <n v="0"/>
    <n v="5105.3204808770115"/>
    <n v="328.50559347792841"/>
    <n v="6646.3540174348564"/>
    <n v="0"/>
    <n v="34806.289255404728"/>
    <n v="15354.651487821988"/>
    <n v="0"/>
    <n v="0"/>
    <n v="0"/>
    <n v="49326.477463189185"/>
    <n v="370.61783341003451"/>
    <n v="0"/>
    <n v="0"/>
    <n v="787.09642324126366"/>
    <n v="8309.0135265047375"/>
    <n v="0"/>
    <n v="36973.249740621643"/>
    <n v="111121.10647478886"/>
    <n v="547.42565022015401"/>
    <n v="0"/>
    <n v="0"/>
    <n v="0"/>
    <n v="260.09516755205948"/>
    <n v="11739.734469227204"/>
    <n v="4728.2013141812149"/>
    <n v="0"/>
    <n v="0"/>
    <n v="11048.007668625747"/>
    <n v="28323.464269806376"/>
    <n v="65296.714010428019"/>
    <m/>
    <n v="0"/>
    <n v="1402.0700000000002"/>
    <n v="3719.86"/>
    <n v="0"/>
    <n v="21786.179999999997"/>
    <n v="0"/>
    <n v="252.76000000000002"/>
    <n v="0"/>
    <n v="6101.5699999999988"/>
    <n v="392.60999999999996"/>
    <n v="7943.3200000000006"/>
    <n v="0"/>
    <n v="41598.369999999995"/>
    <n v="18350.949999999997"/>
    <n v="0"/>
    <n v="0"/>
    <n v="0"/>
    <n v="58952.02"/>
    <n v="442.94000000000005"/>
    <n v="0"/>
    <n v="0"/>
    <n v="940.69"/>
    <n v="9930.43"/>
    <n v="0"/>
    <n v="44188.19"/>
    <n v="132805.22"/>
    <n v="654.25"/>
    <n v="0"/>
    <n v="0"/>
    <n v="0"/>
    <n v="310.85000000000002"/>
    <n v="14030.619999999999"/>
    <n v="5650.86"/>
    <n v="0"/>
    <n v="0"/>
    <n v="13203.91"/>
    <n v="33850.49"/>
    <n v="78038.679999999993"/>
    <m/>
    <n v="0"/>
    <n v="-228.92658172843494"/>
    <n v="-607.36969930769237"/>
    <n v="0"/>
    <n v="-3557.1945169074279"/>
    <n v="0"/>
    <n v="-41.2700384415038"/>
    <n v="0"/>
    <n v="-996.24951912298729"/>
    <n v="-64.104406522071542"/>
    <n v="-1296.9659825651443"/>
    <n v="0"/>
    <n v="-6792.0807445952623"/>
    <n v="-2996.2985121780093"/>
    <n v="0"/>
    <n v="0"/>
    <n v="0"/>
    <n v="-9625.5425368108117"/>
    <n v="-72.322166589965548"/>
    <n v="0"/>
    <n v="0"/>
    <n v="-153.59357675873639"/>
    <n v="-1621.4164734952628"/>
    <n v="0"/>
    <n v="-7214.9402593783598"/>
    <n v="-21684.113525211145"/>
    <n v="-106.82434977984599"/>
    <n v="0"/>
    <n v="0"/>
    <n v="0"/>
    <n v="-50.754832447940544"/>
    <n v="-2290.8855307727954"/>
    <n v="-922.65868581878476"/>
    <n v="0"/>
    <n v="0"/>
    <n v="-2155.9023313742528"/>
    <n v="-5527.0257301936199"/>
    <n v="-12741.96598957198"/>
    <m/>
    <n v="0"/>
    <n v="-0.19513946731740675"/>
    <n v="-0.19513946731740683"/>
    <n v="0"/>
    <n v="-0.19513946731740694"/>
    <n v="0"/>
    <n v="-0.19513946731740683"/>
    <n v="0"/>
    <n v="-0.19513946731740683"/>
    <n v="-0.19513946731740681"/>
    <n v="-0.19513946731740675"/>
    <n v="0"/>
    <n v="-0.19513946731740692"/>
    <n v="-0.19513946731740672"/>
    <n v="0"/>
    <n v="0"/>
    <n v="0"/>
    <n v="-0.19513946731740686"/>
    <n v="-0.19513946731740681"/>
    <n v="0"/>
    <n v="0"/>
    <n v="-0.19513946731740683"/>
    <n v="-0.19513946731740686"/>
    <n v="0"/>
    <n v="-0.19513946731740689"/>
    <n v="-0.19513946731740683"/>
    <n v="-0.19513946731740694"/>
    <n v="0"/>
    <n v="0"/>
    <n v="0"/>
    <n v="-0.19513946731740675"/>
    <n v="-0.19513946731740675"/>
    <n v="-0.19513946731740672"/>
    <n v="0"/>
    <n v="0"/>
    <n v="-0.19513946731740672"/>
    <n v="-0.19513946731740678"/>
    <n v="-0.19513946731740683"/>
    <m/>
    <n v="0"/>
    <n v="43870.97"/>
    <n v="0"/>
    <n v="0"/>
    <n v="0"/>
    <n v="0"/>
    <n v="0"/>
    <n v="0"/>
    <n v="0"/>
    <n v="0"/>
    <n v="0"/>
    <n v="0"/>
    <n v="43870.97"/>
    <n v="0"/>
    <n v="0"/>
    <n v="0"/>
    <n v="0"/>
    <n v="0"/>
    <n v="0"/>
    <n v="0"/>
    <n v="0"/>
    <n v="0"/>
    <n v="14224.16"/>
    <n v="0"/>
    <n v="0"/>
    <n v="14224.16"/>
    <n v="0"/>
    <n v="0"/>
    <n v="0"/>
    <n v="0"/>
    <n v="116155.73000000001"/>
    <n v="0"/>
    <n v="0"/>
    <n v="0"/>
    <n v="0"/>
    <n v="0"/>
    <n v="116155.73000000001"/>
    <n v="116155.73000000001"/>
    <m/>
    <n v="0"/>
    <n v="-42697.826581728434"/>
    <n v="3112.4903006923078"/>
    <n v="0"/>
    <n v="18228.985483092569"/>
    <n v="0"/>
    <n v="211.48996155849622"/>
    <n v="0"/>
    <n v="5105.3204808770115"/>
    <n v="328.50559347792841"/>
    <n v="6646.3540174348564"/>
    <n v="0"/>
    <n v="-9064.6807445952691"/>
    <n v="15354.651487821988"/>
    <n v="0"/>
    <n v="0"/>
    <n v="0"/>
    <n v="49326.477463189185"/>
    <n v="370.61783341003451"/>
    <n v="0"/>
    <n v="0"/>
    <n v="787.09642324126366"/>
    <n v="-5915.1464734952624"/>
    <n v="0"/>
    <n v="36973.249740621643"/>
    <n v="96896.946474788856"/>
    <n v="547.42565022015401"/>
    <n v="0"/>
    <n v="0"/>
    <n v="0"/>
    <n v="-115895.63483244795"/>
    <n v="11739.734469227204"/>
    <n v="4728.2013141812149"/>
    <n v="0"/>
    <n v="0"/>
    <n v="11048.007668625747"/>
    <n v="-87832.265730193612"/>
    <n v="-50859.01598957197"/>
  </r>
  <r>
    <x v="2"/>
    <x v="2"/>
    <x v="2"/>
    <x v="0"/>
    <x v="2"/>
    <x v="1"/>
    <x v="1"/>
    <m/>
    <m/>
    <n v="191.38038773106089"/>
    <n v="1152.6045726736297"/>
    <n v="0"/>
    <n v="50.239855010843989"/>
    <n v="0"/>
    <n v="14797.835972308794"/>
    <n v="0"/>
    <n v="11657.890926707454"/>
    <n v="3443.6788044868626"/>
    <n v="0"/>
    <n v="702.86566796851753"/>
    <n v="582.71890292929766"/>
    <n v="32579.215089816462"/>
    <n v="0"/>
    <n v="1.8440471611686635"/>
    <n v="1925.2186126792915"/>
    <n v="0"/>
    <n v="0"/>
    <n v="20741.575457471477"/>
    <n v="0"/>
    <n v="0"/>
    <n v="153.71509865633084"/>
    <n v="8354.5933414038573"/>
    <n v="0"/>
    <n v="10544.445237868054"/>
    <n v="41721.391795240183"/>
    <n v="0"/>
    <n v="295.26449251182953"/>
    <n v="0"/>
    <n v="7320.1579809314526"/>
    <n v="0"/>
    <n v="7257.2017102028658"/>
    <n v="114.19741831563046"/>
    <n v="14052.432058061375"/>
    <n v="23999.481112653997"/>
    <n v="419.60834226628845"/>
    <n v="53458.34311494344"/>
    <n v="64002.788352811491"/>
    <m/>
    <n v="229.35999999999999"/>
    <n v="1381.3400000000001"/>
    <n v="0"/>
    <n v="60.21"/>
    <n v="0"/>
    <n v="17734.48"/>
    <n v="0"/>
    <n v="13971.41"/>
    <n v="4127.08"/>
    <n v="0"/>
    <n v="842.35"/>
    <n v="698.36"/>
    <n v="39044.590000000004"/>
    <n v="0"/>
    <n v="2.21"/>
    <n v="2307.2800000000002"/>
    <n v="0"/>
    <n v="0"/>
    <n v="24857.760000000006"/>
    <n v="0"/>
    <n v="0"/>
    <n v="184.22"/>
    <n v="10012.57"/>
    <n v="0"/>
    <n v="12637"/>
    <n v="50001.040000000008"/>
    <n v="0"/>
    <n v="353.86"/>
    <n v="0"/>
    <n v="8772.85"/>
    <n v="0"/>
    <n v="8697.4"/>
    <n v="136.86000000000001"/>
    <n v="16841.150000000001"/>
    <n v="28762.2"/>
    <n v="502.88"/>
    <n v="64067.200000000004"/>
    <n v="76704.200000000012"/>
    <m/>
    <n v="-37.979612268939093"/>
    <n v="-228.73542732637043"/>
    <n v="0"/>
    <n v="-9.9701449891560117"/>
    <n v="0"/>
    <n v="-2936.6440276912053"/>
    <n v="0"/>
    <n v="-2313.5190732925457"/>
    <n v="-683.40119551313728"/>
    <n v="0"/>
    <n v="-139.4843320314825"/>
    <n v="-115.64109707070236"/>
    <n v="-6465.3749101835383"/>
    <n v="0"/>
    <n v="-0.36595283883133645"/>
    <n v="-382.06138732070872"/>
    <n v="0"/>
    <n v="0"/>
    <n v="-4116.1845425285283"/>
    <n v="0"/>
    <n v="0"/>
    <n v="-30.504901343669161"/>
    <n v="-1657.9766585961424"/>
    <n v="0"/>
    <n v="-2092.5547621319456"/>
    <n v="-8279.6482047598256"/>
    <n v="0"/>
    <n v="-58.595507488170483"/>
    <n v="0"/>
    <n v="-1452.6920190685478"/>
    <n v="0"/>
    <n v="-1440.1982897971338"/>
    <n v="-22.662581684369556"/>
    <n v="-2788.7179419386266"/>
    <n v="-4762.7188873460036"/>
    <n v="-83.27165773371155"/>
    <n v="-10608.856885056564"/>
    <n v="-12701.41164718851"/>
    <m/>
    <n v="-0.1984509108755193"/>
    <n v="-0.19845091087551925"/>
    <n v="0"/>
    <n v="-0.19845091087551928"/>
    <n v="0"/>
    <n v="-0.19845091087551925"/>
    <n v="0"/>
    <n v="-0.19845091087551928"/>
    <n v="-0.1984509108755193"/>
    <n v="0"/>
    <n v="-0.19845091087551914"/>
    <n v="-0.19845091087551917"/>
    <n v="-0.19845091087551925"/>
    <n v="0"/>
    <n v="-0.19845091087551911"/>
    <n v="-0.19845091087551917"/>
    <n v="0"/>
    <n v="0"/>
    <n v="-0.19845091087551919"/>
    <n v="0"/>
    <n v="0"/>
    <n v="-0.19845091087551925"/>
    <n v="-0.19845091087551914"/>
    <n v="0"/>
    <n v="-0.19845091087551917"/>
    <n v="-0.19845091087551917"/>
    <n v="0"/>
    <n v="-0.19845091087551919"/>
    <n v="0"/>
    <n v="-0.19845091087551914"/>
    <n v="0"/>
    <n v="-0.19845091087551911"/>
    <n v="-0.19845091087551914"/>
    <n v="-0.19845091087551919"/>
    <n v="-0.19845091087551917"/>
    <n v="-0.19845091087551917"/>
    <n v="-0.19845091087551917"/>
    <n v="-0.19845091087551917"/>
    <m/>
    <n v="0"/>
    <n v="0"/>
    <n v="0"/>
    <n v="0"/>
    <n v="0"/>
    <n v="0"/>
    <n v="0"/>
    <n v="0"/>
    <n v="0"/>
    <n v="0"/>
    <n v="0"/>
    <n v="27750.83"/>
    <n v="27750.83"/>
    <n v="0"/>
    <n v="0"/>
    <n v="0"/>
    <n v="9110.27"/>
    <n v="0"/>
    <n v="0"/>
    <n v="0"/>
    <n v="0"/>
    <n v="0"/>
    <n v="0"/>
    <n v="0"/>
    <n v="0"/>
    <n v="9110.27"/>
    <n v="0"/>
    <n v="0"/>
    <n v="90897.85"/>
    <n v="0"/>
    <n v="0"/>
    <n v="0"/>
    <n v="0"/>
    <n v="0"/>
    <n v="0"/>
    <n v="0"/>
    <n v="90897.85"/>
    <n v="90897.85"/>
    <m/>
    <n v="191.38038773106089"/>
    <n v="1152.6045726736297"/>
    <n v="0"/>
    <n v="50.239855010843989"/>
    <n v="0"/>
    <n v="14797.835972308794"/>
    <n v="0"/>
    <n v="11657.890926707454"/>
    <n v="3443.6788044868626"/>
    <n v="0"/>
    <n v="702.86566796851753"/>
    <n v="-27168.111097070705"/>
    <n v="4828.3850898164601"/>
    <n v="0"/>
    <n v="1.8440471611686635"/>
    <n v="1925.2186126792915"/>
    <n v="-9110.27"/>
    <n v="0"/>
    <n v="20741.575457471477"/>
    <n v="0"/>
    <n v="0"/>
    <n v="153.71509865633084"/>
    <n v="8354.5933414038573"/>
    <n v="0"/>
    <n v="10544.445237868054"/>
    <n v="32611.121795240178"/>
    <n v="0"/>
    <n v="295.26449251182953"/>
    <n v="-90897.85"/>
    <n v="7320.1579809314526"/>
    <n v="0"/>
    <n v="7257.2017102028658"/>
    <n v="114.19741831563046"/>
    <n v="14052.432058061375"/>
    <n v="23999.481112653997"/>
    <n v="419.60834226628845"/>
    <n v="-37439.506885056566"/>
    <n v="-26895.061647188511"/>
  </r>
  <r>
    <x v="3"/>
    <x v="3"/>
    <x v="3"/>
    <x v="0"/>
    <x v="3"/>
    <x v="2"/>
    <x v="0"/>
    <m/>
    <m/>
    <n v="0"/>
    <n v="0"/>
    <n v="47220.783116439932"/>
    <n v="0"/>
    <n v="17028.822255524407"/>
    <n v="311.92357226279319"/>
    <n v="9789.5207157196692"/>
    <n v="679.76206530085187"/>
    <n v="0"/>
    <n v="417.68120522234511"/>
    <n v="11664.495838678233"/>
    <n v="2983.9845050836252"/>
    <n v="90096.973274231859"/>
    <n v="212.05742740044121"/>
    <n v="5575.9139709627862"/>
    <n v="0"/>
    <n v="0"/>
    <n v="0"/>
    <n v="5011.5600129892928"/>
    <n v="1996.4554388769"/>
    <n v="70724.061637996987"/>
    <n v="0"/>
    <n v="0"/>
    <n v="50.601738258158811"/>
    <n v="0"/>
    <n v="83570.650226484562"/>
    <n v="476.95752718190266"/>
    <n v="0"/>
    <n v="3953.1162250236339"/>
    <n v="4595.0354189271329"/>
    <n v="248.34610255129229"/>
    <n v="0"/>
    <n v="0"/>
    <n v="12069.454321138526"/>
    <n v="26512.816904461062"/>
    <n v="0"/>
    <n v="47855.726499283548"/>
    <n v="47906.328237541704"/>
    <m/>
    <n v="0"/>
    <n v="0"/>
    <n v="13064.590000000002"/>
    <n v="0"/>
    <n v="4711.3700000000008"/>
    <n v="86.3"/>
    <n v="2708.47"/>
    <n v="188.07"/>
    <n v="0"/>
    <n v="115.56"/>
    <n v="3227.22"/>
    <n v="825.58"/>
    <n v="24927.160000000007"/>
    <n v="58.67"/>
    <n v="1542.69"/>
    <n v="0"/>
    <n v="0"/>
    <n v="0"/>
    <n v="1386.55"/>
    <n v="552.36"/>
    <n v="19567.25"/>
    <n v="0"/>
    <n v="0"/>
    <n v="14"/>
    <n v="0"/>
    <n v="23121.52"/>
    <n v="131.96"/>
    <n v="0"/>
    <n v="1093.71"/>
    <n v="1271.31"/>
    <n v="68.710000000000008"/>
    <n v="0"/>
    <n v="0"/>
    <n v="3339.2599999999998"/>
    <n v="7335.31"/>
    <n v="0"/>
    <n v="13240.26"/>
    <n v="13254.26"/>
    <m/>
    <n v="0"/>
    <n v="0"/>
    <n v="34156.193116439928"/>
    <n v="0"/>
    <n v="12317.452255524406"/>
    <n v="225.62357226279318"/>
    <n v="7081.0507157196698"/>
    <n v="491.69206530085188"/>
    <n v="0"/>
    <n v="302.12120522234511"/>
    <n v="8437.2758386782334"/>
    <n v="2158.4045050836253"/>
    <n v="65169.813274231841"/>
    <n v="153.3874274004412"/>
    <n v="4033.2239709627861"/>
    <n v="0"/>
    <n v="0"/>
    <n v="0"/>
    <n v="3625.0100129892926"/>
    <n v="1444.0954388769001"/>
    <n v="51156.811637996987"/>
    <n v="0"/>
    <n v="0"/>
    <n v="36.601738258158811"/>
    <n v="0"/>
    <n v="60449.130226484565"/>
    <n v="344.99752718190268"/>
    <n v="0"/>
    <n v="2859.4062250236339"/>
    <n v="3323.725418927133"/>
    <n v="179.63610255129228"/>
    <n v="0"/>
    <n v="0"/>
    <n v="8730.194321138526"/>
    <n v="19177.506904461061"/>
    <n v="0"/>
    <n v="34615.466499283546"/>
    <n v="34652.068237541702"/>
    <m/>
    <n v="0"/>
    <n v="0"/>
    <n v="0.72332966253896025"/>
    <n v="0"/>
    <n v="0.72332966253896025"/>
    <n v="0.72332966253896025"/>
    <n v="0.72332966253896036"/>
    <n v="0.72332966253896025"/>
    <n v="0"/>
    <n v="0.72332966253896025"/>
    <n v="0.72332966253896036"/>
    <n v="0.72332966253896036"/>
    <n v="0.72332966253896014"/>
    <n v="0.72332966253896025"/>
    <n v="0.72332966253896025"/>
    <n v="0"/>
    <n v="0"/>
    <n v="0"/>
    <n v="0.72332966253896025"/>
    <n v="0.72332966253896036"/>
    <n v="0.72332966253896025"/>
    <n v="0"/>
    <n v="0"/>
    <n v="0.72332966253896036"/>
    <n v="0"/>
    <n v="0.72332966253896036"/>
    <n v="0.72332966253896036"/>
    <n v="0"/>
    <n v="0.72332966253896036"/>
    <n v="0.72332966253896025"/>
    <n v="0.72332966253896036"/>
    <n v="0"/>
    <n v="0"/>
    <n v="0.72332966253896025"/>
    <n v="0.72332966253896025"/>
    <n v="0"/>
    <n v="0.72332966253896025"/>
    <n v="0.72332966253896025"/>
    <m/>
    <n v="0"/>
    <n v="0"/>
    <n v="0"/>
    <n v="0"/>
    <n v="0"/>
    <n v="0"/>
    <n v="0"/>
    <n v="0"/>
    <n v="0"/>
    <n v="0"/>
    <n v="0"/>
    <n v="0"/>
    <n v="0"/>
    <n v="0"/>
    <n v="86647.64"/>
    <n v="0"/>
    <n v="0"/>
    <n v="0"/>
    <n v="0"/>
    <n v="0"/>
    <n v="0"/>
    <n v="0"/>
    <n v="0"/>
    <n v="35595.96"/>
    <n v="38720.559999999998"/>
    <n v="160964.16"/>
    <n v="0"/>
    <n v="0"/>
    <n v="0"/>
    <n v="0"/>
    <n v="0"/>
    <n v="60559.19"/>
    <n v="0"/>
    <n v="0"/>
    <n v="0"/>
    <n v="0"/>
    <n v="60559.19"/>
    <n v="134875.71"/>
    <m/>
    <n v="0"/>
    <n v="0"/>
    <n v="47220.783116439932"/>
    <n v="0"/>
    <n v="17028.822255524407"/>
    <n v="311.92357226279319"/>
    <n v="9789.5207157196692"/>
    <n v="679.76206530085187"/>
    <n v="0"/>
    <n v="417.68120522234511"/>
    <n v="11664.495838678233"/>
    <n v="2983.9845050836252"/>
    <n v="90096.973274231859"/>
    <n v="212.05742740044121"/>
    <n v="-81071.726029037207"/>
    <n v="0"/>
    <n v="0"/>
    <n v="0"/>
    <n v="5011.5600129892928"/>
    <n v="1996.4554388769"/>
    <n v="70724.061637996987"/>
    <n v="0"/>
    <n v="0"/>
    <n v="-35545.358261741843"/>
    <n v="-38720.559999999998"/>
    <n v="-77393.509773515412"/>
    <n v="476.95752718190266"/>
    <n v="0"/>
    <n v="3953.1162250236339"/>
    <n v="4595.0354189271329"/>
    <n v="248.34610255129229"/>
    <n v="-60559.19"/>
    <n v="0"/>
    <n v="12069.454321138526"/>
    <n v="26512.816904461062"/>
    <n v="0"/>
    <n v="-12703.463500716454"/>
    <n v="-86969.381762458303"/>
  </r>
  <r>
    <x v="4"/>
    <x v="4"/>
    <x v="4"/>
    <x v="0"/>
    <x v="4"/>
    <x v="2"/>
    <x v="0"/>
    <m/>
    <m/>
    <n v="6468.8077147061877"/>
    <n v="22678.11179718627"/>
    <n v="1103.2751911037478"/>
    <n v="246.8378686442199"/>
    <n v="4462.7152803542594"/>
    <n v="9340.067400365002"/>
    <n v="9852.6985608479063"/>
    <n v="7887.3515912158155"/>
    <n v="0"/>
    <n v="15993.942650516574"/>
    <n v="13738.369022451108"/>
    <n v="0"/>
    <n v="91772.177077391098"/>
    <n v="6670.6742765789577"/>
    <n v="20150.658273504083"/>
    <n v="0"/>
    <n v="0"/>
    <n v="0"/>
    <n v="25253.927735459096"/>
    <n v="201.15355971591455"/>
    <n v="0"/>
    <n v="1025.1579791867523"/>
    <n v="31218.329899930999"/>
    <n v="21417.402251789426"/>
    <n v="0"/>
    <n v="105937.30397616525"/>
    <n v="3119.9061451399371"/>
    <n v="0"/>
    <n v="0"/>
    <n v="1701.8839775255697"/>
    <n v="21406.933293291208"/>
    <n v="571.68860742638333"/>
    <n v="0"/>
    <n v="17371.949745864466"/>
    <n v="0"/>
    <n v="7145.7771771961252"/>
    <n v="51318.138946443694"/>
    <n v="72735.541198233113"/>
    <m/>
    <n v="3719.78"/>
    <n v="13040.67"/>
    <n v="634.41999999999996"/>
    <n v="141.94"/>
    <n v="2566.21"/>
    <n v="5370.8499999999995"/>
    <n v="5665.630000000001"/>
    <n v="4535.49"/>
    <n v="0"/>
    <n v="9197.0499999999993"/>
    <n v="7900.02"/>
    <n v="0"/>
    <n v="52772.06"/>
    <n v="3835.8599999999997"/>
    <n v="11587.300000000001"/>
    <n v="0"/>
    <n v="0"/>
    <n v="0"/>
    <n v="14521.849999999999"/>
    <n v="115.66999999999999"/>
    <n v="0"/>
    <n v="589.5"/>
    <n v="17951.580000000002"/>
    <n v="12315.719999999998"/>
    <n v="0"/>
    <n v="60917.479999999996"/>
    <n v="1794.05"/>
    <n v="0"/>
    <n v="0"/>
    <n v="978.64"/>
    <n v="12309.7"/>
    <n v="328.74"/>
    <n v="0"/>
    <n v="9989.4500000000007"/>
    <n v="0"/>
    <n v="4109.0599999999995"/>
    <n v="29509.64"/>
    <n v="41825.360000000001"/>
    <m/>
    <n v="2749.0277147061875"/>
    <n v="9637.4417971862695"/>
    <n v="468.85519110374787"/>
    <n v="104.8978686442199"/>
    <n v="1896.5052803542594"/>
    <n v="3969.2174003650025"/>
    <n v="4187.0685608479052"/>
    <n v="3351.8615912158157"/>
    <n v="0"/>
    <n v="6796.8926505165746"/>
    <n v="5838.3490224511079"/>
    <n v="0"/>
    <n v="39000.1170773911"/>
    <n v="2834.814276578958"/>
    <n v="8563.3582735040818"/>
    <n v="0"/>
    <n v="0"/>
    <n v="0"/>
    <n v="10732.077735459097"/>
    <n v="85.483559715914566"/>
    <n v="0"/>
    <n v="435.6579791867523"/>
    <n v="13266.749899930997"/>
    <n v="9101.6822517894288"/>
    <n v="0"/>
    <n v="45019.823976165237"/>
    <n v="1325.8561451399371"/>
    <n v="0"/>
    <n v="0"/>
    <n v="723.24397752556968"/>
    <n v="9097.2332932912068"/>
    <n v="242.94860742638332"/>
    <n v="0"/>
    <n v="7382.4997458644648"/>
    <n v="0"/>
    <n v="3036.7171771961257"/>
    <n v="21808.498946443688"/>
    <n v="30910.181198233116"/>
    <m/>
    <n v="0.42496667638714131"/>
    <n v="0.42496667638714131"/>
    <n v="0.42496667638714131"/>
    <n v="0.42496667638714136"/>
    <n v="0.42496667638714136"/>
    <n v="0.42496667638714136"/>
    <n v="0.42496667638714131"/>
    <n v="0.42496667638714131"/>
    <n v="0"/>
    <n v="0.42496667638714136"/>
    <n v="0.42496667638714136"/>
    <n v="0"/>
    <n v="0.42496667638714142"/>
    <n v="0.42496667638714131"/>
    <n v="0.42496667638714136"/>
    <n v="0"/>
    <n v="0"/>
    <n v="0"/>
    <n v="0.42496667638714131"/>
    <n v="0.42496667638714131"/>
    <n v="0"/>
    <n v="0.42496667638714131"/>
    <n v="0.42496667638714142"/>
    <n v="0.42496667638714131"/>
    <n v="0"/>
    <n v="0.42496667638714131"/>
    <n v="0.42496667638714131"/>
    <n v="0"/>
    <n v="0"/>
    <n v="0.42496667638714131"/>
    <n v="0.42496667638714136"/>
    <n v="0.42496667638714131"/>
    <n v="0"/>
    <n v="0.42496667638714125"/>
    <n v="0"/>
    <n v="0.42496667638714131"/>
    <n v="0.42496667638714125"/>
    <n v="0.42496667638714131"/>
    <m/>
    <n v="55336.76"/>
    <n v="0"/>
    <n v="0"/>
    <n v="0"/>
    <n v="0"/>
    <n v="802.12"/>
    <n v="0"/>
    <n v="0"/>
    <n v="20779.810000000001"/>
    <n v="0"/>
    <n v="0"/>
    <n v="0"/>
    <n v="76918.69"/>
    <n v="0"/>
    <n v="0"/>
    <n v="0"/>
    <n v="0"/>
    <n v="0"/>
    <n v="0"/>
    <n v="0"/>
    <n v="0"/>
    <n v="0"/>
    <n v="90358.930000000008"/>
    <n v="0"/>
    <n v="0"/>
    <n v="90358.930000000008"/>
    <n v="0"/>
    <n v="0"/>
    <n v="0"/>
    <n v="0"/>
    <n v="0"/>
    <n v="0"/>
    <n v="0"/>
    <n v="0"/>
    <n v="81750"/>
    <n v="0"/>
    <n v="81750"/>
    <n v="81750"/>
    <m/>
    <n v="-48867.952285293817"/>
    <n v="22678.11179718627"/>
    <n v="1103.2751911037478"/>
    <n v="246.8378686442199"/>
    <n v="4462.7152803542594"/>
    <n v="8537.9474003650012"/>
    <n v="9852.6985608479063"/>
    <n v="7887.3515912158155"/>
    <n v="-20779.810000000001"/>
    <n v="15993.942650516574"/>
    <n v="13738.369022451108"/>
    <n v="0"/>
    <n v="14853.487077391082"/>
    <n v="6670.6742765789577"/>
    <n v="20150.658273504083"/>
    <n v="0"/>
    <n v="0"/>
    <n v="0"/>
    <n v="25253.927735459096"/>
    <n v="201.15355971591455"/>
    <n v="0"/>
    <n v="1025.1579791867523"/>
    <n v="-59140.600100069008"/>
    <n v="21417.402251789426"/>
    <n v="0"/>
    <n v="15578.373976165225"/>
    <n v="3119.9061451399371"/>
    <n v="0"/>
    <n v="0"/>
    <n v="1701.8839775255697"/>
    <n v="21406.933293291208"/>
    <n v="571.68860742638333"/>
    <n v="0"/>
    <n v="17371.949745864466"/>
    <n v="-81750"/>
    <n v="7145.7771771961252"/>
    <n v="-30431.861053556306"/>
    <n v="-9014.4588017668793"/>
  </r>
  <r>
    <x v="5"/>
    <x v="5"/>
    <x v="5"/>
    <x v="0"/>
    <x v="2"/>
    <x v="1"/>
    <x v="1"/>
    <m/>
    <m/>
    <n v="0"/>
    <n v="211.58747670940653"/>
    <n v="0"/>
    <n v="2606.3298851760946"/>
    <n v="0"/>
    <n v="9034.1054442356308"/>
    <n v="0"/>
    <n v="73.256460949539786"/>
    <n v="2122.9931462905151"/>
    <n v="408.16472088572249"/>
    <n v="5.4324472815009708"/>
    <n v="263.11414853294247"/>
    <n v="14724.983730061353"/>
    <n v="0"/>
    <n v="1599.4599231818597"/>
    <n v="1461.8782104953038"/>
    <n v="879.02314649399534"/>
    <n v="0"/>
    <n v="2540.7900373283092"/>
    <n v="0"/>
    <n v="0"/>
    <n v="746.20313398299243"/>
    <n v="1317.3594016139048"/>
    <n v="0"/>
    <n v="59.889860964356075"/>
    <n v="8604.6037140607223"/>
    <n v="369.29160257438127"/>
    <n v="0"/>
    <n v="57.533181943460214"/>
    <n v="510.83737022941887"/>
    <n v="3951.1476187667977"/>
    <n v="98.18287367055369"/>
    <n v="21277.469908693318"/>
    <n v="0"/>
    <n v="0"/>
    <n v="0"/>
    <n v="26264.46255587793"/>
    <n v="26324.352416842285"/>
    <m/>
    <n v="0"/>
    <n v="350.15"/>
    <n v="0"/>
    <n v="4313.1399999999994"/>
    <n v="0"/>
    <n v="14950.279999999999"/>
    <n v="0"/>
    <n v="121.23"/>
    <n v="3513.28"/>
    <n v="675.46"/>
    <n v="8.99"/>
    <n v="435.42000000000007"/>
    <n v="24367.949999999997"/>
    <n v="0"/>
    <n v="2646.9"/>
    <n v="2419.2200000000007"/>
    <n v="1454.6700000000003"/>
    <n v="0"/>
    <n v="4204.68"/>
    <n v="0"/>
    <n v="0"/>
    <n v="1234.8699999999999"/>
    <n v="2180.06"/>
    <n v="0"/>
    <n v="99.11"/>
    <n v="14239.51"/>
    <n v="611.13"/>
    <n v="0"/>
    <n v="95.21"/>
    <n v="845.37000000000012"/>
    <n v="6538.6400000000012"/>
    <n v="162.47999999999999"/>
    <n v="35211.469999999994"/>
    <n v="0"/>
    <n v="0"/>
    <n v="0"/>
    <n v="43464.299999999996"/>
    <n v="43563.409999999996"/>
    <m/>
    <n v="0"/>
    <n v="-138.56252329059345"/>
    <n v="0"/>
    <n v="-1706.8101148239048"/>
    <n v="0"/>
    <n v="-5916.1745557643681"/>
    <n v="0"/>
    <n v="-47.973539050460218"/>
    <n v="-1390.2868537094851"/>
    <n v="-267.29527911427755"/>
    <n v="-3.5575527184990294"/>
    <n v="-172.30585146705761"/>
    <n v="-9642.9662699386463"/>
    <n v="0"/>
    <n v="-1047.4400768181404"/>
    <n v="-957.34178950469686"/>
    <n v="-575.64685350600496"/>
    <n v="0"/>
    <n v="-1663.8899626716911"/>
    <n v="0"/>
    <n v="0"/>
    <n v="-488.66686601700746"/>
    <n v="-862.70059838609518"/>
    <n v="0"/>
    <n v="-39.220139035643925"/>
    <n v="-5634.9062859392798"/>
    <n v="-241.83839742561872"/>
    <n v="0"/>
    <n v="-37.67681805653978"/>
    <n v="-334.53262977058125"/>
    <n v="-2587.4923812332036"/>
    <n v="-64.2971263294463"/>
    <n v="-13934.000091306676"/>
    <n v="0"/>
    <n v="0"/>
    <n v="0"/>
    <n v="-17199.837444122066"/>
    <n v="-17239.057583157708"/>
    <m/>
    <n v="0"/>
    <n v="-0.65487109844830138"/>
    <n v="0"/>
    <n v="-0.6548710984483016"/>
    <n v="0"/>
    <n v="-0.65487109844830149"/>
    <n v="0"/>
    <n v="-0.65487109844830138"/>
    <n v="-0.65487109844830138"/>
    <n v="-0.65487109844830171"/>
    <n v="-0.65487109844830138"/>
    <n v="-0.6548710984483016"/>
    <n v="-0.65487109844830149"/>
    <n v="0"/>
    <n v="-0.65487109844830149"/>
    <n v="-0.65487109844830149"/>
    <n v="-0.65487109844830149"/>
    <n v="0"/>
    <n v="-0.6548710984483016"/>
    <n v="0"/>
    <n v="0"/>
    <n v="-0.6548710984483016"/>
    <n v="-0.6548710984483016"/>
    <n v="0"/>
    <n v="-0.6548710984483016"/>
    <n v="-0.65487109844830149"/>
    <n v="-0.6548710984483016"/>
    <n v="0"/>
    <n v="-0.6548710984483016"/>
    <n v="-0.6548710984483016"/>
    <n v="-0.65487109844830149"/>
    <n v="-0.65487109844830138"/>
    <n v="-0.6548710984483016"/>
    <n v="0"/>
    <n v="0"/>
    <n v="0"/>
    <n v="-0.6548710984483016"/>
    <n v="-0.65487109844830149"/>
    <m/>
    <n v="0"/>
    <n v="2078.71"/>
    <n v="0"/>
    <n v="0"/>
    <n v="0"/>
    <n v="14658.1"/>
    <n v="0"/>
    <n v="0"/>
    <n v="0"/>
    <n v="0"/>
    <n v="0"/>
    <n v="0"/>
    <n v="16736.81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857.24"/>
    <n v="32857.24"/>
    <n v="32857.24"/>
    <m/>
    <n v="0"/>
    <n v="-1867.1225232905936"/>
    <n v="0"/>
    <n v="2606.3298851760946"/>
    <n v="0"/>
    <n v="-5623.9945557643696"/>
    <n v="0"/>
    <n v="73.256460949539786"/>
    <n v="2122.9931462905151"/>
    <n v="408.16472088572249"/>
    <n v="5.4324472815009708"/>
    <n v="263.11414853294247"/>
    <n v="-2011.826269938648"/>
    <n v="0"/>
    <n v="1599.4599231818597"/>
    <n v="1461.8782104953038"/>
    <n v="879.02314649399534"/>
    <n v="0"/>
    <n v="2540.7900373283092"/>
    <n v="0"/>
    <n v="0"/>
    <n v="746.20313398299243"/>
    <n v="1317.3594016139048"/>
    <n v="0"/>
    <n v="59.889860964356075"/>
    <n v="8604.6037140607223"/>
    <n v="369.29160257438127"/>
    <n v="0"/>
    <n v="57.533181943460214"/>
    <n v="510.83737022941887"/>
    <n v="3951.1476187667977"/>
    <n v="98.18287367055369"/>
    <n v="21277.469908693318"/>
    <n v="0"/>
    <n v="0"/>
    <n v="-32857.24"/>
    <n v="-6592.7774441220681"/>
    <n v="-6532.8875831577125"/>
  </r>
  <r>
    <x v="6"/>
    <x v="6"/>
    <x v="0"/>
    <x v="0"/>
    <x v="1"/>
    <x v="0"/>
    <x v="0"/>
    <m/>
    <m/>
    <n v="363.89600000000024"/>
    <n v="893.39900000000057"/>
    <n v="10818.548000000006"/>
    <n v="0"/>
    <n v="0"/>
    <n v="92.222000000000051"/>
    <n v="0"/>
    <n v="0"/>
    <n v="0"/>
    <n v="17.01700000000001"/>
    <n v="0"/>
    <n v="0"/>
    <n v="12185.082000000006"/>
    <n v="2222.7660000000014"/>
    <n v="0"/>
    <n v="1617.9020000000007"/>
    <n v="784.53700000000038"/>
    <n v="629.34300000000042"/>
    <n v="21085.220000000012"/>
    <n v="19627.088000000014"/>
    <n v="1579.3830000000005"/>
    <n v="0"/>
    <n v="147.86200000000008"/>
    <n v="0"/>
    <n v="39.416000000000025"/>
    <n v="47733.517000000029"/>
    <n v="9063.8340000000062"/>
    <n v="903.65600000000063"/>
    <n v="0"/>
    <n v="11831.23500000001"/>
    <n v="5295.1340000000037"/>
    <n v="47246.914000000026"/>
    <n v="0"/>
    <n v="78.845000000000041"/>
    <n v="19590.402000000013"/>
    <n v="1754.4800000000009"/>
    <n v="95764.500000000058"/>
    <n v="95803.916000000056"/>
    <m/>
    <n v="279.92"/>
    <n v="687.23"/>
    <n v="8321.9599999999991"/>
    <n v="0"/>
    <n v="0"/>
    <n v="70.94"/>
    <n v="0"/>
    <n v="0"/>
    <n v="0"/>
    <n v="13.09"/>
    <n v="0"/>
    <n v="0"/>
    <n v="9373.14"/>
    <n v="1709.8200000000002"/>
    <n v="0"/>
    <n v="1244.54"/>
    <n v="603.49"/>
    <n v="484.11"/>
    <n v="16219.4"/>
    <n v="15097.760000000002"/>
    <n v="1214.9099999999999"/>
    <n v="0"/>
    <n v="113.74"/>
    <n v="0"/>
    <n v="30.32"/>
    <n v="36718.089999999997"/>
    <n v="6972.18"/>
    <n v="695.12"/>
    <n v="0"/>
    <n v="9100.9500000000007"/>
    <n v="4073.1800000000003"/>
    <n v="36343.78"/>
    <n v="0"/>
    <n v="60.65"/>
    <n v="15069.54"/>
    <n v="1349.6"/>
    <n v="73665"/>
    <n v="73695.320000000007"/>
    <m/>
    <n v="83.976000000000226"/>
    <n v="206.16900000000055"/>
    <n v="2496.588000000007"/>
    <n v="0"/>
    <n v="0"/>
    <n v="21.282000000000053"/>
    <n v="0"/>
    <n v="0"/>
    <n v="0"/>
    <n v="3.9270000000000103"/>
    <n v="0"/>
    <n v="0"/>
    <n v="2811.9420000000082"/>
    <n v="512.94600000000128"/>
    <n v="0"/>
    <n v="373.36200000000076"/>
    <n v="181.04700000000037"/>
    <n v="145.2330000000004"/>
    <n v="4865.8200000000124"/>
    <n v="4529.3280000000123"/>
    <n v="364.47300000000064"/>
    <n v="0"/>
    <n v="34.122000000000085"/>
    <n v="0"/>
    <n v="9.096000000000025"/>
    <n v="11015.427000000025"/>
    <n v="2091.6540000000059"/>
    <n v="208.53600000000063"/>
    <n v="0"/>
    <n v="2730.2850000000089"/>
    <n v="1221.9540000000034"/>
    <n v="10903.134000000027"/>
    <n v="0"/>
    <n v="18.195000000000043"/>
    <n v="4520.8620000000119"/>
    <n v="404.88000000000102"/>
    <n v="22099.500000000058"/>
    <n v="22108.59600000006"/>
    <m/>
    <n v="0.23076923076923123"/>
    <n v="0.23076923076923123"/>
    <n v="0.23076923076923128"/>
    <n v="0"/>
    <n v="0"/>
    <n v="0.23076923076923123"/>
    <n v="0"/>
    <n v="0"/>
    <n v="0"/>
    <n v="0.23076923076923123"/>
    <n v="0"/>
    <n v="0"/>
    <n v="0.23076923076923134"/>
    <n v="0.2307692307692312"/>
    <n v="0"/>
    <n v="0.23076923076923114"/>
    <n v="0.23076923076923112"/>
    <n v="0.23076923076923125"/>
    <n v="0.23076923076923123"/>
    <n v="0.23076923076923123"/>
    <n v="0.23076923076923112"/>
    <n v="0"/>
    <n v="0.23076923076923123"/>
    <n v="0"/>
    <n v="0.23076923076923125"/>
    <n v="0.23076923076923114"/>
    <n v="0.23076923076923125"/>
    <n v="0.23076923076923131"/>
    <n v="0"/>
    <n v="0.23076923076923134"/>
    <n v="0.23076923076923125"/>
    <n v="0.23076923076923123"/>
    <n v="0"/>
    <n v="0.2307692307692312"/>
    <n v="0.23076923076923123"/>
    <n v="0.23076923076923123"/>
    <n v="0.23076923076923123"/>
    <n v="0.23076923076923125"/>
    <m/>
    <n v="0"/>
    <n v="0"/>
    <n v="0"/>
    <n v="0"/>
    <n v="0"/>
    <n v="0"/>
    <n v="0"/>
    <n v="0"/>
    <n v="0"/>
    <n v="0"/>
    <n v="0"/>
    <n v="0"/>
    <n v="0"/>
    <n v="0"/>
    <n v="0"/>
    <n v="16705.16"/>
    <n v="0"/>
    <n v="0"/>
    <n v="0"/>
    <n v="0"/>
    <n v="0"/>
    <n v="0"/>
    <n v="0"/>
    <n v="0"/>
    <n v="0"/>
    <n v="16705.16"/>
    <n v="0"/>
    <n v="9434.2000000000007"/>
    <n v="0"/>
    <n v="0"/>
    <n v="0"/>
    <n v="0"/>
    <n v="0"/>
    <n v="0"/>
    <n v="0"/>
    <n v="0"/>
    <n v="9434.2000000000007"/>
    <n v="9434.2000000000007"/>
    <m/>
    <n v="363.89600000000024"/>
    <n v="893.39900000000057"/>
    <n v="10818.548000000006"/>
    <n v="0"/>
    <n v="0"/>
    <n v="92.222000000000051"/>
    <n v="0"/>
    <n v="0"/>
    <n v="0"/>
    <n v="17.01700000000001"/>
    <n v="0"/>
    <n v="0"/>
    <n v="12185.082000000006"/>
    <n v="2222.7660000000014"/>
    <n v="0"/>
    <n v="-15087.258"/>
    <n v="784.53700000000038"/>
    <n v="629.34300000000042"/>
    <n v="21085.220000000012"/>
    <n v="19627.088000000014"/>
    <n v="1579.3830000000005"/>
    <n v="0"/>
    <n v="147.86200000000008"/>
    <n v="0"/>
    <n v="39.416000000000025"/>
    <n v="31028.357000000033"/>
    <n v="9063.8340000000062"/>
    <n v="-8530.5439999999999"/>
    <n v="0"/>
    <n v="11831.23500000001"/>
    <n v="5295.1340000000037"/>
    <n v="47246.914000000026"/>
    <n v="0"/>
    <n v="78.845000000000041"/>
    <n v="19590.402000000013"/>
    <n v="1754.4800000000009"/>
    <n v="86330.300000000061"/>
    <n v="86369.716000000059"/>
  </r>
  <r>
    <x v="7"/>
    <x v="7"/>
    <x v="6"/>
    <x v="0"/>
    <x v="1"/>
    <x v="0"/>
    <x v="0"/>
    <m/>
    <m/>
    <n v="0"/>
    <n v="0"/>
    <n v="0"/>
    <n v="0"/>
    <n v="21731.598412258354"/>
    <n v="0"/>
    <n v="349.61079557871415"/>
    <n v="49992.799550461161"/>
    <n v="837.06872168743371"/>
    <n v="5435.7478260752896"/>
    <n v="12117.473113543152"/>
    <n v="12430.983540359715"/>
    <n v="102895.28195996382"/>
    <n v="27796.15152084094"/>
    <n v="389.72612930775978"/>
    <n v="56171.864950449934"/>
    <n v="673.79347970043693"/>
    <n v="0"/>
    <n v="18644.948251214559"/>
    <n v="702.13844604790631"/>
    <n v="0"/>
    <n v="0"/>
    <n v="0"/>
    <n v="0"/>
    <n v="42787.927759401085"/>
    <n v="147166.55053696263"/>
    <n v="19425.361356146943"/>
    <n v="0"/>
    <n v="0"/>
    <n v="3569.8185946665167"/>
    <n v="0"/>
    <n v="0"/>
    <n v="0"/>
    <n v="966.92023822354008"/>
    <n v="28773.229277271319"/>
    <n v="200.50803676545218"/>
    <n v="52935.837503073773"/>
    <n v="95723.765262474859"/>
    <m/>
    <n v="0"/>
    <n v="0"/>
    <n v="0"/>
    <n v="0"/>
    <n v="6332.8"/>
    <n v="0"/>
    <n v="101.88"/>
    <n v="14568.390000000001"/>
    <n v="243.93"/>
    <n v="1584.03"/>
    <n v="3531.1499999999996"/>
    <n v="3622.51"/>
    <n v="29984.690000000002"/>
    <n v="8100.07"/>
    <n v="113.57000000000001"/>
    <n v="16369.03"/>
    <n v="196.35"/>
    <n v="0"/>
    <n v="5433.3200000000006"/>
    <n v="204.61"/>
    <n v="0"/>
    <n v="0"/>
    <n v="0"/>
    <n v="0"/>
    <n v="12468.82"/>
    <n v="42885.77"/>
    <n v="5660.74"/>
    <n v="0"/>
    <n v="0"/>
    <n v="1040.28"/>
    <n v="0"/>
    <n v="0"/>
    <n v="0"/>
    <n v="281.77"/>
    <n v="8384.7999999999993"/>
    <n v="58.43"/>
    <n v="15426.019999999999"/>
    <n v="27894.839999999997"/>
    <m/>
    <n v="0"/>
    <n v="0"/>
    <n v="0"/>
    <n v="0"/>
    <n v="15398.798412258355"/>
    <n v="0"/>
    <n v="247.73079557871415"/>
    <n v="35424.409550461161"/>
    <n v="593.13872168743364"/>
    <n v="3851.7178260752898"/>
    <n v="8586.3231135431524"/>
    <n v="8808.4735403597151"/>
    <n v="72910.591959963829"/>
    <n v="19696.08152084094"/>
    <n v="276.15612930775978"/>
    <n v="39802.834950449935"/>
    <n v="477.44347970043691"/>
    <n v="0"/>
    <n v="13211.628251214559"/>
    <n v="497.5284460479063"/>
    <n v="0"/>
    <n v="0"/>
    <n v="0"/>
    <n v="0"/>
    <n v="30319.107759401086"/>
    <n v="104280.78053696261"/>
    <n v="13764.621356146943"/>
    <n v="0"/>
    <n v="0"/>
    <n v="2529.5385946665165"/>
    <n v="0"/>
    <n v="0"/>
    <n v="0"/>
    <n v="685.1502382235401"/>
    <n v="20388.42927727132"/>
    <n v="142.07803676545217"/>
    <n v="37509.817503073777"/>
    <n v="67828.925262474862"/>
    <m/>
    <n v="0"/>
    <n v="0"/>
    <n v="0"/>
    <n v="0"/>
    <n v="0.70859023437374968"/>
    <n v="0"/>
    <n v="0.70859023437374968"/>
    <n v="0.70859023437374968"/>
    <n v="0.70859023437374957"/>
    <n v="0.70859023437374968"/>
    <n v="0.70859023437374968"/>
    <n v="0.70859023437374968"/>
    <n v="0.70859023437374979"/>
    <n v="0.70859023437374968"/>
    <n v="0.70859023437374968"/>
    <n v="0.70859023437374968"/>
    <n v="0.70859023437374957"/>
    <n v="0"/>
    <n v="0.70859023437374968"/>
    <n v="0.70859023437374968"/>
    <n v="0"/>
    <n v="0"/>
    <n v="0"/>
    <n v="0"/>
    <n v="0.70859023437374968"/>
    <n v="0.70859023437374957"/>
    <n v="0.70859023437374968"/>
    <n v="0"/>
    <n v="0"/>
    <n v="0.70859023437374957"/>
    <n v="0"/>
    <n v="0"/>
    <n v="0"/>
    <n v="0.70859023437374968"/>
    <n v="0.70859023437374968"/>
    <n v="0.70859023437374968"/>
    <n v="0.70859023437374979"/>
    <n v="0.70859023437374968"/>
    <m/>
    <n v="0"/>
    <n v="0"/>
    <n v="63762.13"/>
    <n v="0"/>
    <n v="0"/>
    <n v="28280.66"/>
    <n v="0"/>
    <n v="114080.82"/>
    <n v="12381.94"/>
    <n v="0"/>
    <n v="0"/>
    <n v="0"/>
    <n v="218505.55"/>
    <n v="0"/>
    <n v="0"/>
    <n v="0"/>
    <n v="0"/>
    <n v="0"/>
    <n v="0"/>
    <n v="79148.63"/>
    <n v="5343.49"/>
    <n v="0"/>
    <n v="0"/>
    <n v="0"/>
    <n v="0"/>
    <n v="84492.12000000001"/>
    <n v="0"/>
    <n v="0"/>
    <n v="0"/>
    <n v="0"/>
    <n v="0"/>
    <n v="0"/>
    <n v="0"/>
    <n v="0"/>
    <n v="0"/>
    <n v="0"/>
    <n v="0"/>
    <n v="0"/>
    <m/>
    <n v="0"/>
    <n v="0"/>
    <n v="-63762.13"/>
    <n v="0"/>
    <n v="21731.598412258354"/>
    <n v="-28280.66"/>
    <n v="349.61079557871415"/>
    <n v="-64088.020449538846"/>
    <n v="-11544.871278312567"/>
    <n v="5435.7478260752896"/>
    <n v="12117.473113543152"/>
    <n v="12430.983540359715"/>
    <n v="-115610.26804003617"/>
    <n v="27796.15152084094"/>
    <n v="389.72612930775978"/>
    <n v="56171.864950449934"/>
    <n v="673.79347970043693"/>
    <n v="0"/>
    <n v="18644.948251214559"/>
    <n v="-78446.491553952103"/>
    <n v="-5343.49"/>
    <n v="0"/>
    <n v="0"/>
    <n v="0"/>
    <n v="42787.927759401085"/>
    <n v="62674.430536962624"/>
    <n v="19425.361356146943"/>
    <n v="0"/>
    <n v="0"/>
    <n v="3569.8185946665167"/>
    <n v="0"/>
    <n v="0"/>
    <n v="0"/>
    <n v="966.92023822354008"/>
    <n v="28773.229277271319"/>
    <n v="200.50803676545218"/>
    <n v="52935.837503073773"/>
    <n v="95723.765262474859"/>
  </r>
  <r>
    <x v="8"/>
    <x v="8"/>
    <x v="6"/>
    <x v="0"/>
    <x v="0"/>
    <x v="0"/>
    <x v="0"/>
    <m/>
    <m/>
    <n v="0"/>
    <n v="0"/>
    <n v="0"/>
    <n v="0"/>
    <n v="887.59439405227704"/>
    <n v="7013.6514714085515"/>
    <n v="6438.1613102641795"/>
    <n v="1077.5570510803434"/>
    <n v="2232.9776277130773"/>
    <n v="1563.3153432855861"/>
    <n v="467.84511658073649"/>
    <n v="14262.332106551456"/>
    <n v="33943.43442093621"/>
    <n v="1924.7880115632695"/>
    <n v="2469.7081973175573"/>
    <n v="1736.2501090443338"/>
    <n v="0"/>
    <n v="0"/>
    <n v="0"/>
    <n v="339.16073601333676"/>
    <n v="0"/>
    <n v="2014.575210774598"/>
    <n v="973.31481825696108"/>
    <n v="0"/>
    <n v="0"/>
    <n v="9457.7970829700553"/>
    <n v="2743.3855561830851"/>
    <n v="13373.72793503154"/>
    <n v="75219.623825622068"/>
    <n v="0"/>
    <n v="29181.144060178933"/>
    <n v="0"/>
    <n v="405.91670942172874"/>
    <n v="29996.048309129441"/>
    <n v="0"/>
    <n v="37741.982100526984"/>
    <n v="188661.82849609377"/>
    <n v="188661.82849609377"/>
    <m/>
    <n v="0"/>
    <n v="0"/>
    <n v="0"/>
    <n v="0"/>
    <n v="641.66999999999996"/>
    <n v="5070.3900000000003"/>
    <n v="4654.3500000000004"/>
    <n v="779"/>
    <n v="1614.29"/>
    <n v="1130.17"/>
    <n v="338.22"/>
    <n v="10310.69"/>
    <n v="24538.78"/>
    <n v="1391.4900000000002"/>
    <n v="1785.4299999999998"/>
    <n v="1255.19"/>
    <n v="0"/>
    <n v="0"/>
    <n v="0"/>
    <n v="245.19"/>
    <n v="0"/>
    <n v="1456.4"/>
    <n v="703.64"/>
    <n v="0"/>
    <n v="0"/>
    <n v="6837.3400000000011"/>
    <n v="1983.28"/>
    <n v="9668.2899999999991"/>
    <n v="54378.64"/>
    <n v="0"/>
    <n v="21095.97"/>
    <n v="0"/>
    <n v="293.45"/>
    <n v="21685.089999999997"/>
    <n v="0"/>
    <n v="27284.87"/>
    <n v="136389.59"/>
    <n v="136389.59"/>
    <m/>
    <n v="0"/>
    <n v="0"/>
    <n v="0"/>
    <n v="0"/>
    <n v="245.92439405227708"/>
    <n v="1943.2614714085512"/>
    <n v="1783.8113102641792"/>
    <n v="298.5570510803434"/>
    <n v="618.68762771307729"/>
    <n v="433.14534328558602"/>
    <n v="129.62511658073646"/>
    <n v="3951.6421065514551"/>
    <n v="9404.6544209362055"/>
    <n v="533.29801156326926"/>
    <n v="684.27819731755744"/>
    <n v="481.06010904433379"/>
    <n v="0"/>
    <n v="0"/>
    <n v="0"/>
    <n v="93.970736013336762"/>
    <n v="0"/>
    <n v="558.17521077459787"/>
    <n v="269.67481825696109"/>
    <n v="0"/>
    <n v="0"/>
    <n v="2620.457082970056"/>
    <n v="760.10555618308513"/>
    <n v="3705.4379350315412"/>
    <n v="20840.983825622068"/>
    <n v="0"/>
    <n v="8085.1740601789315"/>
    <n v="0"/>
    <n v="112.46670942172875"/>
    <n v="8310.9583091294444"/>
    <n v="0"/>
    <n v="10457.112100526985"/>
    <n v="52272.238496093778"/>
    <n v="52272.238496093778"/>
    <m/>
    <n v="0"/>
    <n v="0"/>
    <n v="0"/>
    <n v="0"/>
    <n v="0.27706843993180152"/>
    <n v="0.27706843993180147"/>
    <n v="0.27706843993180147"/>
    <n v="0.27706843993180158"/>
    <n v="0.27706843993180147"/>
    <n v="0.27706843993180147"/>
    <n v="0.27706843993180152"/>
    <n v="0.27706843993180141"/>
    <n v="0.27706843993180141"/>
    <n v="0.27706843993180141"/>
    <n v="0.27706843993180152"/>
    <n v="0.27706843993180147"/>
    <n v="0"/>
    <n v="0"/>
    <n v="0"/>
    <n v="0.27706843993180141"/>
    <n v="0"/>
    <n v="0.27706843993180141"/>
    <n v="0.27706843993180147"/>
    <n v="0"/>
    <n v="0"/>
    <n v="0.27706843993180147"/>
    <n v="0.27706843993180158"/>
    <n v="0.27706843993180141"/>
    <n v="0.27706843993180141"/>
    <n v="0"/>
    <n v="0.27706843993180147"/>
    <n v="0"/>
    <n v="0.27706843993180147"/>
    <n v="0.27706843993180141"/>
    <n v="0"/>
    <n v="0.27706843993180141"/>
    <n v="0.27706843993180141"/>
    <n v="0.27706843993180141"/>
    <m/>
    <n v="20289.789999999997"/>
    <n v="0"/>
    <n v="20272.39"/>
    <n v="100143.04999999999"/>
    <n v="0"/>
    <n v="0"/>
    <n v="0"/>
    <n v="0"/>
    <n v="0"/>
    <n v="0"/>
    <n v="29720.74"/>
    <n v="0"/>
    <n v="170425.96999999997"/>
    <n v="0"/>
    <n v="0"/>
    <n v="0"/>
    <n v="0"/>
    <n v="0"/>
    <n v="0"/>
    <n v="0"/>
    <n v="19586.38"/>
    <n v="0"/>
    <n v="0"/>
    <n v="12030.46"/>
    <n v="0"/>
    <n v="31616.84"/>
    <n v="28000.68"/>
    <n v="0"/>
    <n v="0"/>
    <n v="0"/>
    <n v="0"/>
    <n v="2019.57"/>
    <n v="0"/>
    <n v="0"/>
    <n v="0"/>
    <n v="0"/>
    <n v="30020.25"/>
    <n v="42050.71"/>
    <m/>
    <n v="-20289.789999999997"/>
    <n v="0"/>
    <n v="-20272.39"/>
    <n v="-100143.04999999999"/>
    <n v="887.59439405227704"/>
    <n v="7013.6514714085515"/>
    <n v="6438.1613102641795"/>
    <n v="1077.5570510803434"/>
    <n v="2232.9776277130773"/>
    <n v="1563.3153432855861"/>
    <n v="-29252.894883419263"/>
    <n v="14262.332106551456"/>
    <n v="-136482.53557906378"/>
    <n v="1924.7880115632695"/>
    <n v="2469.7081973175573"/>
    <n v="1736.2501090443338"/>
    <n v="0"/>
    <n v="0"/>
    <n v="0"/>
    <n v="339.16073601333676"/>
    <n v="-19586.38"/>
    <n v="2014.575210774598"/>
    <n v="973.31481825696108"/>
    <n v="-12030.46"/>
    <n v="0"/>
    <n v="-22159.042917029947"/>
    <n v="-25257.294443816914"/>
    <n v="13373.72793503154"/>
    <n v="75219.623825622068"/>
    <n v="0"/>
    <n v="29181.144060178933"/>
    <n v="-2019.57"/>
    <n v="405.91670942172874"/>
    <n v="29996.048309129441"/>
    <n v="0"/>
    <n v="37741.982100526984"/>
    <n v="158641.57849609377"/>
    <n v="146611.11849609378"/>
  </r>
  <r>
    <x v="9"/>
    <x v="9"/>
    <x v="7"/>
    <x v="0"/>
    <x v="5"/>
    <x v="2"/>
    <x v="0"/>
    <m/>
    <m/>
    <n v="0"/>
    <n v="0"/>
    <n v="0"/>
    <n v="0"/>
    <n v="0"/>
    <n v="21241.65798648322"/>
    <n v="0"/>
    <n v="9747.7599588113262"/>
    <n v="17693.126773858781"/>
    <n v="0"/>
    <n v="0"/>
    <n v="10914.524428272713"/>
    <n v="59597.069147426046"/>
    <n v="0"/>
    <n v="0"/>
    <n v="3719.7116820529186"/>
    <n v="0"/>
    <n v="0"/>
    <n v="2327.2392391348344"/>
    <n v="0"/>
    <n v="7534.4397622356009"/>
    <n v="0"/>
    <n v="33092.072970668123"/>
    <n v="18374.024514101642"/>
    <n v="0"/>
    <n v="65047.488168193122"/>
    <n v="17784.939618229888"/>
    <n v="0"/>
    <n v="5495.4700437814754"/>
    <n v="0"/>
    <n v="0"/>
    <n v="0"/>
    <n v="0"/>
    <n v="0"/>
    <n v="763.87145984532049"/>
    <n v="4235.6515625241636"/>
    <n v="28279.932684380845"/>
    <n v="46653.957198482487"/>
    <m/>
    <n v="0"/>
    <n v="0"/>
    <n v="0"/>
    <n v="0"/>
    <n v="0"/>
    <n v="12664.550000000001"/>
    <n v="0"/>
    <n v="5811.74"/>
    <n v="10548.869999999999"/>
    <n v="0"/>
    <n v="0"/>
    <n v="6507.38"/>
    <n v="35532.54"/>
    <n v="0"/>
    <n v="0"/>
    <n v="2217.7399999999998"/>
    <n v="0"/>
    <n v="0"/>
    <n v="1387.5300000000002"/>
    <n v="0"/>
    <n v="4492.13"/>
    <n v="0"/>
    <n v="19729.919999999998"/>
    <n v="10954.829999999998"/>
    <n v="0"/>
    <n v="38782.149999999994"/>
    <n v="10603.609999999999"/>
    <n v="0"/>
    <n v="3276.4700000000003"/>
    <n v="0"/>
    <n v="0"/>
    <n v="0"/>
    <n v="0"/>
    <n v="0"/>
    <n v="455.43"/>
    <n v="2525.35"/>
    <n v="16860.859999999997"/>
    <n v="27815.689999999995"/>
    <m/>
    <n v="0"/>
    <n v="0"/>
    <n v="0"/>
    <n v="0"/>
    <n v="0"/>
    <n v="8577.1079864832191"/>
    <n v="0"/>
    <n v="3936.0199588113264"/>
    <n v="7144.2567738587823"/>
    <n v="0"/>
    <n v="0"/>
    <n v="4407.1444282727125"/>
    <n v="24064.529147426041"/>
    <n v="0"/>
    <n v="0"/>
    <n v="1501.9716820529188"/>
    <n v="0"/>
    <n v="0"/>
    <n v="939.70923913483421"/>
    <n v="0"/>
    <n v="3042.3097622356008"/>
    <n v="0"/>
    <n v="13362.152970668125"/>
    <n v="7419.194514101644"/>
    <n v="0"/>
    <n v="26265.338168193124"/>
    <n v="7181.3296182298891"/>
    <n v="0"/>
    <n v="2219.0000437814751"/>
    <n v="0"/>
    <n v="0"/>
    <n v="0"/>
    <n v="0"/>
    <n v="0"/>
    <n v="308.44145984532048"/>
    <n v="1710.3015625241637"/>
    <n v="11419.07268438085"/>
    <n v="18838.267198482492"/>
    <m/>
    <n v="0"/>
    <n v="0"/>
    <n v="0"/>
    <n v="0"/>
    <n v="0"/>
    <n v="0.40378712395902056"/>
    <n v="0"/>
    <n v="0.40378712395902061"/>
    <n v="0.40378712395902061"/>
    <n v="0"/>
    <n v="0"/>
    <n v="0.40378712395902061"/>
    <n v="0.40378712395902056"/>
    <n v="0"/>
    <n v="0"/>
    <n v="0.40378712395902061"/>
    <n v="0"/>
    <n v="0"/>
    <n v="0.40378712395902061"/>
    <n v="0"/>
    <n v="0.40378712395902067"/>
    <n v="0"/>
    <n v="0.40378712395902061"/>
    <n v="0.40378712395902067"/>
    <n v="0"/>
    <n v="0.40378712395902061"/>
    <n v="0.40378712395902067"/>
    <n v="0"/>
    <n v="0.40378712395902061"/>
    <n v="0"/>
    <n v="0"/>
    <n v="0"/>
    <n v="0"/>
    <n v="0"/>
    <n v="0.40378712395902067"/>
    <n v="0.40378712395902061"/>
    <n v="0.40378712395902072"/>
    <n v="0.40378712395902067"/>
    <m/>
    <n v="0"/>
    <n v="0"/>
    <n v="0"/>
    <n v="0"/>
    <n v="0"/>
    <n v="55601.15"/>
    <n v="0"/>
    <n v="0"/>
    <n v="0"/>
    <n v="0"/>
    <n v="0"/>
    <n v="0"/>
    <n v="55601.15"/>
    <n v="0"/>
    <n v="0"/>
    <n v="0"/>
    <n v="0"/>
    <n v="0"/>
    <n v="0"/>
    <n v="0"/>
    <n v="0"/>
    <n v="0"/>
    <n v="0"/>
    <n v="0"/>
    <n v="0"/>
    <n v="0"/>
    <n v="0"/>
    <n v="97323.34"/>
    <n v="0"/>
    <n v="0"/>
    <n v="0"/>
    <n v="0"/>
    <n v="0"/>
    <n v="0"/>
    <n v="0"/>
    <n v="0"/>
    <n v="97323.34"/>
    <n v="97323.34"/>
    <m/>
    <n v="0"/>
    <n v="0"/>
    <n v="0"/>
    <n v="0"/>
    <n v="0"/>
    <n v="-34359.492013516778"/>
    <n v="0"/>
    <n v="9747.7599588113262"/>
    <n v="17693.126773858781"/>
    <n v="0"/>
    <n v="0"/>
    <n v="10914.524428272713"/>
    <n v="3995.9191474260424"/>
    <n v="0"/>
    <n v="0"/>
    <n v="3719.7116820529186"/>
    <n v="0"/>
    <n v="0"/>
    <n v="2327.2392391348344"/>
    <n v="0"/>
    <n v="7534.4397622356009"/>
    <n v="0"/>
    <n v="33092.072970668123"/>
    <n v="18374.024514101642"/>
    <n v="0"/>
    <n v="65047.488168193122"/>
    <n v="17784.939618229888"/>
    <n v="-97323.34"/>
    <n v="5495.4700437814754"/>
    <n v="0"/>
    <n v="0"/>
    <n v="0"/>
    <n v="0"/>
    <n v="0"/>
    <n v="763.87145984532049"/>
    <n v="4235.6515625241636"/>
    <n v="-69043.407315619144"/>
    <n v="-50669.382801517502"/>
  </r>
  <r>
    <x v="10"/>
    <x v="10"/>
    <x v="2"/>
    <x v="0"/>
    <x v="6"/>
    <x v="1"/>
    <x v="1"/>
    <m/>
    <m/>
    <n v="10165.675000000001"/>
    <n v="0"/>
    <n v="0"/>
    <n v="161.25200000000001"/>
    <n v="0"/>
    <n v="2336.672"/>
    <n v="53934.881000000001"/>
    <n v="0"/>
    <n v="0"/>
    <n v="1914.2110000000002"/>
    <n v="5148.9229999999998"/>
    <n v="1144.9880000000001"/>
    <n v="74806.601999999999"/>
    <n v="785.81100000000004"/>
    <n v="796.01599999999996"/>
    <n v="1916.9929999999999"/>
    <n v="18245.058000000001"/>
    <n v="7848.0739999999987"/>
    <n v="0"/>
    <n v="0"/>
    <n v="38684.502999999997"/>
    <n v="1709.8119999999999"/>
    <n v="0"/>
    <n v="0"/>
    <n v="0"/>
    <n v="69986.266999999993"/>
    <n v="185.536"/>
    <n v="0"/>
    <n v="8007.1420000000016"/>
    <n v="2906.3969999999999"/>
    <n v="0"/>
    <n v="0"/>
    <n v="0"/>
    <n v="1638.3899999999999"/>
    <n v="28634.527999999995"/>
    <n v="1914.796"/>
    <n v="43286.788999999997"/>
    <n v="43286.788999999997"/>
    <m/>
    <n v="7819.7500000000009"/>
    <n v="0"/>
    <n v="0"/>
    <n v="124.04"/>
    <n v="0"/>
    <n v="1797.44"/>
    <n v="41488.370000000003"/>
    <n v="0"/>
    <n v="0"/>
    <n v="1472.47"/>
    <n v="3960.71"/>
    <n v="880.76"/>
    <n v="57543.540000000008"/>
    <n v="604.47"/>
    <n v="612.31999999999994"/>
    <n v="1474.61"/>
    <n v="14034.660000000002"/>
    <n v="6036.98"/>
    <n v="0"/>
    <n v="0"/>
    <n v="29757.309999999998"/>
    <n v="1315.24"/>
    <n v="0"/>
    <n v="0"/>
    <n v="0"/>
    <n v="53835.59"/>
    <n v="142.72"/>
    <n v="0"/>
    <n v="6159.3400000000011"/>
    <n v="2235.69"/>
    <n v="0"/>
    <n v="0"/>
    <n v="0"/>
    <n v="1260.3"/>
    <n v="22026.559999999998"/>
    <n v="1472.92"/>
    <n v="33297.53"/>
    <n v="33297.53"/>
    <m/>
    <n v="2345.9250000000002"/>
    <n v="0"/>
    <n v="0"/>
    <n v="37.212000000000003"/>
    <n v="0"/>
    <n v="539.23199999999997"/>
    <n v="12446.510999999999"/>
    <n v="0"/>
    <n v="0"/>
    <n v="441.74100000000021"/>
    <n v="1188.2129999999997"/>
    <n v="264.22800000000007"/>
    <n v="17263.061999999998"/>
    <n v="181.34100000000001"/>
    <n v="183.69600000000003"/>
    <n v="442.38300000000004"/>
    <n v="4210.3979999999992"/>
    <n v="1811.0939999999991"/>
    <n v="0"/>
    <n v="0"/>
    <n v="8927.1929999999993"/>
    <n v="394.57199999999989"/>
    <n v="0"/>
    <n v="0"/>
    <n v="0"/>
    <n v="16150.676999999998"/>
    <n v="42.816000000000003"/>
    <n v="0"/>
    <n v="1847.8020000000006"/>
    <n v="670.70699999999988"/>
    <n v="0"/>
    <n v="0"/>
    <n v="0"/>
    <n v="378.08999999999992"/>
    <n v="6607.9679999999971"/>
    <n v="441.87599999999998"/>
    <n v="9989.2589999999982"/>
    <n v="9989.2589999999982"/>
    <m/>
    <n v="0.23076923076923075"/>
    <n v="0"/>
    <n v="0"/>
    <n v="0.23076923076923078"/>
    <n v="0"/>
    <n v="0.23076923076923075"/>
    <n v="0.23076923076923073"/>
    <n v="0"/>
    <n v="0"/>
    <n v="0.23076923076923087"/>
    <n v="0.23076923076923073"/>
    <n v="0.23076923076923081"/>
    <n v="0.23076923076923075"/>
    <n v="0.23076923076923078"/>
    <n v="0.23076923076923081"/>
    <n v="0.23076923076923081"/>
    <n v="0.23076923076923073"/>
    <n v="0.2307692307692307"/>
    <n v="0"/>
    <n v="0"/>
    <n v="0.23076923076923078"/>
    <n v="0.23076923076923073"/>
    <n v="0"/>
    <n v="0"/>
    <n v="0"/>
    <n v="0.23076923076923075"/>
    <n v="0.23076923076923078"/>
    <n v="0"/>
    <n v="0.23076923076923078"/>
    <n v="0.23076923076923073"/>
    <n v="0"/>
    <n v="0"/>
    <n v="0"/>
    <n v="0.23076923076923073"/>
    <n v="0.2307692307692307"/>
    <n v="0.23076923076923075"/>
    <n v="0.23076923076923075"/>
    <n v="0.230769230769230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451.73999999999"/>
    <n v="0"/>
    <n v="0"/>
    <n v="0"/>
    <n v="108451.73999999999"/>
    <n v="0"/>
    <n v="0"/>
    <n v="0"/>
    <n v="0"/>
    <n v="0"/>
    <n v="0"/>
    <n v="0"/>
    <n v="6806.14"/>
    <n v="0"/>
    <n v="0"/>
    <n v="6806.14"/>
    <n v="6806.14"/>
    <m/>
    <n v="10165.675000000001"/>
    <n v="0"/>
    <n v="0"/>
    <n v="161.25200000000001"/>
    <n v="0"/>
    <n v="2336.672"/>
    <n v="53934.881000000001"/>
    <n v="0"/>
    <n v="0"/>
    <n v="1914.2110000000002"/>
    <n v="5148.9229999999998"/>
    <n v="1144.9880000000001"/>
    <n v="74806.601999999999"/>
    <n v="785.81100000000004"/>
    <n v="796.01599999999996"/>
    <n v="1916.9929999999999"/>
    <n v="18245.058000000001"/>
    <n v="7848.0739999999987"/>
    <n v="0"/>
    <n v="0"/>
    <n v="38684.502999999997"/>
    <n v="-106741.92799999999"/>
    <n v="0"/>
    <n v="0"/>
    <n v="0"/>
    <n v="-38465.472999999998"/>
    <n v="185.536"/>
    <n v="0"/>
    <n v="8007.1420000000016"/>
    <n v="2906.3969999999999"/>
    <n v="0"/>
    <n v="0"/>
    <n v="0"/>
    <n v="-5167.75"/>
    <n v="28634.527999999995"/>
    <n v="1914.796"/>
    <n v="36480.648999999998"/>
    <n v="36480.648999999998"/>
  </r>
  <r>
    <x v="11"/>
    <x v="11"/>
    <x v="8"/>
    <x v="0"/>
    <x v="3"/>
    <x v="3"/>
    <x v="1"/>
    <m/>
    <m/>
    <n v="0"/>
    <n v="22013.754077337537"/>
    <n v="403.89458804548804"/>
    <n v="96.476560436056886"/>
    <n v="5128.271414021312"/>
    <n v="1556.7180471623328"/>
    <n v="0"/>
    <n v="0"/>
    <n v="8405.3358771748899"/>
    <n v="10450.667065210393"/>
    <n v="14770.329521733771"/>
    <n v="31041.795911238092"/>
    <n v="93867.243062359878"/>
    <n v="0"/>
    <n v="31822.883635788134"/>
    <n v="0"/>
    <n v="0"/>
    <n v="0"/>
    <n v="826.99548333971757"/>
    <n v="16656.014136345584"/>
    <n v="0"/>
    <n v="0"/>
    <n v="1883.5766052796364"/>
    <n v="0"/>
    <n v="4395.8787050446026"/>
    <n v="55585.348565797678"/>
    <n v="6574.3892382219901"/>
    <n v="0"/>
    <n v="0"/>
    <n v="0"/>
    <n v="49639.497443453707"/>
    <n v="59835.001690166799"/>
    <n v="0"/>
    <n v="0"/>
    <n v="0"/>
    <n v="0"/>
    <n v="116048.88837184251"/>
    <n v="120444.7670768871"/>
    <m/>
    <n v="0"/>
    <n v="9398.6200000000008"/>
    <n v="172.44"/>
    <n v="41.19"/>
    <n v="2189.48"/>
    <n v="664.63"/>
    <n v="0"/>
    <n v="0"/>
    <n v="3588.6"/>
    <n v="4461.84"/>
    <n v="6306.09"/>
    <n v="13253.080000000002"/>
    <n v="40075.97"/>
    <n v="0"/>
    <n v="13586.560000000001"/>
    <n v="0"/>
    <n v="0"/>
    <n v="0"/>
    <n v="353.08"/>
    <n v="7111.17"/>
    <n v="0"/>
    <n v="0"/>
    <n v="804.18"/>
    <n v="0"/>
    <n v="1876.7899999999997"/>
    <n v="23731.780000000002"/>
    <n v="2806.8900000000003"/>
    <n v="0"/>
    <n v="0"/>
    <n v="0"/>
    <n v="21193.239999999998"/>
    <n v="25546.14"/>
    <n v="0"/>
    <n v="0"/>
    <n v="0"/>
    <n v="0"/>
    <n v="49546.27"/>
    <n v="51423.06"/>
    <m/>
    <n v="0"/>
    <n v="12615.134077337536"/>
    <n v="231.45458804548804"/>
    <n v="55.286560436056888"/>
    <n v="2938.791414021312"/>
    <n v="892.08804716233283"/>
    <n v="0"/>
    <n v="0"/>
    <n v="4816.7358771748895"/>
    <n v="5988.8270652103929"/>
    <n v="8464.2395217337707"/>
    <n v="17788.71591123809"/>
    <n v="53791.273062359869"/>
    <n v="0"/>
    <n v="18236.323635788132"/>
    <n v="0"/>
    <n v="0"/>
    <n v="0"/>
    <n v="473.91548333971758"/>
    <n v="9544.844136345584"/>
    <n v="0"/>
    <n v="0"/>
    <n v="1079.3966052796363"/>
    <n v="0"/>
    <n v="2519.0887050446026"/>
    <n v="31853.568565797676"/>
    <n v="3767.4992382219898"/>
    <n v="0"/>
    <n v="0"/>
    <n v="0"/>
    <n v="28446.257443453709"/>
    <n v="34288.861690166799"/>
    <n v="0"/>
    <n v="0"/>
    <n v="0"/>
    <n v="0"/>
    <n v="66502.618371842502"/>
    <n v="69021.707076887105"/>
    <m/>
    <n v="0"/>
    <n v="0.57305691855277052"/>
    <n v="0.57305691855277052"/>
    <n v="0.57305691855277041"/>
    <n v="0.57305691855277041"/>
    <n v="0.57305691855277041"/>
    <n v="0"/>
    <n v="0"/>
    <n v="0.57305691855277041"/>
    <n v="0.57305691855277041"/>
    <n v="0.57305691855277052"/>
    <n v="0.57305691855277041"/>
    <n v="0.57305691855277041"/>
    <n v="0"/>
    <n v="0.57305691855277041"/>
    <n v="0"/>
    <n v="0"/>
    <n v="0"/>
    <n v="0.57305691855277052"/>
    <n v="0.57305691855277041"/>
    <n v="0"/>
    <n v="0"/>
    <n v="0.57305691855277041"/>
    <n v="0"/>
    <n v="0.57305691855277041"/>
    <n v="0.57305691855277041"/>
    <n v="0.57305691855277052"/>
    <n v="0"/>
    <n v="0"/>
    <n v="0"/>
    <n v="0.57305691855277052"/>
    <n v="0.57305691855277052"/>
    <n v="0"/>
    <n v="0"/>
    <n v="0"/>
    <n v="0"/>
    <n v="0.57305691855277041"/>
    <n v="0.57305691855277052"/>
    <m/>
    <n v="0"/>
    <n v="0"/>
    <n v="0"/>
    <n v="0"/>
    <n v="0"/>
    <n v="0"/>
    <n v="0"/>
    <n v="0"/>
    <n v="0"/>
    <n v="0"/>
    <n v="51855.85"/>
    <n v="0"/>
    <n v="51855.85"/>
    <n v="0"/>
    <n v="0"/>
    <n v="0"/>
    <n v="0"/>
    <n v="66874.679999999993"/>
    <n v="0"/>
    <n v="0"/>
    <n v="0"/>
    <n v="0"/>
    <n v="0"/>
    <n v="0"/>
    <n v="0"/>
    <n v="66874.679999999993"/>
    <n v="0"/>
    <n v="0"/>
    <n v="0"/>
    <n v="53312.499999999993"/>
    <n v="0"/>
    <n v="0"/>
    <n v="0"/>
    <n v="80101.58"/>
    <n v="0"/>
    <n v="13356.87"/>
    <n v="146770.94999999998"/>
    <n v="146770.94999999998"/>
    <m/>
    <n v="0"/>
    <n v="22013.754077337537"/>
    <n v="403.89458804548804"/>
    <n v="96.476560436056886"/>
    <n v="5128.271414021312"/>
    <n v="1556.7180471623328"/>
    <n v="0"/>
    <n v="0"/>
    <n v="8405.3358771748899"/>
    <n v="10450.667065210393"/>
    <n v="-37085.520478266226"/>
    <n v="31041.795911238092"/>
    <n v="42011.393062359879"/>
    <n v="0"/>
    <n v="31822.883635788134"/>
    <n v="0"/>
    <n v="0"/>
    <n v="-66874.679999999993"/>
    <n v="826.99548333971757"/>
    <n v="16656.014136345584"/>
    <n v="0"/>
    <n v="0"/>
    <n v="1883.5766052796364"/>
    <n v="0"/>
    <n v="4395.8787050446026"/>
    <n v="-11289.331434202311"/>
    <n v="6574.3892382219901"/>
    <n v="0"/>
    <n v="0"/>
    <n v="-53312.499999999993"/>
    <n v="49639.497443453707"/>
    <n v="59835.001690166799"/>
    <n v="0"/>
    <n v="-80101.58"/>
    <n v="0"/>
    <n v="-13356.87"/>
    <n v="-30722.061628157498"/>
    <n v="-26326.182923112894"/>
  </r>
  <r>
    <x v="12"/>
    <x v="12"/>
    <x v="5"/>
    <x v="0"/>
    <x v="2"/>
    <x v="1"/>
    <x v="1"/>
    <m/>
    <m/>
    <n v="1961.8580354921494"/>
    <n v="0"/>
    <n v="0"/>
    <n v="371.98173381940461"/>
    <n v="2853.2249112674776"/>
    <n v="5986.8733146835539"/>
    <n v="0"/>
    <n v="6854.3326191941496"/>
    <n v="0"/>
    <n v="24831.468862477315"/>
    <n v="5951.958679358484"/>
    <n v="0"/>
    <n v="48811.698156292528"/>
    <n v="0"/>
    <n v="466.74514129431003"/>
    <n v="13834.681864024162"/>
    <n v="23996.186685131703"/>
    <n v="0"/>
    <n v="1621.6199900457177"/>
    <n v="0"/>
    <n v="0"/>
    <n v="24404.006963280215"/>
    <n v="0"/>
    <n v="5067.7663562193748"/>
    <n v="4823.1471895478744"/>
    <n v="74214.154189543362"/>
    <n v="265.52688524414089"/>
    <n v="0"/>
    <n v="441.40037824553303"/>
    <n v="0"/>
    <n v="19788.157579154693"/>
    <n v="0"/>
    <n v="0"/>
    <n v="9884.697120987059"/>
    <n v="5495.3765371084855"/>
    <n v="397.4291534241849"/>
    <n v="36272.587654164097"/>
    <n v="46163.50119993135"/>
    <m/>
    <n v="1719.98"/>
    <n v="0"/>
    <n v="0"/>
    <n v="326.11999999999995"/>
    <n v="2501.4499999999998"/>
    <n v="5248.75"/>
    <n v="0"/>
    <n v="6009.26"/>
    <n v="0"/>
    <n v="21769.989999999998"/>
    <n v="5218.1400000000012"/>
    <n v="0"/>
    <n v="42793.689999999995"/>
    <n v="0"/>
    <n v="409.2"/>
    <n v="12129"/>
    <n v="21037.69"/>
    <n v="0"/>
    <n v="1421.69"/>
    <n v="0"/>
    <n v="0"/>
    <n v="21395.230000000003"/>
    <n v="0"/>
    <n v="4442.96"/>
    <n v="4228.5"/>
    <n v="65064.270000000004"/>
    <n v="232.79"/>
    <n v="0"/>
    <n v="386.98"/>
    <n v="0"/>
    <n v="17348.47"/>
    <n v="0"/>
    <n v="0"/>
    <n v="8666.01"/>
    <n v="4817.8500000000004"/>
    <n v="348.43"/>
    <n v="31800.53"/>
    <n v="40471.99"/>
    <m/>
    <n v="241.87803549214937"/>
    <n v="0"/>
    <n v="0"/>
    <n v="45.861733819404662"/>
    <n v="351.77491126747782"/>
    <n v="738.12331468355387"/>
    <n v="0"/>
    <n v="845.07261919414941"/>
    <n v="0"/>
    <n v="3061.4788624773173"/>
    <n v="733.81867935848277"/>
    <n v="0"/>
    <n v="6018.0081562925352"/>
    <n v="0"/>
    <n v="57.545141294310042"/>
    <n v="1705.6818640241618"/>
    <n v="2958.496685131704"/>
    <n v="0"/>
    <n v="199.92999004571766"/>
    <n v="0"/>
    <n v="0"/>
    <n v="3008.7769632802119"/>
    <n v="0"/>
    <n v="624.80635621937472"/>
    <n v="594.6471895478744"/>
    <n v="9149.8841895433543"/>
    <n v="32.736885244140893"/>
    <n v="0"/>
    <n v="54.420378245533016"/>
    <n v="0"/>
    <n v="2439.6875791546918"/>
    <n v="0"/>
    <n v="0"/>
    <n v="1218.6871209870587"/>
    <n v="677.52653710848517"/>
    <n v="48.999153424184897"/>
    <n v="4472.0576541640949"/>
    <n v="5691.511199931344"/>
    <m/>
    <n v="0.12329028457529147"/>
    <n v="0"/>
    <n v="0"/>
    <n v="0.12329028457529133"/>
    <n v="0.12329028457529138"/>
    <n v="0.12329028457529147"/>
    <n v="0"/>
    <n v="0.12329028457529144"/>
    <n v="0"/>
    <n v="0.12329028457529147"/>
    <n v="0.12329028457529134"/>
    <n v="0"/>
    <n v="0.12329028457529145"/>
    <n v="0"/>
    <n v="0.12329028457529133"/>
    <n v="0.1232902845752914"/>
    <n v="0.12329028457529131"/>
    <n v="0"/>
    <n v="0.12329028457529134"/>
    <n v="0"/>
    <n v="0"/>
    <n v="0.12329028457529145"/>
    <n v="0"/>
    <n v="0.12329028457529148"/>
    <n v="0.12329028457529141"/>
    <n v="0.12329028457529138"/>
    <n v="0.12329028457529148"/>
    <n v="0"/>
    <n v="0.12329028457529137"/>
    <n v="0"/>
    <n v="0.12329028457529141"/>
    <n v="0"/>
    <n v="0"/>
    <n v="0.12329028457529147"/>
    <n v="0.12329028457529151"/>
    <n v="0.12329028457529138"/>
    <n v="0.12329028457529145"/>
    <n v="0.12329028457529144"/>
    <m/>
    <n v="0"/>
    <n v="0"/>
    <n v="0"/>
    <n v="0"/>
    <n v="0"/>
    <n v="0"/>
    <n v="0"/>
    <n v="0"/>
    <n v="0"/>
    <n v="0"/>
    <n v="0"/>
    <n v="0"/>
    <n v="0"/>
    <n v="0"/>
    <n v="0"/>
    <n v="0"/>
    <n v="96617.68"/>
    <n v="0"/>
    <n v="0"/>
    <n v="0"/>
    <n v="47846.95"/>
    <n v="0"/>
    <n v="0"/>
    <n v="0"/>
    <n v="0"/>
    <n v="144464.63"/>
    <n v="14833.810000000001"/>
    <n v="0"/>
    <n v="0"/>
    <n v="0"/>
    <n v="0"/>
    <n v="0"/>
    <n v="0"/>
    <n v="0"/>
    <n v="0"/>
    <n v="0"/>
    <n v="14833.810000000001"/>
    <n v="14833.810000000001"/>
    <m/>
    <n v="1961.8580354921494"/>
    <n v="0"/>
    <n v="0"/>
    <n v="371.98173381940461"/>
    <n v="2853.2249112674776"/>
    <n v="5986.8733146835539"/>
    <n v="0"/>
    <n v="6854.3326191941496"/>
    <n v="0"/>
    <n v="24831.468862477315"/>
    <n v="5951.958679358484"/>
    <n v="0"/>
    <n v="48811.698156292528"/>
    <n v="0"/>
    <n v="466.74514129431003"/>
    <n v="13834.681864024162"/>
    <n v="-72621.49331486829"/>
    <n v="0"/>
    <n v="1621.6199900457177"/>
    <n v="0"/>
    <n v="-47846.95"/>
    <n v="24404.006963280215"/>
    <n v="0"/>
    <n v="5067.7663562193748"/>
    <n v="4823.1471895478744"/>
    <n v="-70250.475810456628"/>
    <n v="-14568.283114755861"/>
    <n v="0"/>
    <n v="441.40037824553303"/>
    <n v="0"/>
    <n v="19788.157579154693"/>
    <n v="0"/>
    <n v="0"/>
    <n v="9884.697120987059"/>
    <n v="5495.3765371084855"/>
    <n v="397.4291534241849"/>
    <n v="21438.777654164096"/>
    <n v="31329.691199931345"/>
  </r>
  <r>
    <x v="13"/>
    <x v="13"/>
    <x v="3"/>
    <x v="0"/>
    <x v="1"/>
    <x v="2"/>
    <x v="0"/>
    <m/>
    <m/>
    <n v="2456.5580000000045"/>
    <n v="0"/>
    <n v="20619.378000000041"/>
    <n v="5077.8260000000091"/>
    <n v="32123.97500000006"/>
    <n v="0"/>
    <n v="3680.8850000000075"/>
    <n v="0"/>
    <n v="0"/>
    <n v="18258.136000000035"/>
    <n v="0"/>
    <n v="0"/>
    <n v="82216.758000000147"/>
    <n v="2433.1450000000045"/>
    <n v="0"/>
    <n v="11920.922000000022"/>
    <n v="24712.025000000045"/>
    <n v="1186.6400000000021"/>
    <n v="13571.597000000027"/>
    <n v="14240.148000000028"/>
    <n v="12386.816000000024"/>
    <n v="3797.8590000000077"/>
    <n v="114.28300000000021"/>
    <n v="30.251000000000058"/>
    <n v="0"/>
    <n v="84393.686000000162"/>
    <n v="256.39900000000046"/>
    <n v="544.63500000000101"/>
    <n v="0"/>
    <n v="21699.366000000042"/>
    <n v="0"/>
    <n v="16019.666000000032"/>
    <n v="2337.8940000000048"/>
    <n v="0"/>
    <n v="598.98800000000108"/>
    <n v="2472.9120000000048"/>
    <n v="43929.860000000088"/>
    <n v="43960.111000000084"/>
    <m/>
    <n v="1889.6599999999999"/>
    <n v="0"/>
    <n v="15861.06"/>
    <n v="3906.0199999999995"/>
    <n v="24710.75"/>
    <n v="0"/>
    <n v="2831.4500000000003"/>
    <n v="0"/>
    <n v="0"/>
    <n v="14044.72"/>
    <n v="0"/>
    <n v="0"/>
    <n v="63243.66"/>
    <n v="1871.6499999999999"/>
    <n v="0"/>
    <n v="9169.94"/>
    <n v="19009.25"/>
    <n v="912.8"/>
    <n v="10439.69"/>
    <n v="10953.960000000001"/>
    <n v="9528.32"/>
    <n v="2921.4300000000003"/>
    <n v="87.91"/>
    <n v="23.27"/>
    <n v="0"/>
    <n v="64918.22"/>
    <n v="197.23"/>
    <n v="418.95"/>
    <n v="0"/>
    <n v="16691.82"/>
    <n v="0"/>
    <n v="12322.820000000002"/>
    <n v="1798.38"/>
    <n v="0"/>
    <n v="460.76"/>
    <n v="1902.24"/>
    <n v="33792.199999999997"/>
    <n v="33815.469999999994"/>
    <m/>
    <n v="566.89800000000469"/>
    <n v="0"/>
    <n v="4758.3180000000411"/>
    <n v="1171.8060000000096"/>
    <n v="7413.2250000000604"/>
    <n v="0"/>
    <n v="849.43500000000722"/>
    <n v="0"/>
    <n v="0"/>
    <n v="4213.4160000000356"/>
    <n v="0"/>
    <n v="0"/>
    <n v="18973.098000000158"/>
    <n v="561.49500000000467"/>
    <n v="0"/>
    <n v="2750.9820000000218"/>
    <n v="5702.7750000000451"/>
    <n v="273.84000000000219"/>
    <n v="3131.9070000000265"/>
    <n v="3286.1880000000274"/>
    <n v="2858.4960000000247"/>
    <n v="876.42900000000736"/>
    <n v="26.373000000000218"/>
    <n v="6.9810000000000585"/>
    <n v="0"/>
    <n v="19475.466000000157"/>
    <n v="59.169000000000466"/>
    <n v="125.68500000000103"/>
    <n v="0"/>
    <n v="5007.5460000000421"/>
    <n v="0"/>
    <n v="3696.8460000000305"/>
    <n v="539.51400000000467"/>
    <n v="0"/>
    <n v="138.22800000000109"/>
    <n v="570.6720000000048"/>
    <n v="10137.660000000084"/>
    <n v="10144.641000000083"/>
    <m/>
    <n v="0.23076923076923225"/>
    <n v="0"/>
    <n v="0.23076923076923231"/>
    <n v="0.23076923076923225"/>
    <n v="0.23076923076923223"/>
    <n v="0"/>
    <n v="0.23076923076923225"/>
    <n v="0"/>
    <n v="0"/>
    <n v="0.23076923076923228"/>
    <n v="0"/>
    <n v="0"/>
    <n v="0.23076923076923228"/>
    <n v="0.23076923076923225"/>
    <n v="0"/>
    <n v="0.23076923076923217"/>
    <n v="0.23076923076923217"/>
    <n v="0.2307692307692322"/>
    <n v="0.23076923076923225"/>
    <n v="0.23076923076923223"/>
    <n v="0.23076923076923231"/>
    <n v="0.23076923076923225"/>
    <n v="0.23076923076923225"/>
    <n v="0.23076923076923225"/>
    <n v="0"/>
    <n v="0.2307692307692322"/>
    <n v="0.23076923076923217"/>
    <n v="0.23076923076923223"/>
    <n v="0"/>
    <n v="0.23076923076923225"/>
    <n v="0"/>
    <n v="0.2307692307692322"/>
    <n v="0.23076923076923231"/>
    <n v="0"/>
    <n v="0.23076923076923217"/>
    <n v="0.23076923076923225"/>
    <n v="0.2307692307692322"/>
    <n v="0.23076923076923223"/>
    <m/>
    <n v="0"/>
    <n v="19938.43"/>
    <n v="0"/>
    <n v="0"/>
    <n v="0"/>
    <n v="0"/>
    <n v="0"/>
    <n v="0"/>
    <n v="48675.06"/>
    <n v="108334.08"/>
    <n v="0"/>
    <n v="0"/>
    <n v="176947.57"/>
    <n v="0"/>
    <n v="0"/>
    <n v="0"/>
    <n v="0"/>
    <n v="0"/>
    <n v="0"/>
    <n v="0"/>
    <n v="0"/>
    <n v="0"/>
    <n v="0"/>
    <n v="0"/>
    <n v="0"/>
    <n v="0"/>
    <n v="-52891.23"/>
    <n v="0"/>
    <n v="0"/>
    <n v="0"/>
    <n v="0"/>
    <n v="40011.54"/>
    <n v="0"/>
    <n v="10048.530000000001"/>
    <n v="34310.370000000003"/>
    <n v="0"/>
    <n v="31479.21"/>
    <n v="31479.21"/>
    <m/>
    <n v="2456.5580000000045"/>
    <n v="-19938.43"/>
    <n v="20619.378000000041"/>
    <n v="5077.8260000000091"/>
    <n v="32123.97500000006"/>
    <n v="0"/>
    <n v="3680.8850000000075"/>
    <n v="0"/>
    <n v="-48675.06"/>
    <n v="-90075.943999999959"/>
    <n v="0"/>
    <n v="0"/>
    <n v="-94730.811999999831"/>
    <n v="2433.1450000000045"/>
    <n v="0"/>
    <n v="11920.922000000022"/>
    <n v="24712.025000000045"/>
    <n v="1186.6400000000021"/>
    <n v="13571.597000000027"/>
    <n v="14240.148000000028"/>
    <n v="12386.816000000024"/>
    <n v="3797.8590000000077"/>
    <n v="114.28300000000021"/>
    <n v="30.251000000000058"/>
    <n v="0"/>
    <n v="84393.686000000162"/>
    <n v="53147.629000000001"/>
    <n v="544.63500000000101"/>
    <n v="0"/>
    <n v="21699.366000000042"/>
    <n v="0"/>
    <n v="-23991.873999999967"/>
    <n v="2337.8940000000048"/>
    <n v="-10048.530000000001"/>
    <n v="-33711.382000000005"/>
    <n v="2472.9120000000048"/>
    <n v="12450.650000000089"/>
    <n v="12480.901000000089"/>
  </r>
  <r>
    <x v="14"/>
    <x v="14"/>
    <x v="8"/>
    <x v="0"/>
    <x v="6"/>
    <x v="3"/>
    <x v="0"/>
    <m/>
    <m/>
    <n v="8890.6184013511647"/>
    <n v="5898.1904524056836"/>
    <n v="156.25298891570222"/>
    <n v="2047.6142833473737"/>
    <n v="13078.957522161092"/>
    <n v="5629.3607183352642"/>
    <n v="3276.0945193796524"/>
    <n v="0"/>
    <n v="16888.736480755022"/>
    <n v="235.34461385366501"/>
    <n v="3462.1356880289695"/>
    <n v="0"/>
    <n v="59563.305668533591"/>
    <n v="5231.3997976546525"/>
    <n v="0"/>
    <n v="0"/>
    <n v="1656.5074248899273"/>
    <n v="15305.071869897927"/>
    <n v="18732.364711780494"/>
    <n v="5593.421876558903"/>
    <n v="6444.8305414546821"/>
    <n v="21763.937698673555"/>
    <n v="31295.631752831079"/>
    <n v="6029.4972721320601"/>
    <n v="725.1728697259208"/>
    <n v="112777.8358155992"/>
    <n v="2754.2697343701357"/>
    <n v="14704.62984611864"/>
    <n v="0"/>
    <n v="6472.0832089100368"/>
    <n v="1010.4425382457002"/>
    <n v="13381.697688185262"/>
    <n v="47480.002922685635"/>
    <n v="0"/>
    <n v="453.88941409589518"/>
    <n v="23575.193163255957"/>
    <n v="109832.20851586727"/>
    <n v="116586.87865772526"/>
    <m/>
    <n v="5434.98"/>
    <n v="3605.66"/>
    <n v="95.52"/>
    <n v="1251.74"/>
    <n v="7995.38"/>
    <n v="3441.32"/>
    <n v="2002.73"/>
    <n v="0"/>
    <n v="10324.36"/>
    <n v="143.87"/>
    <n v="2116.46"/>
    <n v="0"/>
    <n v="36412.020000000004"/>
    <n v="3198.04"/>
    <n v="0"/>
    <n v="0"/>
    <n v="1012.65"/>
    <n v="9356.24"/>
    <n v="11451.4"/>
    <n v="3419.35"/>
    <n v="3939.8300000000004"/>
    <n v="13304.65"/>
    <n v="19131.53"/>
    <n v="3685.9300000000003"/>
    <n v="443.31"/>
    <n v="68942.929999999993"/>
    <n v="1683.73"/>
    <n v="8989.18"/>
    <n v="0"/>
    <n v="3956.49"/>
    <n v="617.70000000000005"/>
    <n v="8180.4499999999989"/>
    <n v="29025.3"/>
    <n v="0"/>
    <n v="277.47000000000003"/>
    <n v="14411.9"/>
    <n v="67142.22"/>
    <n v="71271.459999999992"/>
    <m/>
    <n v="3455.6384013511652"/>
    <n v="2292.5304524056837"/>
    <n v="60.732988915702222"/>
    <n v="795.87428334737365"/>
    <n v="5083.577522161092"/>
    <n v="2188.040718335264"/>
    <n v="1273.3645193796524"/>
    <n v="0"/>
    <n v="6564.3764807550215"/>
    <n v="91.474613853665005"/>
    <n v="1345.6756880289695"/>
    <n v="0"/>
    <n v="23151.285668533586"/>
    <n v="2033.3597976546525"/>
    <n v="0"/>
    <n v="0"/>
    <n v="643.8574248899273"/>
    <n v="5948.8318698979274"/>
    <n v="7280.9647117804943"/>
    <n v="2174.0718765589031"/>
    <n v="2505.0005414546818"/>
    <n v="8459.2876986735555"/>
    <n v="12164.10175283108"/>
    <n v="2343.5672721320598"/>
    <n v="281.8628697259208"/>
    <n v="43834.905815599202"/>
    <n v="1070.5397343701356"/>
    <n v="5715.4498461186395"/>
    <n v="0"/>
    <n v="2515.593208910037"/>
    <n v="392.74253824570019"/>
    <n v="5201.2476881852635"/>
    <n v="18454.702922685636"/>
    <n v="0"/>
    <n v="176.41941409589515"/>
    <n v="9163.2931632559576"/>
    <n v="42689.988515867262"/>
    <n v="45315.41865772524"/>
    <m/>
    <n v="0.3886836939066004"/>
    <n v="0.3886836939066004"/>
    <n v="0.3886836939066004"/>
    <n v="0.38868369390660046"/>
    <n v="0.38868369390660051"/>
    <n v="0.3886836939066004"/>
    <n v="0.38868369390660051"/>
    <n v="0"/>
    <n v="0.38868369390660046"/>
    <n v="0.3886836939066004"/>
    <n v="0.38868369390660046"/>
    <n v="0"/>
    <n v="0.3886836939066004"/>
    <n v="0.38868369390660046"/>
    <n v="0"/>
    <n v="0"/>
    <n v="0.38868369390660035"/>
    <n v="0.38868369390660046"/>
    <n v="0.38868369390660051"/>
    <n v="0.3886836939066004"/>
    <n v="0.38868369390660046"/>
    <n v="0.38868369390660051"/>
    <n v="0.38868369390660046"/>
    <n v="0.3886836939066004"/>
    <n v="0.3886836939066004"/>
    <n v="0.38868369390660046"/>
    <n v="0.38868369390660051"/>
    <n v="0.38868369390660051"/>
    <n v="0"/>
    <n v="0.3886836939066004"/>
    <n v="0.38868369390660046"/>
    <n v="0.38868369390660046"/>
    <n v="0.3886836939066004"/>
    <n v="0"/>
    <n v="0.38868369390660046"/>
    <n v="0.3886836939066004"/>
    <n v="0.3886836939066004"/>
    <n v="0.38868369390660035"/>
    <m/>
    <n v="0"/>
    <n v="0"/>
    <n v="0"/>
    <n v="0"/>
    <n v="0"/>
    <n v="0"/>
    <n v="0"/>
    <n v="0"/>
    <n v="0"/>
    <n v="0"/>
    <n v="0"/>
    <n v="46432.270000000004"/>
    <n v="46432.270000000004"/>
    <n v="0"/>
    <n v="0"/>
    <n v="0"/>
    <n v="0"/>
    <n v="0"/>
    <n v="92138.459999999992"/>
    <n v="0"/>
    <n v="0"/>
    <n v="0"/>
    <n v="0"/>
    <n v="0"/>
    <n v="0"/>
    <n v="92138.459999999992"/>
    <n v="24144.410000000003"/>
    <n v="0"/>
    <n v="0"/>
    <n v="0"/>
    <n v="0"/>
    <n v="0"/>
    <n v="110063.85"/>
    <n v="0"/>
    <n v="0"/>
    <n v="9394.36"/>
    <n v="143602.62"/>
    <n v="143602.62"/>
    <m/>
    <n v="8890.6184013511647"/>
    <n v="5898.1904524056836"/>
    <n v="156.25298891570222"/>
    <n v="2047.6142833473737"/>
    <n v="13078.957522161092"/>
    <n v="5629.3607183352642"/>
    <n v="3276.0945193796524"/>
    <n v="0"/>
    <n v="16888.736480755022"/>
    <n v="235.34461385366501"/>
    <n v="3462.1356880289695"/>
    <n v="-46432.270000000004"/>
    <n v="13131.035668533586"/>
    <n v="5231.3997976546525"/>
    <n v="0"/>
    <n v="0"/>
    <n v="1656.5074248899273"/>
    <n v="15305.071869897927"/>
    <n v="-73406.095288219498"/>
    <n v="5593.421876558903"/>
    <n v="6444.8305414546821"/>
    <n v="21763.937698673555"/>
    <n v="31295.631752831079"/>
    <n v="6029.4972721320601"/>
    <n v="725.1728697259208"/>
    <n v="20639.375815599207"/>
    <n v="-21390.140265629867"/>
    <n v="14704.62984611864"/>
    <n v="0"/>
    <n v="6472.0832089100368"/>
    <n v="1010.4425382457002"/>
    <n v="13381.697688185262"/>
    <n v="-62583.847077314371"/>
    <n v="0"/>
    <n v="453.88941409589518"/>
    <n v="14180.833163255957"/>
    <n v="-33770.411484132746"/>
    <n v="-27015.741342274767"/>
  </r>
  <r>
    <x v="15"/>
    <x v="15"/>
    <x v="9"/>
    <x v="0"/>
    <x v="1"/>
    <x v="2"/>
    <x v="1"/>
    <m/>
    <m/>
    <n v="229.18593281049408"/>
    <n v="21559.81670235574"/>
    <n v="418.16256309498095"/>
    <n v="0"/>
    <n v="0"/>
    <n v="2038.5761801298306"/>
    <n v="2739.1825000159606"/>
    <n v="0"/>
    <n v="36211.051171021703"/>
    <n v="3293.3900824511397"/>
    <n v="0"/>
    <n v="21560.894623693301"/>
    <n v="88050.259755573148"/>
    <n v="1303.4480110908605"/>
    <n v="32414.980982705747"/>
    <n v="25192.227228644326"/>
    <n v="18143.345022966085"/>
    <n v="6837.7514552718385"/>
    <n v="0"/>
    <n v="1619.0945817138906"/>
    <n v="0"/>
    <n v="48071.164351011997"/>
    <n v="0"/>
    <n v="1576.9989168471575"/>
    <n v="0"/>
    <n v="135159.0105502519"/>
    <n v="14817.560567686232"/>
    <n v="26506.965047428555"/>
    <n v="244.23428200982161"/>
    <n v="10249.017909255128"/>
    <n v="8423.6999558558236"/>
    <n v="0"/>
    <n v="2441.0237847772573"/>
    <n v="0"/>
    <n v="1295.6188982180718"/>
    <n v="8298.5192489441688"/>
    <n v="72276.639694175057"/>
    <n v="73853.638611022208"/>
    <m/>
    <n v="161.59"/>
    <n v="15200.98"/>
    <n v="294.83"/>
    <n v="0"/>
    <n v="0"/>
    <n v="1437.32"/>
    <n v="1931.29"/>
    <n v="0"/>
    <n v="25530.99"/>
    <n v="2322.04"/>
    <n v="0"/>
    <n v="15201.740000000002"/>
    <n v="62080.78"/>
    <n v="919.01"/>
    <n v="22854.530000000002"/>
    <n v="17762.05"/>
    <n v="12792.159999999998"/>
    <n v="4821.0300000000007"/>
    <n v="0"/>
    <n v="1141.56"/>
    <n v="0"/>
    <n v="33893.090000000004"/>
    <n v="0"/>
    <n v="1111.8800000000001"/>
    <n v="0"/>
    <n v="95295.31"/>
    <n v="10447.279999999999"/>
    <n v="18689.02"/>
    <n v="172.2"/>
    <n v="7226.18"/>
    <n v="5939.2199999999993"/>
    <n v="0"/>
    <n v="1721.07"/>
    <n v="0"/>
    <n v="913.49"/>
    <n v="5850.96"/>
    <n v="50959.42"/>
    <n v="52071.299999999996"/>
    <m/>
    <n v="67.595932810494077"/>
    <n v="6358.8367023557403"/>
    <n v="123.33256309498097"/>
    <n v="0"/>
    <n v="0"/>
    <n v="601.25618012983068"/>
    <n v="807.89250001596065"/>
    <n v="0"/>
    <n v="10680.061171021702"/>
    <n v="971.35008245113977"/>
    <n v="0"/>
    <n v="6359.1546236932991"/>
    <n v="25969.479755573146"/>
    <n v="384.43801109086053"/>
    <n v="9560.4509827057445"/>
    <n v="7430.1772286443265"/>
    <n v="5351.1850229660868"/>
    <n v="2016.7214552718378"/>
    <n v="0"/>
    <n v="477.5345817138907"/>
    <n v="0"/>
    <n v="14178.074351011994"/>
    <n v="0"/>
    <n v="465.11891684715738"/>
    <n v="0"/>
    <n v="39863.700550251902"/>
    <n v="4370.2805676862336"/>
    <n v="7817.945047428555"/>
    <n v="72.034282009821624"/>
    <n v="3022.8379092551277"/>
    <n v="2484.4799558558243"/>
    <n v="0"/>
    <n v="719.9537847772574"/>
    <n v="0"/>
    <n v="382.12889821807175"/>
    <n v="2447.5592489441688"/>
    <n v="21317.219694175059"/>
    <n v="21782.338611022216"/>
    <m/>
    <n v="0.29493927476948079"/>
    <n v="0.29493927476948079"/>
    <n v="0.2949392747694809"/>
    <n v="0"/>
    <n v="0"/>
    <n v="0.29493927476948079"/>
    <n v="0.29493927476948079"/>
    <n v="0"/>
    <n v="0.29493927476948084"/>
    <n v="0.29493927476948079"/>
    <n v="0"/>
    <n v="0.29493927476948079"/>
    <n v="0.29493927476948079"/>
    <n v="0.29493927476948079"/>
    <n v="0.29493927476948079"/>
    <n v="0.2949392747694809"/>
    <n v="0.29493927476948084"/>
    <n v="0.29493927476948079"/>
    <n v="0"/>
    <n v="0.29493927476948073"/>
    <n v="0"/>
    <n v="0.29493927476948073"/>
    <n v="0"/>
    <n v="0.29493927476948079"/>
    <n v="0"/>
    <n v="0.29493927476948084"/>
    <n v="0.29493927476948079"/>
    <n v="0.29493927476948084"/>
    <n v="0.29493927476948073"/>
    <n v="0.29493927476948079"/>
    <n v="0.29493927476948084"/>
    <n v="0"/>
    <n v="0.29493927476948079"/>
    <n v="0"/>
    <n v="0.29493927476948073"/>
    <n v="0.29493927476948067"/>
    <n v="0.29493927476948079"/>
    <n v="0.29493927476948079"/>
    <m/>
    <n v="0"/>
    <n v="20659.689999999999"/>
    <n v="0"/>
    <n v="0"/>
    <n v="0"/>
    <n v="0"/>
    <n v="87540.340000000011"/>
    <n v="0"/>
    <n v="0"/>
    <n v="0"/>
    <n v="0"/>
    <n v="3036.46"/>
    <n v="111236.49000000002"/>
    <n v="10475.650000000001"/>
    <n v="0"/>
    <n v="0"/>
    <n v="0"/>
    <n v="47759.909999999996"/>
    <n v="0"/>
    <n v="38116.639999999999"/>
    <n v="0"/>
    <n v="0"/>
    <n v="0"/>
    <n v="0"/>
    <n v="0"/>
    <n v="96352.2"/>
    <n v="0"/>
    <n v="0"/>
    <n v="0"/>
    <n v="0"/>
    <n v="0"/>
    <n v="0"/>
    <n v="0"/>
    <n v="29980.93"/>
    <n v="0"/>
    <n v="57916.289999999994"/>
    <n v="87897.22"/>
    <n v="87897.22"/>
    <m/>
    <n v="229.18593281049408"/>
    <n v="900.12670235574114"/>
    <n v="418.16256309498095"/>
    <n v="0"/>
    <n v="0"/>
    <n v="2038.5761801298306"/>
    <n v="-84801.157499984052"/>
    <n v="0"/>
    <n v="36211.051171021703"/>
    <n v="3293.3900824511397"/>
    <n v="0"/>
    <n v="18524.434623693302"/>
    <n v="-23186.230244426868"/>
    <n v="-9172.2019889091407"/>
    <n v="32414.980982705747"/>
    <n v="25192.227228644326"/>
    <n v="18143.345022966085"/>
    <n v="-40922.158544728154"/>
    <n v="0"/>
    <n v="-36497.545418286107"/>
    <n v="0"/>
    <n v="48071.164351011997"/>
    <n v="0"/>
    <n v="1576.9989168471575"/>
    <n v="0"/>
    <n v="38806.81055025191"/>
    <n v="14817.560567686232"/>
    <n v="26506.965047428555"/>
    <n v="244.23428200982161"/>
    <n v="10249.017909255128"/>
    <n v="8423.6999558558236"/>
    <n v="0"/>
    <n v="2441.0237847772573"/>
    <n v="-29980.93"/>
    <n v="1295.6188982180718"/>
    <n v="-49617.770751055825"/>
    <n v="-15620.580305824937"/>
    <n v="-14043.581388977778"/>
  </r>
  <r>
    <x v="16"/>
    <x v="16"/>
    <x v="10"/>
    <x v="0"/>
    <x v="1"/>
    <x v="2"/>
    <x v="0"/>
    <m/>
    <m/>
    <n v="20201.999411443201"/>
    <n v="4278.7813720282902"/>
    <n v="9232.0028886009604"/>
    <n v="0"/>
    <n v="6553.1204279662888"/>
    <n v="0"/>
    <n v="0"/>
    <n v="0"/>
    <n v="3657.48442138877"/>
    <n v="213.86579736894228"/>
    <n v="0"/>
    <n v="8102.6345918540037"/>
    <n v="52239.88891065045"/>
    <n v="926.32078134891333"/>
    <n v="0"/>
    <n v="11916.186738408624"/>
    <n v="0"/>
    <n v="39278.121684863116"/>
    <n v="21464.376545489744"/>
    <n v="66438.129734769158"/>
    <n v="7785.8011624990877"/>
    <n v="0"/>
    <n v="0"/>
    <n v="39617.626095559441"/>
    <n v="0"/>
    <n v="187426.56274293808"/>
    <n v="0"/>
    <n v="1582.2707148753004"/>
    <n v="0"/>
    <n v="17767.756665815807"/>
    <n v="0"/>
    <n v="0"/>
    <n v="46943.542522482836"/>
    <n v="4695.1774760954713"/>
    <n v="0"/>
    <n v="36167.800967141964"/>
    <n v="107156.54834641138"/>
    <n v="146774.17444197083"/>
    <m/>
    <n v="4687.16"/>
    <n v="992.74"/>
    <n v="2141.96"/>
    <n v="0"/>
    <n v="1520.42"/>
    <n v="0"/>
    <n v="0"/>
    <n v="0"/>
    <n v="848.59"/>
    <n v="49.62"/>
    <n v="0"/>
    <n v="1879.9299999999998"/>
    <n v="12120.42"/>
    <n v="214.92000000000002"/>
    <n v="0"/>
    <n v="2764.73"/>
    <n v="0"/>
    <n v="9113.0999999999985"/>
    <n v="4980.05"/>
    <n v="15414.62"/>
    <n v="1806.42"/>
    <n v="0"/>
    <n v="0"/>
    <n v="9191.869999999999"/>
    <n v="0"/>
    <n v="43485.709999999992"/>
    <n v="0"/>
    <n v="367.11"/>
    <n v="0"/>
    <n v="4122.38"/>
    <n v="0"/>
    <n v="0"/>
    <n v="10891.59"/>
    <n v="1089.3499999999999"/>
    <n v="0"/>
    <n v="8391.4599999999991"/>
    <n v="24861.89"/>
    <n v="34053.759999999995"/>
    <m/>
    <n v="15514.839411443201"/>
    <n v="3286.0413720282904"/>
    <n v="7090.0428886009604"/>
    <n v="0"/>
    <n v="5032.7004279662888"/>
    <n v="0"/>
    <n v="0"/>
    <n v="0"/>
    <n v="2808.8944213887698"/>
    <n v="164.24579736894228"/>
    <n v="0"/>
    <n v="6222.7045918540043"/>
    <n v="40119.468910650459"/>
    <n v="711.40078134891337"/>
    <n v="0"/>
    <n v="9151.456738408624"/>
    <n v="0"/>
    <n v="30165.021684863117"/>
    <n v="16484.326545489745"/>
    <n v="51023.509734769155"/>
    <n v="5979.3811624990876"/>
    <n v="0"/>
    <n v="0"/>
    <n v="30425.756095559442"/>
    <n v="0"/>
    <n v="143940.85274293809"/>
    <n v="0"/>
    <n v="1215.1607148753005"/>
    <n v="0"/>
    <n v="13645.376665815806"/>
    <n v="0"/>
    <n v="0"/>
    <n v="36051.952522482839"/>
    <n v="3605.8274760954714"/>
    <n v="0"/>
    <n v="27776.340967141965"/>
    <n v="82294.658346411394"/>
    <n v="112720.41444197083"/>
    <m/>
    <n v="0.76798534122592788"/>
    <n v="0.76798534122592788"/>
    <n v="0.76798534122592788"/>
    <n v="0"/>
    <n v="0.76798534122592788"/>
    <n v="0"/>
    <n v="0"/>
    <n v="0"/>
    <n v="0.76798534122592788"/>
    <n v="0.76798534122592788"/>
    <n v="0"/>
    <n v="0.76798534122592788"/>
    <n v="0.76798534122592799"/>
    <n v="0.76798534122592788"/>
    <n v="0"/>
    <n v="0.76798534122592799"/>
    <n v="0"/>
    <n v="0.76798534122592788"/>
    <n v="0.76798534122592788"/>
    <n v="0.76798534122592788"/>
    <n v="0.76798534122592788"/>
    <n v="0"/>
    <n v="0"/>
    <n v="0.76798534122592788"/>
    <n v="0"/>
    <n v="0.76798534122592788"/>
    <n v="0"/>
    <n v="0.76798534122592799"/>
    <n v="0"/>
    <n v="0.76798534122592776"/>
    <n v="0"/>
    <n v="0"/>
    <n v="0.76798534122592799"/>
    <n v="0.76798534122592788"/>
    <n v="0"/>
    <n v="0.76798534122592788"/>
    <n v="0.76798534122592799"/>
    <n v="0.76798534122592788"/>
    <m/>
    <n v="0"/>
    <n v="0"/>
    <n v="0"/>
    <n v="0"/>
    <n v="101763.25"/>
    <n v="0"/>
    <n v="42226.95"/>
    <n v="0"/>
    <n v="0"/>
    <n v="0"/>
    <n v="0"/>
    <n v="0"/>
    <n v="143990.20000000001"/>
    <n v="74871.91"/>
    <n v="0"/>
    <n v="0"/>
    <n v="0"/>
    <n v="0"/>
    <n v="0"/>
    <n v="0"/>
    <n v="0"/>
    <n v="0"/>
    <n v="0"/>
    <n v="50710.32"/>
    <n v="54322.25"/>
    <n v="179904.48"/>
    <n v="21407.38"/>
    <n v="0"/>
    <n v="0"/>
    <n v="0"/>
    <n v="0"/>
    <n v="0"/>
    <n v="1520.94"/>
    <n v="0"/>
    <n v="0"/>
    <n v="0"/>
    <n v="22928.32"/>
    <n v="127960.89"/>
    <m/>
    <n v="20201.999411443201"/>
    <n v="4278.7813720282902"/>
    <n v="9232.0028886009604"/>
    <n v="0"/>
    <n v="-95210.129572033708"/>
    <n v="0"/>
    <n v="-42226.95"/>
    <n v="0"/>
    <n v="3657.48442138877"/>
    <n v="213.86579736894228"/>
    <n v="0"/>
    <n v="8102.6345918540037"/>
    <n v="-91750.311089349547"/>
    <n v="-73945.58921865109"/>
    <n v="0"/>
    <n v="11916.186738408624"/>
    <n v="0"/>
    <n v="39278.121684863116"/>
    <n v="21464.376545489744"/>
    <n v="66438.129734769158"/>
    <n v="7785.8011624990877"/>
    <n v="0"/>
    <n v="0"/>
    <n v="-11092.693904440559"/>
    <n v="-54322.25"/>
    <n v="7522.0827429380734"/>
    <n v="-21407.38"/>
    <n v="1582.2707148753004"/>
    <n v="0"/>
    <n v="17767.756665815807"/>
    <n v="0"/>
    <n v="0"/>
    <n v="45422.602522482834"/>
    <n v="4695.1774760954713"/>
    <n v="0"/>
    <n v="36167.800967141964"/>
    <n v="84228.228346411372"/>
    <n v="18813.284441970813"/>
  </r>
  <r>
    <x v="17"/>
    <x v="17"/>
    <x v="7"/>
    <x v="0"/>
    <x v="0"/>
    <x v="2"/>
    <x v="0"/>
    <m/>
    <m/>
    <n v="5677.1034789995147"/>
    <n v="627.25329688242266"/>
    <n v="694.01736667957925"/>
    <n v="0"/>
    <n v="0"/>
    <n v="4036.1830170729495"/>
    <n v="0"/>
    <n v="0"/>
    <n v="180.89427050067428"/>
    <n v="3572.7167799083468"/>
    <n v="286.40094533272583"/>
    <n v="11819.737514098113"/>
    <n v="26894.306669474325"/>
    <n v="544.20108478286772"/>
    <n v="595.72914902487821"/>
    <n v="5477.1375651815588"/>
    <n v="1637.5709379780344"/>
    <n v="5775.9776968678752"/>
    <n v="159.37873992870007"/>
    <n v="2048.8298833802482"/>
    <n v="5623.5976640364033"/>
    <n v="544.87365320990864"/>
    <n v="431.00981623987263"/>
    <n v="5550.7405238358551"/>
    <n v="0"/>
    <n v="28389.0467144662"/>
    <n v="47.958790213357481"/>
    <n v="0"/>
    <n v="0"/>
    <n v="1289.6732656777501"/>
    <n v="500.29768241176714"/>
    <n v="791.62635681390213"/>
    <n v="0"/>
    <n v="2530.8816500485282"/>
    <n v="560.54249983196235"/>
    <n v="519.03637106219594"/>
    <n v="6240.0166160594636"/>
    <n v="11790.757139895319"/>
    <m/>
    <n v="8525.34"/>
    <n v="941.95"/>
    <n v="1042.21"/>
    <n v="0"/>
    <n v="0"/>
    <n v="6061.16"/>
    <n v="0"/>
    <n v="0"/>
    <n v="271.65000000000003"/>
    <n v="5365.17"/>
    <n v="430.09"/>
    <n v="17749.77"/>
    <n v="40387.340000000004"/>
    <n v="817.23"/>
    <n v="894.61"/>
    <n v="8225.0499999999993"/>
    <n v="2459.1499999999996"/>
    <n v="8673.82"/>
    <n v="239.34"/>
    <n v="3076.74"/>
    <n v="8444.99"/>
    <n v="818.24"/>
    <n v="647.25"/>
    <n v="8335.58"/>
    <n v="0"/>
    <n v="42632"/>
    <n v="72.02"/>
    <n v="0"/>
    <n v="0"/>
    <n v="1936.71"/>
    <n v="751.3"/>
    <n v="1188.79"/>
    <n v="0"/>
    <n v="3800.6400000000003"/>
    <n v="841.77"/>
    <n v="779.43999999999994"/>
    <n v="9370.67"/>
    <n v="17706.25"/>
    <m/>
    <n v="-2848.2365210004855"/>
    <n v="-314.69670311757739"/>
    <n v="-348.19263332042078"/>
    <n v="0"/>
    <n v="0"/>
    <n v="-2024.9769829270504"/>
    <n v="0"/>
    <n v="0"/>
    <n v="-90.755729499325753"/>
    <n v="-1792.4532200916533"/>
    <n v="-143.68905466727415"/>
    <n v="-5930.0324859018874"/>
    <n v="-13493.033330525675"/>
    <n v="-273.02891521713229"/>
    <n v="-298.8808509751218"/>
    <n v="-2747.9124348184405"/>
    <n v="-821.57906202196523"/>
    <n v="-2897.8423031321245"/>
    <n v="-79.961260071299932"/>
    <n v="-1027.9101166197515"/>
    <n v="-2821.3923359635965"/>
    <n v="-273.36634679009137"/>
    <n v="-216.24018376012737"/>
    <n v="-2784.8394761641448"/>
    <n v="0"/>
    <n v="-14242.953285533795"/>
    <n v="-24.061209786642515"/>
    <n v="0"/>
    <n v="0"/>
    <n v="-647.03673432224991"/>
    <n v="-251.00231758823281"/>
    <n v="-397.16364318609783"/>
    <n v="0"/>
    <n v="-1269.7583499514722"/>
    <n v="-281.22750016803764"/>
    <n v="-260.403628937804"/>
    <n v="-3130.653383940537"/>
    <n v="-5915.4928601046813"/>
    <m/>
    <n v="-0.50170593710975209"/>
    <n v="-0.50170593710975209"/>
    <n v="-0.5017059371097522"/>
    <n v="0"/>
    <n v="0"/>
    <n v="-0.50170593710975198"/>
    <n v="0"/>
    <n v="0"/>
    <n v="-0.50170593710975198"/>
    <n v="-0.5017059371097522"/>
    <n v="-0.50170593710975231"/>
    <n v="-0.50170593710975231"/>
    <n v="-0.5017059371097522"/>
    <n v="-0.50170593710975209"/>
    <n v="-0.50170593710975231"/>
    <n v="-0.5017059371097522"/>
    <n v="-0.50170593710975198"/>
    <n v="-0.50170593710975198"/>
    <n v="-0.50170593710975209"/>
    <n v="-0.50170593710975209"/>
    <n v="-0.50170593710975209"/>
    <n v="-0.5017059371097522"/>
    <n v="-0.50170593710975209"/>
    <n v="-0.5017059371097522"/>
    <n v="0"/>
    <n v="-0.50170593710975209"/>
    <n v="-0.50170593710975198"/>
    <n v="0"/>
    <n v="0"/>
    <n v="-0.50170593710975209"/>
    <n v="-0.5017059371097522"/>
    <n v="-0.5017059371097522"/>
    <n v="0"/>
    <n v="-0.50170593710975198"/>
    <n v="-0.50170593710975198"/>
    <n v="-0.50170593710975209"/>
    <n v="-0.50170593710975209"/>
    <n v="-0.50170593710975209"/>
    <m/>
    <n v="1982.42"/>
    <n v="0"/>
    <n v="0"/>
    <n v="0"/>
    <n v="0"/>
    <n v="0"/>
    <n v="0"/>
    <n v="0"/>
    <n v="0"/>
    <n v="0"/>
    <n v="0"/>
    <n v="0"/>
    <n v="1982.42"/>
    <n v="0"/>
    <n v="0"/>
    <n v="0"/>
    <n v="0"/>
    <n v="2747.18"/>
    <n v="0"/>
    <n v="0"/>
    <n v="0"/>
    <n v="0"/>
    <n v="0"/>
    <n v="0"/>
    <n v="0"/>
    <n v="2747.18"/>
    <n v="0"/>
    <n v="0"/>
    <n v="0"/>
    <n v="56793.770000000004"/>
    <n v="0"/>
    <n v="0"/>
    <n v="0"/>
    <n v="0"/>
    <n v="0"/>
    <n v="0"/>
    <n v="56793.770000000004"/>
    <n v="56793.770000000004"/>
    <m/>
    <n v="3694.6834789995146"/>
    <n v="627.25329688242266"/>
    <n v="694.01736667957925"/>
    <n v="0"/>
    <n v="0"/>
    <n v="4036.1830170729495"/>
    <n v="0"/>
    <n v="0"/>
    <n v="180.89427050067428"/>
    <n v="3572.7167799083468"/>
    <n v="286.40094533272583"/>
    <n v="11819.737514098113"/>
    <n v="24911.886669474326"/>
    <n v="544.20108478286772"/>
    <n v="595.72914902487821"/>
    <n v="5477.1375651815588"/>
    <n v="1637.5709379780344"/>
    <n v="3028.7976968678754"/>
    <n v="159.37873992870007"/>
    <n v="2048.8298833802482"/>
    <n v="5623.5976640364033"/>
    <n v="544.87365320990864"/>
    <n v="431.00981623987263"/>
    <n v="5550.7405238358551"/>
    <n v="0"/>
    <n v="25641.866714466203"/>
    <n v="47.958790213357481"/>
    <n v="0"/>
    <n v="0"/>
    <n v="-55504.096734322251"/>
    <n v="500.29768241176714"/>
    <n v="791.62635681390213"/>
    <n v="0"/>
    <n v="2530.8816500485282"/>
    <n v="560.54249983196235"/>
    <n v="519.03637106219594"/>
    <n v="-50553.753383940537"/>
    <n v="-45003.012860104682"/>
  </r>
  <r>
    <x v="18"/>
    <x v="18"/>
    <x v="4"/>
    <x v="0"/>
    <x v="7"/>
    <x v="2"/>
    <x v="0"/>
    <m/>
    <m/>
    <n v="0"/>
    <n v="3309.7768976058287"/>
    <n v="20949.227600697948"/>
    <n v="13311.751777517555"/>
    <n v="752.92778620445586"/>
    <n v="694.84789742931821"/>
    <n v="0"/>
    <n v="1839.4075546665929"/>
    <n v="29.770270071396336"/>
    <n v="1118.3185910484206"/>
    <n v="0"/>
    <n v="0"/>
    <n v="42006.028375241513"/>
    <n v="106.47557455200774"/>
    <n v="0"/>
    <n v="0"/>
    <n v="1083.6260102987417"/>
    <n v="0"/>
    <n v="99.130102356286002"/>
    <n v="20739.054222113915"/>
    <n v="0"/>
    <n v="767.43298302313394"/>
    <n v="3530.6645339098186"/>
    <n v="0"/>
    <n v="10193.202006073685"/>
    <n v="36519.585432327585"/>
    <n v="267.36674485278161"/>
    <n v="325.73369805855663"/>
    <n v="0"/>
    <n v="22.661203877376003"/>
    <n v="1662.803828324166"/>
    <n v="2444.7842235234248"/>
    <n v="0"/>
    <n v="10193.911224078785"/>
    <n v="4615.2952697157916"/>
    <n v="0"/>
    <n v="19532.556192430882"/>
    <n v="29725.758198504569"/>
    <m/>
    <n v="0"/>
    <n v="3920.11"/>
    <n v="24812.33"/>
    <n v="15766.48"/>
    <n v="891.77"/>
    <n v="822.98"/>
    <n v="0"/>
    <n v="2178.6"/>
    <n v="35.26"/>
    <n v="1324.54"/>
    <n v="0"/>
    <n v="0"/>
    <n v="49752.07"/>
    <n v="126.11000000000001"/>
    <n v="0"/>
    <n v="0"/>
    <n v="1283.4499999999998"/>
    <n v="0"/>
    <n v="117.41"/>
    <n v="24563.399999999994"/>
    <n v="0"/>
    <n v="908.95"/>
    <n v="4181.7299999999996"/>
    <n v="0"/>
    <n v="12072.860000000002"/>
    <n v="43253.909999999996"/>
    <n v="316.67"/>
    <n v="385.79999999999995"/>
    <n v="0"/>
    <n v="26.84"/>
    <n v="1969.4299999999998"/>
    <n v="2895.61"/>
    <n v="0"/>
    <n v="12073.699999999999"/>
    <n v="5466.37"/>
    <n v="0"/>
    <n v="23134.42"/>
    <n v="35207.279999999999"/>
    <m/>
    <n v="0"/>
    <n v="-610.33310239417142"/>
    <n v="-3863.1023993020535"/>
    <n v="-2454.7282224824448"/>
    <n v="-138.84221379554413"/>
    <n v="-128.13210257068181"/>
    <n v="0"/>
    <n v="-339.19244533340702"/>
    <n v="-5.489729928603662"/>
    <n v="-206.22140895157941"/>
    <n v="0"/>
    <n v="0"/>
    <n v="-7746.0416247584863"/>
    <n v="-19.634425447992271"/>
    <n v="0"/>
    <n v="0"/>
    <n v="-199.82398970125814"/>
    <n v="0"/>
    <n v="-18.279897643713994"/>
    <n v="-3824.3457778860793"/>
    <n v="0"/>
    <n v="-141.5170169768661"/>
    <n v="-651.06546609018096"/>
    <n v="0"/>
    <n v="-1879.6579939263174"/>
    <n v="-6734.3245676724082"/>
    <n v="-49.303255147218408"/>
    <n v="-60.066301941443328"/>
    <n v="0"/>
    <n v="-4.1787961226239965"/>
    <n v="-306.6261716758338"/>
    <n v="-450.82577647657536"/>
    <n v="0"/>
    <n v="-1879.7887759212135"/>
    <n v="-851.07473028420827"/>
    <n v="0"/>
    <n v="-3601.8638075691169"/>
    <n v="-5481.5218014954344"/>
    <m/>
    <n v="0"/>
    <n v="-0.18440309461210633"/>
    <n v="-0.18440309461210636"/>
    <n v="-0.18440309461210638"/>
    <n v="-0.18440309461210644"/>
    <n v="-0.18440309461210647"/>
    <n v="0"/>
    <n v="-0.18440309461210641"/>
    <n v="-0.18440309461210652"/>
    <n v="-0.18440309461210638"/>
    <n v="0"/>
    <n v="0"/>
    <n v="-0.18440309461210638"/>
    <n v="-0.18440309461210638"/>
    <n v="0"/>
    <n v="0"/>
    <n v="-0.1844030946121063"/>
    <n v="0"/>
    <n v="-0.18440309461210636"/>
    <n v="-0.18440309461210652"/>
    <n v="0"/>
    <n v="-0.18440309461210652"/>
    <n v="-0.18440309461210644"/>
    <n v="0"/>
    <n v="-0.1844030946121063"/>
    <n v="-0.18440309461210644"/>
    <n v="-0.18440309461210644"/>
    <n v="-0.18440309461210644"/>
    <n v="0"/>
    <n v="-0.18440309461210627"/>
    <n v="-0.18440309461210633"/>
    <n v="-0.18440309461210647"/>
    <n v="0"/>
    <n v="-0.18440309461210638"/>
    <n v="-0.18440309461210641"/>
    <n v="0"/>
    <n v="-0.18440309461210641"/>
    <n v="-0.1844030946121063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64.55"/>
    <n v="0"/>
    <n v="58060.23"/>
    <n v="0"/>
    <n v="8990.9599999999991"/>
    <n v="0"/>
    <n v="0"/>
    <n v="94615.739999999991"/>
    <n v="0"/>
    <n v="0"/>
    <n v="0"/>
    <n v="3442.43"/>
    <n v="0"/>
    <n v="0"/>
    <n v="0"/>
    <n v="0"/>
    <n v="0"/>
    <n v="0"/>
    <n v="3442.43"/>
    <n v="3442.43"/>
    <m/>
    <n v="0"/>
    <n v="3309.7768976058287"/>
    <n v="20949.227600697948"/>
    <n v="13311.751777517555"/>
    <n v="752.92778620445586"/>
    <n v="694.84789742931821"/>
    <n v="0"/>
    <n v="1839.4075546665929"/>
    <n v="29.770270071396336"/>
    <n v="1118.3185910484206"/>
    <n v="0"/>
    <n v="0"/>
    <n v="42006.028375241513"/>
    <n v="106.47557455200774"/>
    <n v="0"/>
    <n v="0"/>
    <n v="1083.6260102987417"/>
    <n v="0"/>
    <n v="-27465.419897643715"/>
    <n v="20739.054222113915"/>
    <n v="-58060.23"/>
    <n v="767.43298302313394"/>
    <n v="-5460.2954660901805"/>
    <n v="0"/>
    <n v="10193.202006073685"/>
    <n v="-58096.15456767242"/>
    <n v="267.36674485278161"/>
    <n v="325.73369805855663"/>
    <n v="0"/>
    <n v="-3419.7687961226238"/>
    <n v="1662.803828324166"/>
    <n v="2444.7842235234248"/>
    <n v="0"/>
    <n v="10193.911224078785"/>
    <n v="4615.2952697157916"/>
    <n v="0"/>
    <n v="16090.126192430882"/>
    <n v="26283.328198504569"/>
  </r>
  <r>
    <x v="19"/>
    <x v="19"/>
    <x v="8"/>
    <x v="0"/>
    <x v="1"/>
    <x v="3"/>
    <x v="0"/>
    <m/>
    <m/>
    <n v="1935.3139484118553"/>
    <n v="0"/>
    <n v="370.9690124365261"/>
    <n v="22234.141993322792"/>
    <n v="2351.674044655525"/>
    <n v="5175.7989475290624"/>
    <n v="101.89634414778"/>
    <n v="2799.72570243054"/>
    <n v="3512.8525781481835"/>
    <n v="0"/>
    <n v="0"/>
    <n v="0"/>
    <n v="38482.372571082255"/>
    <n v="1245.9610128897498"/>
    <n v="0"/>
    <n v="309.51084788848567"/>
    <n v="141.00672389617293"/>
    <n v="0"/>
    <n v="0"/>
    <n v="31.178707620507975"/>
    <n v="2727.0550058044614"/>
    <n v="0"/>
    <n v="0"/>
    <n v="0"/>
    <n v="0"/>
    <n v="4454.7122980993772"/>
    <n v="0"/>
    <n v="10623.284010673331"/>
    <n v="0"/>
    <n v="3342.1916575719374"/>
    <n v="0"/>
    <n v="0"/>
    <n v="0"/>
    <n v="0"/>
    <n v="1908.0694625731153"/>
    <n v="0"/>
    <n v="15873.545130818384"/>
    <n v="15873.545130818384"/>
    <m/>
    <n v="2754.7400000000002"/>
    <n v="0"/>
    <n v="528.04"/>
    <n v="31648.240000000005"/>
    <n v="3347.3900000000003"/>
    <n v="7367.27"/>
    <n v="145.04"/>
    <n v="3985.15"/>
    <n v="5000.22"/>
    <n v="0"/>
    <n v="0"/>
    <n v="0"/>
    <n v="54776.090000000011"/>
    <n v="1773.5100000000002"/>
    <n v="0"/>
    <n v="440.56"/>
    <n v="200.70999999999998"/>
    <n v="0"/>
    <n v="0"/>
    <n v="44.38"/>
    <n v="3881.71"/>
    <n v="0"/>
    <n v="0"/>
    <n v="0"/>
    <n v="0"/>
    <n v="6340.8700000000008"/>
    <n v="0"/>
    <n v="15121.26"/>
    <n v="0"/>
    <n v="4757.3"/>
    <n v="0"/>
    <n v="0"/>
    <n v="0"/>
    <n v="0"/>
    <n v="2715.9600000000005"/>
    <n v="0"/>
    <n v="22594.52"/>
    <n v="22594.52"/>
    <m/>
    <n v="-819.4260515881449"/>
    <n v="0"/>
    <n v="-157.07098756347386"/>
    <n v="-9414.0980066772136"/>
    <n v="-995.71595534447533"/>
    <n v="-2191.471052470938"/>
    <n v="-43.143655852219993"/>
    <n v="-1185.4242975694601"/>
    <n v="-1487.3674218518167"/>
    <n v="0"/>
    <n v="0"/>
    <n v="0"/>
    <n v="-16293.717428917742"/>
    <n v="-527.54898711025044"/>
    <n v="0"/>
    <n v="-131.04915211151433"/>
    <n v="-59.703276103827051"/>
    <n v="0"/>
    <n v="0"/>
    <n v="-13.201292379492028"/>
    <n v="-1154.6549941955386"/>
    <n v="0"/>
    <n v="0"/>
    <n v="0"/>
    <n v="0"/>
    <n v="-1886.1577019006224"/>
    <n v="0"/>
    <n v="-4497.9759893266692"/>
    <n v="0"/>
    <n v="-1415.1083424280628"/>
    <n v="0"/>
    <n v="0"/>
    <n v="0"/>
    <n v="0"/>
    <n v="-807.8905374268852"/>
    <n v="0"/>
    <n v="-6720.9748691816167"/>
    <n v="-6720.9748691816167"/>
    <m/>
    <n v="-0.42340729898659435"/>
    <n v="0"/>
    <n v="-0.4234072989865944"/>
    <n v="-0.42340729898659424"/>
    <n v="-0.42340729898659429"/>
    <n v="-0.42340729898659435"/>
    <n v="-0.42340729898659429"/>
    <n v="-0.42340729898659418"/>
    <n v="-0.42340729898659435"/>
    <n v="0"/>
    <n v="0"/>
    <n v="0"/>
    <n v="-0.42340729898659435"/>
    <n v="-0.42340729898659452"/>
    <n v="0"/>
    <n v="-0.42340729898659418"/>
    <n v="-0.42340729898659435"/>
    <n v="0"/>
    <n v="0"/>
    <n v="-0.42340729898659435"/>
    <n v="-0.42340729898659446"/>
    <n v="0"/>
    <n v="0"/>
    <n v="0"/>
    <n v="0"/>
    <n v="-0.42340729898659446"/>
    <n v="0"/>
    <n v="-0.42340729898659424"/>
    <n v="0"/>
    <n v="-0.4234072989865944"/>
    <n v="0"/>
    <n v="0"/>
    <n v="0"/>
    <n v="0"/>
    <n v="-0.42340729898659424"/>
    <n v="0"/>
    <n v="-0.42340729898659424"/>
    <n v="-0.42340729898659424"/>
    <m/>
    <n v="0"/>
    <n v="0"/>
    <n v="0"/>
    <n v="0"/>
    <n v="0"/>
    <n v="17100.93"/>
    <n v="0"/>
    <n v="0"/>
    <n v="0"/>
    <n v="0"/>
    <n v="7460.34"/>
    <n v="0"/>
    <n v="24561.27"/>
    <n v="0"/>
    <n v="0"/>
    <n v="0"/>
    <n v="0"/>
    <n v="0"/>
    <n v="0"/>
    <n v="0"/>
    <n v="0"/>
    <n v="0"/>
    <n v="0"/>
    <n v="0"/>
    <n v="0"/>
    <n v="0"/>
    <n v="0"/>
    <n v="0"/>
    <n v="4243.6099999999997"/>
    <n v="0"/>
    <n v="0"/>
    <n v="30005.75"/>
    <n v="0"/>
    <n v="0"/>
    <n v="0"/>
    <n v="0"/>
    <n v="34249.360000000001"/>
    <n v="34249.360000000001"/>
    <m/>
    <n v="1935.3139484118553"/>
    <n v="0"/>
    <n v="370.9690124365261"/>
    <n v="22234.141993322792"/>
    <n v="2351.674044655525"/>
    <n v="-11925.131052470937"/>
    <n v="101.89634414778"/>
    <n v="2799.72570243054"/>
    <n v="3512.8525781481835"/>
    <n v="0"/>
    <n v="-7460.34"/>
    <n v="0"/>
    <n v="13921.102571082265"/>
    <n v="1245.9610128897498"/>
    <n v="0"/>
    <n v="309.51084788848567"/>
    <n v="141.00672389617293"/>
    <n v="0"/>
    <n v="0"/>
    <n v="31.178707620507975"/>
    <n v="2727.0550058044614"/>
    <n v="0"/>
    <n v="0"/>
    <n v="0"/>
    <n v="0"/>
    <n v="4454.7122980993772"/>
    <n v="0"/>
    <n v="10623.284010673331"/>
    <n v="-4243.6099999999997"/>
    <n v="3342.1916575719374"/>
    <n v="0"/>
    <n v="-30005.75"/>
    <n v="0"/>
    <n v="0"/>
    <n v="1908.0694625731153"/>
    <n v="0"/>
    <n v="-18375.814869181613"/>
    <n v="-18375.814869181613"/>
  </r>
  <r>
    <x v="20"/>
    <x v="20"/>
    <x v="11"/>
    <x v="1"/>
    <x v="1"/>
    <x v="2"/>
    <x v="1"/>
    <m/>
    <m/>
    <n v="1181.9624999999999"/>
    <n v="0"/>
    <n v="935.81249999999989"/>
    <n v="0"/>
    <n v="271.13749999999999"/>
    <n v="0"/>
    <n v="4618.2875000000004"/>
    <n v="2661.6624999999999"/>
    <n v="5636.0625"/>
    <n v="0"/>
    <n v="15727.75"/>
    <n v="813.8125"/>
    <n v="31846.487499999999"/>
    <n v="0"/>
    <n v="50645.887499999997"/>
    <n v="1386.3624999999997"/>
    <n v="0"/>
    <n v="5026.3249999999998"/>
    <n v="2178.8249999999998"/>
    <n v="363.03750000000002"/>
    <n v="0"/>
    <n v="1998.425"/>
    <n v="53245.312499999993"/>
    <n v="6120.6"/>
    <n v="1238.0125"/>
    <n v="122202.78749999999"/>
    <n v="0"/>
    <n v="1574.8250000000003"/>
    <n v="0"/>
    <n v="34430.875"/>
    <n v="2830.0250000000001"/>
    <n v="0"/>
    <n v="0"/>
    <n v="2399.2374999999997"/>
    <n v="1102.1500000000001"/>
    <n v="0"/>
    <n v="42337.112500000003"/>
    <n v="49695.724999999999"/>
    <m/>
    <n v="945.56999999999994"/>
    <n v="0"/>
    <n v="748.65"/>
    <n v="0"/>
    <n v="216.91"/>
    <n v="0"/>
    <n v="3694.63"/>
    <n v="2129.33"/>
    <n v="4508.8499999999995"/>
    <n v="0"/>
    <n v="12582.2"/>
    <n v="651.04999999999995"/>
    <n v="25477.19"/>
    <n v="0"/>
    <n v="40516.71"/>
    <n v="1109.0899999999999"/>
    <n v="0"/>
    <n v="4021.06"/>
    <n v="1743.06"/>
    <n v="290.43"/>
    <n v="0"/>
    <n v="1598.74"/>
    <n v="42596.25"/>
    <n v="4896.4800000000005"/>
    <n v="990.41"/>
    <n v="97762.23"/>
    <n v="0"/>
    <n v="1259.8600000000001"/>
    <n v="0"/>
    <n v="27544.699999999997"/>
    <n v="2264.02"/>
    <n v="0"/>
    <n v="0"/>
    <n v="1919.3899999999999"/>
    <n v="881.72"/>
    <n v="0"/>
    <n v="33869.69"/>
    <n v="39756.580000000009"/>
    <m/>
    <n v="236.39249999999993"/>
    <n v="0"/>
    <n v="187.16249999999991"/>
    <n v="0"/>
    <n v="54.227499999999992"/>
    <n v="0"/>
    <n v="923.65750000000025"/>
    <n v="532.33249999999998"/>
    <n v="1127.2125000000005"/>
    <n v="0"/>
    <n v="3145.5499999999993"/>
    <n v="162.76250000000005"/>
    <n v="6369.2974999999997"/>
    <n v="0"/>
    <n v="10129.177499999998"/>
    <n v="277.27249999999981"/>
    <n v="0"/>
    <n v="1005.2649999999999"/>
    <n v="435.76499999999987"/>
    <n v="72.607500000000016"/>
    <n v="0"/>
    <n v="399.68499999999995"/>
    <n v="10649.062499999993"/>
    <n v="1224.1199999999999"/>
    <n v="247.60250000000008"/>
    <n v="24440.557499999988"/>
    <n v="0"/>
    <n v="314.96500000000015"/>
    <n v="0"/>
    <n v="6886.1750000000029"/>
    <n v="566.00500000000011"/>
    <n v="0"/>
    <n v="0"/>
    <n v="479.84749999999985"/>
    <n v="220.43000000000006"/>
    <n v="0"/>
    <n v="8467.4225000000042"/>
    <n v="9939.1450000000041"/>
    <m/>
    <n v="0.19999999999999996"/>
    <n v="0"/>
    <n v="0.19999999999999993"/>
    <n v="0"/>
    <n v="0.19999999999999998"/>
    <n v="0"/>
    <n v="0.20000000000000004"/>
    <n v="0.2"/>
    <n v="0.20000000000000009"/>
    <n v="0"/>
    <n v="0.19999999999999996"/>
    <n v="0.20000000000000007"/>
    <n v="0.19999999999999998"/>
    <n v="0"/>
    <n v="0.19999999999999998"/>
    <n v="0.1999999999999999"/>
    <n v="0"/>
    <n v="0.19999999999999998"/>
    <n v="0.19999999999999996"/>
    <n v="0.20000000000000004"/>
    <n v="0"/>
    <n v="0.19999999999999998"/>
    <n v="0.1999999999999999"/>
    <n v="0.19999999999999998"/>
    <n v="0.20000000000000007"/>
    <n v="0.19999999999999993"/>
    <n v="0"/>
    <n v="0.20000000000000007"/>
    <n v="0"/>
    <n v="0.20000000000000009"/>
    <n v="0.20000000000000004"/>
    <n v="0"/>
    <n v="0"/>
    <n v="0.19999999999999996"/>
    <n v="0.20000000000000004"/>
    <n v="0"/>
    <n v="0.20000000000000009"/>
    <n v="0.20000000000000009"/>
    <m/>
    <n v="0"/>
    <n v="0"/>
    <n v="0"/>
    <n v="55929.82"/>
    <n v="0"/>
    <n v="0"/>
    <n v="0"/>
    <n v="0"/>
    <n v="0"/>
    <n v="0"/>
    <n v="0"/>
    <n v="0"/>
    <n v="55929.82"/>
    <n v="0"/>
    <n v="0"/>
    <n v="0"/>
    <n v="0"/>
    <n v="0"/>
    <n v="0"/>
    <n v="0"/>
    <n v="0"/>
    <n v="0"/>
    <n v="0"/>
    <n v="0"/>
    <n v="0"/>
    <n v="0"/>
    <n v="0"/>
    <n v="0"/>
    <n v="0"/>
    <n v="8090.37"/>
    <n v="0"/>
    <n v="0"/>
    <n v="0"/>
    <n v="0"/>
    <n v="0"/>
    <n v="0"/>
    <n v="8090.37"/>
    <n v="8090.37"/>
    <m/>
    <n v="1181.9624999999999"/>
    <n v="0"/>
    <n v="935.81249999999989"/>
    <n v="-55929.82"/>
    <n v="271.13749999999999"/>
    <n v="0"/>
    <n v="4618.2875000000004"/>
    <n v="2661.6624999999999"/>
    <n v="5636.0625"/>
    <n v="0"/>
    <n v="15727.75"/>
    <n v="813.8125"/>
    <n v="-24083.332500000004"/>
    <n v="0"/>
    <n v="50645.887499999997"/>
    <n v="1386.3624999999997"/>
    <n v="0"/>
    <n v="5026.3249999999998"/>
    <n v="2178.8249999999998"/>
    <n v="363.03750000000002"/>
    <n v="0"/>
    <n v="1998.425"/>
    <n v="53245.312499999993"/>
    <n v="6120.6"/>
    <n v="1238.0125"/>
    <n v="122202.78749999999"/>
    <n v="0"/>
    <n v="1574.8250000000003"/>
    <n v="0"/>
    <n v="26340.505000000001"/>
    <n v="2830.0250000000001"/>
    <n v="0"/>
    <n v="0"/>
    <n v="2399.2374999999997"/>
    <n v="1102.1500000000001"/>
    <n v="0"/>
    <n v="34246.742500000008"/>
    <n v="41605.355000000003"/>
  </r>
  <r>
    <x v="21"/>
    <x v="21"/>
    <x v="0"/>
    <x v="1"/>
    <x v="1"/>
    <x v="0"/>
    <x v="1"/>
    <m/>
    <m/>
    <n v="0"/>
    <n v="3775.8884783512181"/>
    <n v="0"/>
    <n v="524.15422496840108"/>
    <n v="0"/>
    <n v="3546.2521525261054"/>
    <n v="34.390676682108982"/>
    <n v="3938.3521883270928"/>
    <n v="20481.444492082275"/>
    <n v="2211.269181291425"/>
    <n v="0"/>
    <n v="1078.0732238034616"/>
    <n v="35589.824618032093"/>
    <n v="19.580276057815233"/>
    <n v="3321.9428135696635"/>
    <n v="0"/>
    <n v="143.82864545409865"/>
    <n v="0"/>
    <n v="6601.3824064128048"/>
    <n v="4331.8794309507093"/>
    <n v="589.48649517793353"/>
    <n v="3533.4949266291023"/>
    <n v="0"/>
    <n v="1017.9114484864341"/>
    <n v="0"/>
    <n v="19559.506442738559"/>
    <n v="12820.029256878357"/>
    <n v="0"/>
    <n v="31880.238660142626"/>
    <n v="4453.3610222083871"/>
    <n v="0"/>
    <n v="0"/>
    <n v="0"/>
    <n v="0"/>
    <n v="0"/>
    <n v="0"/>
    <n v="49153.628939229369"/>
    <n v="50171.540387715802"/>
    <m/>
    <n v="0"/>
    <n v="6032.08"/>
    <n v="0"/>
    <n v="837.35"/>
    <n v="0"/>
    <n v="5665.23"/>
    <n v="54.94"/>
    <n v="6291.62"/>
    <n v="32719.640000000003"/>
    <n v="3532.5599999999995"/>
    <n v="0"/>
    <n v="1722.25"/>
    <n v="56855.67"/>
    <n v="31.28"/>
    <n v="5306.8899999999994"/>
    <n v="0"/>
    <n v="229.77"/>
    <n v="0"/>
    <n v="10545.880000000001"/>
    <n v="6920.29"/>
    <n v="941.72"/>
    <n v="5644.85"/>
    <n v="0"/>
    <n v="1626.1399999999999"/>
    <n v="0"/>
    <n v="31246.82"/>
    <n v="20480.329999999998"/>
    <n v="0"/>
    <n v="50929.509999999995"/>
    <n v="7114.36"/>
    <n v="0"/>
    <n v="0"/>
    <n v="0"/>
    <n v="0"/>
    <n v="0"/>
    <n v="0"/>
    <n v="78524.2"/>
    <n v="80150.34"/>
    <m/>
    <n v="0"/>
    <n v="-2256.1915216487819"/>
    <n v="0"/>
    <n v="-313.19577503159894"/>
    <n v="0"/>
    <n v="-2118.9778474738941"/>
    <n v="-20.549323317891016"/>
    <n v="-2353.2678116729071"/>
    <n v="-12238.195507917728"/>
    <n v="-1321.2908187085745"/>
    <n v="0"/>
    <n v="-644.17677619653841"/>
    <n v="-21265.845381967916"/>
    <n v="-11.699723942184768"/>
    <n v="-1984.9471864303359"/>
    <n v="0"/>
    <n v="-85.941354545901362"/>
    <n v="0"/>
    <n v="-3944.4975935871962"/>
    <n v="-2588.4105690492906"/>
    <n v="-352.23350482206649"/>
    <n v="-2111.355073370898"/>
    <n v="0"/>
    <n v="-608.22855151356578"/>
    <n v="0"/>
    <n v="-11687.313557261441"/>
    <n v="-7660.3007431216411"/>
    <n v="0"/>
    <n v="-19049.271339857369"/>
    <n v="-2660.9989777916126"/>
    <n v="0"/>
    <n v="0"/>
    <n v="0"/>
    <n v="0"/>
    <n v="0"/>
    <n v="0"/>
    <n v="-29370.571060770621"/>
    <n v="-29978.799612284187"/>
    <m/>
    <n v="0"/>
    <n v="-0.59752599542716689"/>
    <n v="0"/>
    <n v="-0.59752599542716667"/>
    <n v="0"/>
    <n v="-0.59752599542716678"/>
    <n v="-0.59752599542716656"/>
    <n v="-0.59752599542716689"/>
    <n v="-0.597525995427167"/>
    <n v="-0.59752599542716667"/>
    <n v="0"/>
    <n v="-0.597525995427167"/>
    <n v="-0.59752599542716689"/>
    <n v="-0.59752599542716678"/>
    <n v="-0.59752599542716667"/>
    <n v="0"/>
    <n v="-0.59752599542716689"/>
    <n v="0"/>
    <n v="-0.59752599542716667"/>
    <n v="-0.59752599542716667"/>
    <n v="-0.59752599542716678"/>
    <n v="-0.59752599542716678"/>
    <n v="0"/>
    <n v="-0.59752599542716678"/>
    <n v="0"/>
    <n v="-0.59752599542716689"/>
    <n v="-0.59752599542716678"/>
    <n v="0"/>
    <n v="-0.59752599542716678"/>
    <n v="-0.597525995427167"/>
    <n v="0"/>
    <n v="0"/>
    <n v="0"/>
    <n v="0"/>
    <n v="0"/>
    <n v="0"/>
    <n v="-0.59752599542716678"/>
    <n v="-0.59752599542716678"/>
    <m/>
    <n v="0"/>
    <n v="0"/>
    <n v="0"/>
    <n v="0"/>
    <n v="0"/>
    <n v="0"/>
    <n v="6019.04"/>
    <n v="0"/>
    <n v="0"/>
    <n v="23972.75"/>
    <n v="0"/>
    <n v="0"/>
    <n v="29991.79"/>
    <n v="74311.17"/>
    <n v="0"/>
    <n v="0"/>
    <n v="0"/>
    <n v="0"/>
    <n v="0"/>
    <n v="0"/>
    <n v="0"/>
    <n v="0"/>
    <n v="0"/>
    <n v="0"/>
    <n v="0"/>
    <n v="74311.17"/>
    <n v="0"/>
    <n v="0"/>
    <n v="0"/>
    <n v="0"/>
    <n v="0"/>
    <n v="0"/>
    <n v="0"/>
    <n v="0"/>
    <n v="0"/>
    <n v="0"/>
    <n v="0"/>
    <n v="0"/>
    <m/>
    <n v="0"/>
    <n v="3775.8884783512181"/>
    <n v="0"/>
    <n v="524.15422496840108"/>
    <n v="0"/>
    <n v="3546.2521525261054"/>
    <n v="-5984.6493233178908"/>
    <n v="3938.3521883270928"/>
    <n v="20481.444492082275"/>
    <n v="-21761.480818708576"/>
    <n v="0"/>
    <n v="1078.0732238034616"/>
    <n v="5598.0346180320885"/>
    <n v="-74291.58972394219"/>
    <n v="3321.9428135696635"/>
    <n v="0"/>
    <n v="143.82864545409865"/>
    <n v="0"/>
    <n v="6601.3824064128048"/>
    <n v="4331.8794309507093"/>
    <n v="589.48649517793353"/>
    <n v="3533.4949266291023"/>
    <n v="0"/>
    <n v="1017.9114484864341"/>
    <n v="0"/>
    <n v="-54751.663557261454"/>
    <n v="12820.029256878357"/>
    <n v="0"/>
    <n v="31880.238660142626"/>
    <n v="4453.3610222083871"/>
    <n v="0"/>
    <n v="0"/>
    <n v="0"/>
    <n v="0"/>
    <n v="0"/>
    <n v="0"/>
    <n v="49153.628939229369"/>
    <n v="50171.540387715802"/>
  </r>
  <r>
    <x v="22"/>
    <x v="22"/>
    <x v="1"/>
    <x v="1"/>
    <x v="0"/>
    <x v="0"/>
    <x v="1"/>
    <m/>
    <m/>
    <n v="3148.1"/>
    <n v="0"/>
    <n v="14133.212500000003"/>
    <n v="9226.5374999999985"/>
    <n v="112.7"/>
    <n v="0"/>
    <n v="2356.5375000000004"/>
    <n v="2669.9374999999995"/>
    <n v="0"/>
    <n v="10479.650000000001"/>
    <n v="48.949999999999996"/>
    <n v="4489.0999999999995"/>
    <n v="46664.724999999999"/>
    <n v="4135.1499999999996"/>
    <n v="57746.912499999999"/>
    <n v="0"/>
    <n v="14268.012499999999"/>
    <n v="0"/>
    <n v="0"/>
    <n v="5925.0250000000005"/>
    <n v="12354.637499999999"/>
    <n v="0"/>
    <n v="27078.05"/>
    <n v="199337.33749999999"/>
    <n v="16883.112500000003"/>
    <n v="337728.23749999999"/>
    <n v="4267.6374999999998"/>
    <n v="3250.05"/>
    <n v="0"/>
    <n v="0"/>
    <n v="8977.0874999999996"/>
    <n v="84.9"/>
    <n v="4730.8999999999996"/>
    <n v="0"/>
    <n v="0"/>
    <n v="0"/>
    <n v="21310.575000000004"/>
    <n v="237531.02500000002"/>
    <m/>
    <n v="2518.48"/>
    <n v="0"/>
    <n v="11306.570000000002"/>
    <n v="7381.23"/>
    <n v="90.160000000000011"/>
    <n v="0"/>
    <n v="1885.23"/>
    <n v="2135.9499999999998"/>
    <n v="0"/>
    <n v="8383.7200000000012"/>
    <n v="39.159999999999997"/>
    <n v="3591.28"/>
    <n v="37331.78"/>
    <n v="3308.12"/>
    <n v="46197.53"/>
    <n v="0"/>
    <n v="11414.409999999998"/>
    <n v="0"/>
    <n v="0"/>
    <n v="4740.0200000000004"/>
    <n v="9883.7099999999991"/>
    <n v="0"/>
    <n v="21662.44"/>
    <n v="159469.87"/>
    <n v="13506.490000000002"/>
    <n v="270182.59000000003"/>
    <n v="3414.1099999999997"/>
    <n v="2600.04"/>
    <n v="0"/>
    <n v="0"/>
    <n v="7181.67"/>
    <n v="67.92"/>
    <n v="3784.7200000000003"/>
    <n v="0"/>
    <n v="0"/>
    <n v="0"/>
    <n v="17048.46"/>
    <n v="190024.81999999998"/>
    <m/>
    <n v="629.61999999999989"/>
    <n v="0"/>
    <n v="2826.6425000000017"/>
    <n v="1845.307499999999"/>
    <n v="22.539999999999992"/>
    <n v="0"/>
    <n v="471.30750000000035"/>
    <n v="533.98749999999973"/>
    <n v="0"/>
    <n v="2095.9300000000003"/>
    <n v="9.7899999999999991"/>
    <n v="897.81999999999925"/>
    <n v="9332.9450000000015"/>
    <n v="827.02999999999975"/>
    <n v="11549.3825"/>
    <n v="0"/>
    <n v="2853.6025000000009"/>
    <n v="0"/>
    <n v="0"/>
    <n v="1185.0050000000001"/>
    <n v="2470.9274999999998"/>
    <n v="0"/>
    <n v="5415.6100000000006"/>
    <n v="39867.467499999999"/>
    <n v="3376.6225000000013"/>
    <n v="67545.647500000006"/>
    <n v="853.52750000000015"/>
    <n v="650.01000000000022"/>
    <n v="0"/>
    <n v="0"/>
    <n v="1795.4174999999996"/>
    <n v="16.980000000000004"/>
    <n v="946.17999999999938"/>
    <n v="0"/>
    <n v="0"/>
    <n v="0"/>
    <n v="4262.1149999999998"/>
    <n v="47506.205000000002"/>
    <m/>
    <n v="0.19999999999999998"/>
    <n v="0"/>
    <n v="0.20000000000000007"/>
    <n v="0.19999999999999993"/>
    <n v="0.19999999999999993"/>
    <n v="0"/>
    <n v="0.20000000000000012"/>
    <n v="0.19999999999999993"/>
    <n v="0"/>
    <n v="0.2"/>
    <n v="0.2"/>
    <n v="0.19999999999999984"/>
    <n v="0.20000000000000004"/>
    <n v="0.19999999999999996"/>
    <n v="0.2"/>
    <n v="0"/>
    <n v="0.20000000000000007"/>
    <n v="0"/>
    <n v="0"/>
    <n v="0.2"/>
    <n v="0.2"/>
    <n v="0"/>
    <n v="0.20000000000000004"/>
    <n v="0.2"/>
    <n v="0.20000000000000004"/>
    <n v="0.20000000000000004"/>
    <n v="0.20000000000000004"/>
    <n v="0.20000000000000007"/>
    <n v="0"/>
    <n v="0"/>
    <n v="0.19999999999999996"/>
    <n v="0.20000000000000004"/>
    <n v="0.19999999999999987"/>
    <n v="0"/>
    <n v="0"/>
    <n v="0"/>
    <n v="0.19999999999999996"/>
    <n v="0.19999999999999998"/>
    <m/>
    <n v="94662.609999999986"/>
    <n v="0"/>
    <n v="0"/>
    <n v="60768.35"/>
    <n v="0"/>
    <n v="0"/>
    <n v="0"/>
    <n v="0"/>
    <n v="0"/>
    <n v="0"/>
    <n v="92353.06"/>
    <n v="0"/>
    <n v="247784.02"/>
    <n v="0"/>
    <n v="0"/>
    <n v="0"/>
    <n v="0"/>
    <n v="0"/>
    <n v="0"/>
    <n v="163044.63"/>
    <n v="0"/>
    <n v="0"/>
    <n v="0"/>
    <n v="0"/>
    <n v="0"/>
    <n v="163044.63"/>
    <n v="127523.64"/>
    <n v="0"/>
    <n v="0"/>
    <n v="0"/>
    <n v="0"/>
    <n v="7653.96"/>
    <n v="0"/>
    <n v="0"/>
    <n v="0"/>
    <n v="0"/>
    <n v="135177.60000000001"/>
    <n v="135177.60000000001"/>
    <m/>
    <n v="-91514.50999999998"/>
    <n v="0"/>
    <n v="14133.212500000003"/>
    <n v="-51541.8125"/>
    <n v="112.7"/>
    <n v="0"/>
    <n v="2356.5375000000004"/>
    <n v="2669.9374999999995"/>
    <n v="0"/>
    <n v="10479.650000000001"/>
    <n v="-92304.11"/>
    <n v="4489.0999999999995"/>
    <n v="-201119.29499999995"/>
    <n v="4135.1499999999996"/>
    <n v="57746.912499999999"/>
    <n v="0"/>
    <n v="14268.012499999999"/>
    <n v="0"/>
    <n v="0"/>
    <n v="-157119.60500000001"/>
    <n v="12354.637499999999"/>
    <n v="0"/>
    <n v="27078.05"/>
    <n v="199337.33749999999"/>
    <n v="16883.112500000003"/>
    <n v="174683.60749999998"/>
    <n v="-123256.0025"/>
    <n v="3250.05"/>
    <n v="0"/>
    <n v="0"/>
    <n v="8977.0874999999996"/>
    <n v="-7569.06"/>
    <n v="4730.8999999999996"/>
    <n v="0"/>
    <n v="0"/>
    <n v="0"/>
    <n v="-113867.02500000001"/>
    <n v="102353.42499999999"/>
  </r>
  <r>
    <x v="23"/>
    <x v="23"/>
    <x v="11"/>
    <x v="1"/>
    <x v="1"/>
    <x v="2"/>
    <x v="1"/>
    <m/>
    <m/>
    <n v="0"/>
    <n v="6392.0682869639259"/>
    <n v="2043.0145854164571"/>
    <n v="0"/>
    <n v="0"/>
    <n v="0"/>
    <n v="9572.5600465861189"/>
    <n v="3496.0845674014668"/>
    <n v="124.61656389476562"/>
    <n v="8944.7265466680983"/>
    <n v="0"/>
    <n v="0"/>
    <n v="30573.070596930829"/>
    <n v="0"/>
    <n v="129.11750062401899"/>
    <n v="50370.904213889466"/>
    <n v="526.37650318869896"/>
    <n v="832.68439463253537"/>
    <n v="9459.3706451149428"/>
    <n v="4188.35749563436"/>
    <n v="3507.8946701879677"/>
    <n v="0"/>
    <n v="1624.4940679198787"/>
    <n v="0"/>
    <n v="0"/>
    <n v="70639.199491191859"/>
    <n v="0"/>
    <n v="26828.052594197765"/>
    <n v="3120.148128232338"/>
    <n v="3268.9176842919746"/>
    <n v="1966.2988660471976"/>
    <n v="21531.276993056024"/>
    <n v="28009.76770510988"/>
    <n v="4407.4160327987984"/>
    <n v="9876.081908143291"/>
    <n v="0"/>
    <n v="99007.959911877246"/>
    <n v="99007.959911877246"/>
    <m/>
    <n v="0"/>
    <n v="11517.53"/>
    <n v="3681.2000000000003"/>
    <n v="0"/>
    <n v="0"/>
    <n v="0"/>
    <n v="17248.29"/>
    <n v="6299.4099999999989"/>
    <n v="224.54"/>
    <n v="16117.030000000004"/>
    <n v="0"/>
    <n v="0"/>
    <n v="55088.000000000007"/>
    <n v="0"/>
    <n v="232.65"/>
    <n v="90760.670000000013"/>
    <n v="948.45"/>
    <n v="1500.37"/>
    <n v="17044.34"/>
    <n v="7546.78"/>
    <n v="6320.6900000000005"/>
    <n v="0"/>
    <n v="2927.09"/>
    <n v="0"/>
    <n v="0"/>
    <n v="127281.04"/>
    <n v="0"/>
    <n v="48340.05"/>
    <n v="5622.03"/>
    <n v="5890.0899999999992"/>
    <n v="3542.97"/>
    <n v="38796.07"/>
    <n v="50469.32"/>
    <n v="7941.49"/>
    <n v="17795.190000000002"/>
    <n v="0"/>
    <n v="178397.21"/>
    <n v="178397.21"/>
    <m/>
    <n v="0"/>
    <n v="-5125.4617130360748"/>
    <n v="-1638.1854145835432"/>
    <n v="0"/>
    <n v="0"/>
    <n v="0"/>
    <n v="-7675.729953413882"/>
    <n v="-2803.3254325985322"/>
    <n v="-99.923436105234373"/>
    <n v="-7172.303453331906"/>
    <n v="0"/>
    <n v="0"/>
    <n v="-24514.929403069174"/>
    <n v="0"/>
    <n v="-103.53249937598102"/>
    <n v="-40389.765786110547"/>
    <n v="-422.07349681130108"/>
    <n v="-667.68560536746452"/>
    <n v="-7584.9693548850573"/>
    <n v="-3358.4225043656397"/>
    <n v="-2812.7953298120328"/>
    <n v="0"/>
    <n v="-1302.5959320801214"/>
    <n v="0"/>
    <n v="0"/>
    <n v="-56641.840508808142"/>
    <n v="0"/>
    <n v="-21511.997405802238"/>
    <n v="-2501.8818717676618"/>
    <n v="-2621.1723157080246"/>
    <n v="-1576.6711339528022"/>
    <n v="-17264.793006943975"/>
    <n v="-22459.55229489012"/>
    <n v="-3534.0739672012014"/>
    <n v="-7919.1080918567113"/>
    <n v="0"/>
    <n v="-79389.250088122732"/>
    <n v="-79389.250088122732"/>
    <m/>
    <n v="0"/>
    <n v="-0.80184714601516593"/>
    <n v="-0.80184714601516582"/>
    <n v="0"/>
    <n v="0"/>
    <n v="0"/>
    <n v="-0.80184714601516582"/>
    <n v="-0.80184714601516593"/>
    <n v="-0.80184714601516582"/>
    <n v="-0.80184714601516593"/>
    <n v="0"/>
    <n v="0"/>
    <n v="-0.80184714601516605"/>
    <n v="0"/>
    <n v="-0.80184714601516582"/>
    <n v="-0.8018471460151656"/>
    <n v="-0.80184714601516582"/>
    <n v="-0.80184714601516582"/>
    <n v="-0.80184714601516605"/>
    <n v="-0.80184714601516605"/>
    <n v="-0.80184714601516571"/>
    <n v="0"/>
    <n v="-0.80184714601516571"/>
    <n v="0"/>
    <n v="0"/>
    <n v="-0.80184714601516571"/>
    <n v="0"/>
    <n v="-0.8018471460151656"/>
    <n v="-0.80184714601516582"/>
    <n v="-0.80184714601516582"/>
    <n v="-0.80184714601516582"/>
    <n v="-0.80184714601516582"/>
    <n v="-0.80184714601516593"/>
    <n v="-0.80184714601516593"/>
    <n v="-0.80184714601516582"/>
    <n v="0"/>
    <n v="-0.80184714601516593"/>
    <n v="-0.80184714601516593"/>
    <m/>
    <n v="0"/>
    <n v="0"/>
    <n v="0"/>
    <n v="0"/>
    <n v="0"/>
    <n v="0"/>
    <n v="0"/>
    <n v="0"/>
    <n v="0"/>
    <n v="0"/>
    <n v="0"/>
    <n v="0"/>
    <n v="0"/>
    <n v="23775.83"/>
    <n v="26588.47"/>
    <n v="0"/>
    <n v="0"/>
    <n v="0"/>
    <n v="0"/>
    <n v="0"/>
    <n v="0"/>
    <n v="0"/>
    <n v="0"/>
    <n v="0"/>
    <n v="0"/>
    <n v="50364.3"/>
    <n v="0"/>
    <n v="0"/>
    <n v="0"/>
    <n v="0"/>
    <n v="0"/>
    <n v="0"/>
    <n v="0"/>
    <n v="149855.93"/>
    <n v="0"/>
    <n v="0"/>
    <n v="149855.93"/>
    <n v="149855.93"/>
    <m/>
    <n v="0"/>
    <n v="6392.0682869639259"/>
    <n v="2043.0145854164571"/>
    <n v="0"/>
    <n v="0"/>
    <n v="0"/>
    <n v="9572.5600465861189"/>
    <n v="3496.0845674014668"/>
    <n v="124.61656389476562"/>
    <n v="8944.7265466680983"/>
    <n v="0"/>
    <n v="0"/>
    <n v="30573.070596930829"/>
    <n v="-23775.83"/>
    <n v="-26459.352499375982"/>
    <n v="50370.904213889466"/>
    <n v="526.37650318869896"/>
    <n v="832.68439463253537"/>
    <n v="9459.3706451149428"/>
    <n v="4188.35749563436"/>
    <n v="3507.8946701879677"/>
    <n v="0"/>
    <n v="1624.4940679198787"/>
    <n v="0"/>
    <n v="0"/>
    <n v="20274.899491191867"/>
    <n v="0"/>
    <n v="26828.052594197765"/>
    <n v="3120.148128232338"/>
    <n v="3268.9176842919746"/>
    <n v="1966.2988660471976"/>
    <n v="21531.276993056024"/>
    <n v="28009.76770510988"/>
    <n v="-145448.5139672012"/>
    <n v="9876.081908143291"/>
    <n v="0"/>
    <n v="-50847.97008812274"/>
    <n v="-50847.97008812274"/>
  </r>
  <r>
    <x v="24"/>
    <x v="24"/>
    <x v="8"/>
    <x v="1"/>
    <x v="3"/>
    <x v="3"/>
    <x v="0"/>
    <m/>
    <m/>
    <n v="5150.9371557732711"/>
    <n v="5471.0634626843967"/>
    <n v="6025.5162332502823"/>
    <n v="765.67287363860362"/>
    <n v="23193.492204005004"/>
    <n v="0"/>
    <n v="0"/>
    <n v="36752.980471240771"/>
    <n v="10729.192157209656"/>
    <n v="2038.0708983987763"/>
    <n v="763.85832514909168"/>
    <n v="0"/>
    <n v="90890.783781349848"/>
    <n v="260.52920973266396"/>
    <n v="395.65480688282588"/>
    <n v="0"/>
    <n v="11203.937972107813"/>
    <n v="5093.9203798413628"/>
    <n v="653.50381196584385"/>
    <n v="11928.259116866164"/>
    <n v="0"/>
    <n v="30682.083878518846"/>
    <n v="0"/>
    <n v="0"/>
    <n v="0"/>
    <n v="60217.889175915523"/>
    <n v="0"/>
    <n v="0"/>
    <n v="96004.947197551257"/>
    <n v="789.34524017150136"/>
    <n v="0"/>
    <n v="0"/>
    <n v="1506.6246050118393"/>
    <n v="0"/>
    <n v="0"/>
    <n v="0"/>
    <n v="98300.917042734596"/>
    <n v="98300.917042734596"/>
    <m/>
    <n v="3094.17"/>
    <n v="3286.47"/>
    <n v="3619.5299999999997"/>
    <n v="459.94"/>
    <n v="13932.339999999998"/>
    <n v="0"/>
    <n v="0"/>
    <n v="22077.53"/>
    <n v="6445.03"/>
    <n v="1224.27"/>
    <n v="458.84999999999997"/>
    <n v="0"/>
    <n v="54598.12999999999"/>
    <n v="156.5"/>
    <n v="237.67000000000002"/>
    <n v="0"/>
    <n v="6730.2100000000009"/>
    <n v="3059.92"/>
    <n v="392.56"/>
    <n v="7165.31"/>
    <n v="0"/>
    <n v="18430.740000000002"/>
    <n v="0"/>
    <n v="0"/>
    <n v="0"/>
    <n v="36172.910000000003"/>
    <n v="0"/>
    <n v="0"/>
    <n v="57670.209999999992"/>
    <n v="474.16"/>
    <n v="0"/>
    <n v="0"/>
    <n v="905.03"/>
    <n v="0"/>
    <n v="0"/>
    <n v="0"/>
    <n v="59049.399999999994"/>
    <n v="59049.399999999994"/>
    <m/>
    <n v="2056.767155773271"/>
    <n v="2184.5934626843969"/>
    <n v="2405.9862332502826"/>
    <n v="305.73287363860362"/>
    <n v="9261.1522040050058"/>
    <n v="0"/>
    <n v="0"/>
    <n v="14675.450471240772"/>
    <n v="4284.1621572096565"/>
    <n v="813.80089839877633"/>
    <n v="305.00832514909172"/>
    <n v="0"/>
    <n v="36292.653781349858"/>
    <n v="104.02920973266396"/>
    <n v="157.98480688282586"/>
    <n v="0"/>
    <n v="4473.7279721078121"/>
    <n v="2034.0003798413627"/>
    <n v="260.94381196584385"/>
    <n v="4762.9491168661634"/>
    <n v="0"/>
    <n v="12251.343878518845"/>
    <n v="0"/>
    <n v="0"/>
    <n v="0"/>
    <n v="24044.979175915516"/>
    <n v="0"/>
    <n v="0"/>
    <n v="38334.737197551265"/>
    <n v="315.18524017150133"/>
    <n v="0"/>
    <n v="0"/>
    <n v="601.59460501183935"/>
    <n v="0"/>
    <n v="0"/>
    <n v="0"/>
    <n v="39251.517042734602"/>
    <n v="39251.517042734602"/>
    <m/>
    <n v="0.39929960191185915"/>
    <n v="0.39929960191185909"/>
    <n v="0.39929960191185909"/>
    <n v="0.39929960191185909"/>
    <n v="0.39929960191185909"/>
    <n v="0"/>
    <n v="0"/>
    <n v="0.39929960191185915"/>
    <n v="0.39929960191185909"/>
    <n v="0.39929960191185904"/>
    <n v="0.39929960191185909"/>
    <n v="0"/>
    <n v="0.39929960191185915"/>
    <n v="0.39929960191185909"/>
    <n v="0.39929960191185909"/>
    <n v="0"/>
    <n v="0.39929960191185915"/>
    <n v="0.3992996019118592"/>
    <n v="0.39929960191185904"/>
    <n v="0.39929960191185909"/>
    <n v="0"/>
    <n v="0.39929960191185909"/>
    <n v="0"/>
    <n v="0"/>
    <n v="0"/>
    <n v="0.39929960191185909"/>
    <n v="0"/>
    <n v="0"/>
    <n v="0.39929960191185904"/>
    <n v="0.39929960191185915"/>
    <n v="0"/>
    <n v="0"/>
    <n v="0.39929960191185909"/>
    <n v="0"/>
    <n v="0"/>
    <n v="0"/>
    <n v="0.39929960191185904"/>
    <n v="0.3992996019118590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2.75"/>
    <n v="0"/>
    <n v="0"/>
    <n v="55572.75"/>
    <n v="0"/>
    <n v="0"/>
    <n v="154374.44"/>
    <n v="0"/>
    <n v="6200.28"/>
    <n v="2336.88"/>
    <n v="0"/>
    <n v="0"/>
    <n v="30925.239999999998"/>
    <n v="0"/>
    <n v="193836.84"/>
    <n v="193836.84"/>
    <m/>
    <n v="5150.9371557732711"/>
    <n v="5471.0634626843967"/>
    <n v="6025.5162332502823"/>
    <n v="765.67287363860362"/>
    <n v="23193.492204005004"/>
    <n v="0"/>
    <n v="0"/>
    <n v="36752.980471240771"/>
    <n v="10729.192157209656"/>
    <n v="2038.0708983987763"/>
    <n v="763.85832514909168"/>
    <n v="0"/>
    <n v="90890.783781349848"/>
    <n v="260.52920973266396"/>
    <n v="395.65480688282588"/>
    <n v="0"/>
    <n v="11203.937972107813"/>
    <n v="5093.9203798413628"/>
    <n v="653.50381196584385"/>
    <n v="11928.259116866164"/>
    <n v="0"/>
    <n v="30682.083878518846"/>
    <n v="-55572.75"/>
    <n v="0"/>
    <n v="0"/>
    <n v="4645.1391759155231"/>
    <n v="0"/>
    <n v="0"/>
    <n v="-58369.492802448745"/>
    <n v="789.34524017150136"/>
    <n v="-6200.28"/>
    <n v="-2336.88"/>
    <n v="1506.6246050118393"/>
    <n v="0"/>
    <n v="-30925.239999999998"/>
    <n v="0"/>
    <n v="-95535.9229572654"/>
    <n v="-95535.9229572654"/>
  </r>
  <r>
    <x v="25"/>
    <x v="25"/>
    <x v="6"/>
    <x v="1"/>
    <x v="2"/>
    <x v="0"/>
    <x v="1"/>
    <m/>
    <m/>
    <n v="2754.9749999999999"/>
    <n v="41190.024999999994"/>
    <n v="7093.9125000000004"/>
    <n v="7627.875"/>
    <n v="16245.2125"/>
    <n v="69353.4375"/>
    <n v="7754.4624999999987"/>
    <n v="4852.1500000000005"/>
    <n v="131067.53750000001"/>
    <n v="0"/>
    <n v="3630.7"/>
    <n v="12539.525"/>
    <n v="304109.81250000006"/>
    <n v="147.92500000000001"/>
    <n v="336.46249999999998"/>
    <n v="0"/>
    <n v="1663.75"/>
    <n v="0"/>
    <n v="410.27500000000003"/>
    <n v="0"/>
    <n v="20260.225000000002"/>
    <n v="1280.1625000000001"/>
    <n v="0"/>
    <n v="7221.95"/>
    <n v="0"/>
    <n v="31320.75"/>
    <n v="2063.4625000000001"/>
    <n v="0"/>
    <n v="1332.3750000000002"/>
    <n v="46407.6"/>
    <n v="3323.3"/>
    <n v="1406.3625000000002"/>
    <n v="11654.95"/>
    <n v="36985.387499999997"/>
    <n v="0"/>
    <n v="23662.512499999997"/>
    <n v="126835.95"/>
    <n v="134057.9"/>
    <m/>
    <n v="2203.98"/>
    <n v="32952.019999999997"/>
    <n v="5675.13"/>
    <n v="6102.3"/>
    <n v="12996.17"/>
    <n v="55482.75"/>
    <n v="6203.5699999999988"/>
    <n v="3881.7200000000003"/>
    <n v="104854.03"/>
    <n v="0"/>
    <n v="2904.56"/>
    <n v="10031.619999999999"/>
    <n v="243287.84999999998"/>
    <n v="118.34"/>
    <n v="269.17"/>
    <n v="0"/>
    <n v="1331"/>
    <n v="0"/>
    <n v="328.22"/>
    <n v="0"/>
    <n v="16208.180000000002"/>
    <n v="1024.1300000000001"/>
    <n v="0"/>
    <n v="5777.56"/>
    <n v="0"/>
    <n v="25056.600000000006"/>
    <n v="1650.77"/>
    <n v="0"/>
    <n v="1065.9000000000001"/>
    <n v="37126.080000000002"/>
    <n v="2658.6400000000003"/>
    <n v="1125.0900000000001"/>
    <n v="9323.9600000000009"/>
    <n v="29588.31"/>
    <n v="0"/>
    <n v="18930.009999999998"/>
    <n v="101468.76"/>
    <n v="107246.31999999999"/>
    <m/>
    <n v="550.99499999999989"/>
    <n v="8238.0049999999974"/>
    <n v="1418.7825000000003"/>
    <n v="1525.5749999999998"/>
    <n v="3249.0424999999996"/>
    <n v="13870.6875"/>
    <n v="1550.8924999999999"/>
    <n v="970.43000000000029"/>
    <n v="26213.507500000007"/>
    <n v="0"/>
    <n v="726.13999999999987"/>
    <n v="2507.9050000000007"/>
    <n v="60821.962500000001"/>
    <n v="29.585000000000008"/>
    <n v="67.292499999999961"/>
    <n v="0"/>
    <n v="332.75"/>
    <n v="0"/>
    <n v="82.055000000000007"/>
    <n v="0"/>
    <n v="4052.0450000000001"/>
    <n v="256.03250000000003"/>
    <n v="0"/>
    <n v="1444.3899999999994"/>
    <n v="0"/>
    <n v="6264.15"/>
    <n v="412.69250000000011"/>
    <n v="0"/>
    <n v="266.47500000000014"/>
    <n v="9281.5199999999968"/>
    <n v="664.65999999999985"/>
    <n v="281.27250000000004"/>
    <n v="2330.9899999999998"/>
    <n v="7397.0774999999958"/>
    <n v="0"/>
    <n v="4732.5024999999987"/>
    <n v="25367.189999999991"/>
    <n v="26811.579999999991"/>
    <m/>
    <n v="0.19999999999999996"/>
    <n v="0.19999999999999996"/>
    <n v="0.20000000000000004"/>
    <n v="0.19999999999999998"/>
    <n v="0.19999999999999998"/>
    <n v="0.2"/>
    <n v="0.2"/>
    <n v="0.20000000000000004"/>
    <n v="0.20000000000000004"/>
    <n v="0"/>
    <n v="0.19999999999999998"/>
    <n v="0.20000000000000007"/>
    <n v="0.19999999999999996"/>
    <n v="0.20000000000000004"/>
    <n v="0.1999999999999999"/>
    <n v="0"/>
    <n v="0.2"/>
    <n v="0"/>
    <n v="0.2"/>
    <n v="0"/>
    <n v="0.19999999999999998"/>
    <n v="0.2"/>
    <n v="0"/>
    <n v="0.19999999999999993"/>
    <n v="0"/>
    <n v="0.19999999999999998"/>
    <n v="0.20000000000000004"/>
    <n v="0"/>
    <n v="0.20000000000000007"/>
    <n v="0.19999999999999993"/>
    <n v="0.19999999999999996"/>
    <n v="0.2"/>
    <n v="0.19999999999999996"/>
    <n v="0.1999999999999999"/>
    <n v="0"/>
    <n v="0.19999999999999996"/>
    <n v="0.19999999999999993"/>
    <n v="0.19999999999999993"/>
    <m/>
    <n v="0"/>
    <n v="0"/>
    <n v="0"/>
    <n v="0"/>
    <n v="0"/>
    <n v="0"/>
    <n v="0"/>
    <n v="0"/>
    <n v="0"/>
    <n v="0"/>
    <n v="0"/>
    <n v="48523.45"/>
    <n v="48523.45"/>
    <n v="0"/>
    <n v="0"/>
    <n v="0"/>
    <n v="0"/>
    <n v="0"/>
    <n v="0"/>
    <n v="0"/>
    <n v="0"/>
    <n v="0"/>
    <n v="0"/>
    <n v="0"/>
    <n v="0"/>
    <n v="0"/>
    <n v="0"/>
    <n v="0"/>
    <n v="9346.11"/>
    <n v="0"/>
    <n v="0"/>
    <n v="0"/>
    <n v="9071.26"/>
    <n v="0"/>
    <n v="12579.07"/>
    <n v="0"/>
    <n v="30996.440000000002"/>
    <n v="30996.440000000002"/>
    <m/>
    <n v="2754.9749999999999"/>
    <n v="41190.024999999994"/>
    <n v="7093.9125000000004"/>
    <n v="7627.875"/>
    <n v="16245.2125"/>
    <n v="69353.4375"/>
    <n v="7754.4624999999987"/>
    <n v="4852.1500000000005"/>
    <n v="131067.53750000001"/>
    <n v="0"/>
    <n v="3630.7"/>
    <n v="-35983.924999999996"/>
    <n v="255586.36250000005"/>
    <n v="147.92500000000001"/>
    <n v="336.46249999999998"/>
    <n v="0"/>
    <n v="1663.75"/>
    <n v="0"/>
    <n v="410.27500000000003"/>
    <n v="0"/>
    <n v="20260.225000000002"/>
    <n v="1280.1625000000001"/>
    <n v="0"/>
    <n v="7221.95"/>
    <n v="0"/>
    <n v="31320.75"/>
    <n v="2063.4625000000001"/>
    <n v="0"/>
    <n v="-8013.7350000000006"/>
    <n v="46407.6"/>
    <n v="3323.3"/>
    <n v="1406.3625000000002"/>
    <n v="2583.6900000000005"/>
    <n v="36985.387499999997"/>
    <n v="-12579.07"/>
    <n v="23662.512499999997"/>
    <n v="95839.51"/>
    <n v="103061.45999999999"/>
  </r>
  <r>
    <x v="26"/>
    <x v="26"/>
    <x v="7"/>
    <x v="1"/>
    <x v="6"/>
    <x v="2"/>
    <x v="0"/>
    <m/>
    <m/>
    <n v="0"/>
    <n v="7656.0115951347771"/>
    <n v="2681.6346982367177"/>
    <n v="4957.4804883273591"/>
    <n v="0"/>
    <n v="0"/>
    <n v="0"/>
    <n v="3154.0943650784639"/>
    <n v="0"/>
    <n v="4716.8042315984076"/>
    <n v="0"/>
    <n v="15844.61513433811"/>
    <n v="39010.640512713828"/>
    <n v="1222.5872732431087"/>
    <n v="4303.3316480667163"/>
    <n v="0"/>
    <n v="3788.7173291718304"/>
    <n v="0"/>
    <n v="0"/>
    <n v="5182.3927349396117"/>
    <n v="2211.3118736754013"/>
    <n v="4017.2890781326023"/>
    <n v="0"/>
    <n v="0"/>
    <n v="0"/>
    <n v="20725.629937229271"/>
    <n v="0"/>
    <n v="127.48759317998415"/>
    <n v="196.40395558951843"/>
    <n v="2885.8246929139086"/>
    <n v="4258.0165167125824"/>
    <n v="0"/>
    <n v="7902.8104807929831"/>
    <n v="0"/>
    <n v="3705.7323554609075"/>
    <n v="1116.8839554070221"/>
    <n v="20193.159550056906"/>
    <n v="20193.159550056906"/>
    <m/>
    <n v="0"/>
    <n v="11966.76"/>
    <n v="4191.54"/>
    <n v="7748.8099999999995"/>
    <n v="0"/>
    <n v="0"/>
    <n v="0"/>
    <n v="4930.0200000000004"/>
    <n v="0"/>
    <n v="7372.62"/>
    <n v="0"/>
    <n v="24765.989999999998"/>
    <n v="60975.74"/>
    <n v="1910.97"/>
    <n v="6726.34"/>
    <n v="0"/>
    <n v="5921.9699999999993"/>
    <n v="0"/>
    <n v="0"/>
    <n v="8100.36"/>
    <n v="3456.4"/>
    <n v="6279.24"/>
    <n v="0"/>
    <n v="0"/>
    <n v="0"/>
    <n v="32395.279999999999"/>
    <n v="0"/>
    <n v="199.27"/>
    <n v="306.99"/>
    <n v="4510.7000000000007"/>
    <n v="6655.51"/>
    <n v="0"/>
    <n v="12352.52"/>
    <n v="0"/>
    <n v="5792.26"/>
    <n v="1745.7499999999998"/>
    <n v="31563"/>
    <n v="31563"/>
    <m/>
    <n v="0"/>
    <n v="-4310.7484048652232"/>
    <n v="-1509.9053017632823"/>
    <n v="-2791.3295116726404"/>
    <n v="0"/>
    <n v="0"/>
    <n v="0"/>
    <n v="-1775.9256349215366"/>
    <n v="0"/>
    <n v="-2655.8157684015923"/>
    <n v="0"/>
    <n v="-8921.3748656618882"/>
    <n v="-21965.099487286163"/>
    <n v="-688.38272675689132"/>
    <n v="-2423.0083519332838"/>
    <n v="0"/>
    <n v="-2133.2526708281689"/>
    <n v="0"/>
    <n v="0"/>
    <n v="-2917.9672650603879"/>
    <n v="-1245.0881263245988"/>
    <n v="-2261.9509218673975"/>
    <n v="0"/>
    <n v="0"/>
    <n v="0"/>
    <n v="-11669.650062770728"/>
    <n v="0"/>
    <n v="-71.782406820015865"/>
    <n v="-110.58604441048158"/>
    <n v="-1624.8753070860921"/>
    <n v="-2397.4934832874178"/>
    <n v="0"/>
    <n v="-4449.7095192070174"/>
    <n v="0"/>
    <n v="-2086.5276445390928"/>
    <n v="-628.86604459297769"/>
    <n v="-11369.840449943094"/>
    <n v="-11369.840449943094"/>
    <m/>
    <n v="0"/>
    <n v="-0.56305405906184969"/>
    <n v="-0.56305405906184969"/>
    <n v="-0.56305405906184969"/>
    <n v="0"/>
    <n v="0"/>
    <n v="0"/>
    <n v="-0.56305405906184969"/>
    <n v="0"/>
    <n v="-0.56305405906184969"/>
    <n v="0"/>
    <n v="-0.56305405906184969"/>
    <n v="-0.5630540590618498"/>
    <n v="-0.56305405906184991"/>
    <n v="-0.56305405906184969"/>
    <n v="0"/>
    <n v="-0.56305405906184958"/>
    <n v="0"/>
    <n v="0"/>
    <n v="-0.56305405906184947"/>
    <n v="-0.56305405906184958"/>
    <n v="-0.56305405906184958"/>
    <n v="0"/>
    <n v="0"/>
    <n v="0"/>
    <n v="-0.56305405906184958"/>
    <n v="0"/>
    <n v="-0.56305405906184969"/>
    <n v="-0.56305405906184947"/>
    <n v="-0.56305405906184969"/>
    <n v="-0.56305405906184969"/>
    <n v="0"/>
    <n v="-0.56305405906184969"/>
    <n v="0"/>
    <n v="-0.56305405906184958"/>
    <n v="-0.56305405906184969"/>
    <n v="-0.56305405906184969"/>
    <n v="-0.56305405906184969"/>
    <m/>
    <n v="0"/>
    <n v="33640.01"/>
    <n v="0"/>
    <n v="0"/>
    <n v="0"/>
    <n v="51335.31"/>
    <n v="0"/>
    <n v="0"/>
    <n v="0"/>
    <n v="0"/>
    <n v="0"/>
    <n v="0"/>
    <n v="84975.32"/>
    <n v="-48523.45"/>
    <n v="0"/>
    <n v="0"/>
    <n v="0"/>
    <n v="0"/>
    <n v="0"/>
    <n v="43477.56"/>
    <n v="0"/>
    <n v="0"/>
    <n v="0"/>
    <n v="0"/>
    <n v="0"/>
    <n v="-5045.8899999999994"/>
    <n v="0"/>
    <n v="0"/>
    <n v="0"/>
    <n v="0"/>
    <n v="0"/>
    <n v="0"/>
    <n v="0"/>
    <n v="0"/>
    <n v="0"/>
    <n v="0"/>
    <n v="0"/>
    <n v="0"/>
    <m/>
    <n v="0"/>
    <n v="-25983.998404865226"/>
    <n v="2681.6346982367177"/>
    <n v="4957.4804883273591"/>
    <n v="0"/>
    <n v="-51335.31"/>
    <n v="0"/>
    <n v="3154.0943650784639"/>
    <n v="0"/>
    <n v="4716.8042315984076"/>
    <n v="0"/>
    <n v="15844.61513433811"/>
    <n v="-45964.679487286165"/>
    <n v="49746.037273243106"/>
    <n v="4303.3316480667163"/>
    <n v="0"/>
    <n v="3788.7173291718304"/>
    <n v="0"/>
    <n v="0"/>
    <n v="-38295.167265060387"/>
    <n v="2211.3118736754013"/>
    <n v="4017.2890781326023"/>
    <n v="0"/>
    <n v="0"/>
    <n v="0"/>
    <n v="25771.51993722927"/>
    <n v="0"/>
    <n v="127.48759317998415"/>
    <n v="196.40395558951843"/>
    <n v="2885.8246929139086"/>
    <n v="4258.0165167125824"/>
    <n v="0"/>
    <n v="7902.8104807929831"/>
    <n v="0"/>
    <n v="3705.7323554609075"/>
    <n v="1116.8839554070221"/>
    <n v="20193.159550056906"/>
    <n v="20193.159550056906"/>
  </r>
  <r>
    <x v="27"/>
    <x v="27"/>
    <x v="8"/>
    <x v="1"/>
    <x v="5"/>
    <x v="3"/>
    <x v="0"/>
    <m/>
    <m/>
    <n v="0"/>
    <n v="0"/>
    <n v="4080.1800377194145"/>
    <n v="4920.6418277258645"/>
    <n v="1372.0215240351238"/>
    <n v="0"/>
    <n v="38.982667100777206"/>
    <n v="0"/>
    <n v="0"/>
    <n v="0"/>
    <n v="151.062174136961"/>
    <n v="29390.995745819608"/>
    <n v="39953.883976537749"/>
    <n v="883.54926599829219"/>
    <n v="8541.751494349106"/>
    <n v="1978.0666168629903"/>
    <n v="0"/>
    <n v="28045.58171451178"/>
    <n v="3100.8229701199252"/>
    <n v="0"/>
    <n v="4026.6352790346878"/>
    <n v="3103.5305819043069"/>
    <n v="380.52359462040937"/>
    <n v="0"/>
    <n v="8933.8692214821222"/>
    <n v="58994.330738883618"/>
    <n v="1887.795534231137"/>
    <n v="0"/>
    <n v="0"/>
    <n v="0"/>
    <n v="3336.6368644051918"/>
    <n v="0"/>
    <n v="223.10894668162979"/>
    <n v="6461.8456970703501"/>
    <n v="1704.6672525836302"/>
    <n v="5543.7309896066981"/>
    <n v="19157.785284578636"/>
    <n v="28091.65450606076"/>
    <m/>
    <n v="0"/>
    <n v="0"/>
    <n v="4701.62"/>
    <n v="5670.09"/>
    <n v="1580.99"/>
    <n v="0"/>
    <n v="44.92"/>
    <n v="0"/>
    <n v="0"/>
    <n v="0"/>
    <n v="174.07"/>
    <n v="33867.449999999997"/>
    <n v="46039.14"/>
    <n v="1018.12"/>
    <n v="9842.7200000000012"/>
    <n v="2279.34"/>
    <n v="0"/>
    <n v="32317.120000000003"/>
    <n v="3573.1000000000004"/>
    <n v="0"/>
    <n v="4639.92"/>
    <n v="3576.2200000000003"/>
    <n v="438.48"/>
    <n v="0"/>
    <n v="10294.56"/>
    <n v="67979.58"/>
    <n v="2175.3200000000002"/>
    <n v="0"/>
    <n v="0"/>
    <n v="0"/>
    <n v="3844.83"/>
    <n v="0"/>
    <n v="257.08999999999997"/>
    <n v="7446.0300000000007"/>
    <n v="1964.3000000000002"/>
    <n v="6388.08"/>
    <n v="22075.65"/>
    <n v="32370.21"/>
    <m/>
    <n v="0"/>
    <n v="0"/>
    <n v="-621.43996228058541"/>
    <n v="-749.44817227413569"/>
    <n v="-208.96847596487623"/>
    <n v="0"/>
    <n v="-5.9373328992227954"/>
    <n v="0"/>
    <n v="0"/>
    <n v="0"/>
    <n v="-23.007825863038988"/>
    <n v="-4476.4542541803894"/>
    <n v="-6085.2560234622488"/>
    <n v="-134.57073400170782"/>
    <n v="-1300.9685056508952"/>
    <n v="-301.27338313700989"/>
    <n v="0"/>
    <n v="-4271.5382854882228"/>
    <n v="-472.27702988007513"/>
    <n v="0"/>
    <n v="-613.28472096531232"/>
    <n v="-472.68941809569333"/>
    <n v="-57.956405379590649"/>
    <n v="0"/>
    <n v="-1360.6907785178773"/>
    <n v="-8985.2492611163834"/>
    <n v="-287.52446576886314"/>
    <n v="0"/>
    <n v="0"/>
    <n v="0"/>
    <n v="-508.19313559480815"/>
    <n v="0"/>
    <n v="-33.981053318370186"/>
    <n v="-984.18430292965058"/>
    <n v="-259.63274741636997"/>
    <n v="-844.3490103933018"/>
    <n v="-2917.8647154213641"/>
    <n v="-4278.5554939392414"/>
    <m/>
    <n v="0"/>
    <n v="0"/>
    <n v="-0.15230699541090215"/>
    <n v="-0.15230699541090201"/>
    <n v="-0.1523069954109019"/>
    <n v="0"/>
    <n v="-0.15230699541090204"/>
    <n v="0"/>
    <n v="0"/>
    <n v="0"/>
    <n v="-0.15230699541090192"/>
    <n v="-0.15230699541090206"/>
    <n v="-0.15230699541090206"/>
    <n v="-0.15230699541090212"/>
    <n v="-0.15230699541090206"/>
    <n v="-0.15230699541090198"/>
    <n v="0"/>
    <n v="-0.15230699541090201"/>
    <n v="-0.15230699541090206"/>
    <n v="0"/>
    <n v="-0.15230699541090201"/>
    <n v="-0.15230699541090201"/>
    <n v="-0.15230699541090206"/>
    <n v="0"/>
    <n v="-0.15230699541090212"/>
    <n v="-0.15230699541090204"/>
    <n v="-0.15230699541090204"/>
    <n v="0"/>
    <n v="0"/>
    <n v="0"/>
    <n v="-0.15230699541090206"/>
    <n v="0"/>
    <n v="-0.15230699541090209"/>
    <n v="-0.15230699541090198"/>
    <n v="-0.15230699541090204"/>
    <n v="-0.15230699541090187"/>
    <n v="-0.15230699541090198"/>
    <n v="-0.15230699541090204"/>
    <m/>
    <n v="0"/>
    <n v="0"/>
    <n v="0"/>
    <n v="0"/>
    <n v="0"/>
    <n v="0"/>
    <n v="21275.55"/>
    <n v="0"/>
    <n v="46095.05"/>
    <n v="0"/>
    <n v="0"/>
    <n v="0"/>
    <n v="67370.6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50735.4"/>
    <n v="0"/>
    <n v="0"/>
    <n v="0"/>
    <n v="0"/>
    <n v="0"/>
    <n v="50735.4"/>
    <n v="50735.4"/>
    <m/>
    <n v="0"/>
    <n v="0"/>
    <n v="4080.1800377194145"/>
    <n v="4920.6418277258645"/>
    <n v="1372.0215240351238"/>
    <n v="0"/>
    <n v="-21236.567332899223"/>
    <n v="0"/>
    <n v="-46095.05"/>
    <n v="0"/>
    <n v="151.062174136961"/>
    <n v="29390.995745819608"/>
    <n v="-27416.716023462257"/>
    <n v="883.54926599829219"/>
    <n v="8541.751494349106"/>
    <n v="1978.0666168629903"/>
    <n v="0"/>
    <n v="28045.58171451178"/>
    <n v="3100.8229701199252"/>
    <n v="0"/>
    <n v="4026.6352790346878"/>
    <n v="3103.5305819043069"/>
    <n v="380.52359462040937"/>
    <n v="0"/>
    <n v="8933.8692214821222"/>
    <n v="58994.330738883618"/>
    <n v="1887.795534231137"/>
    <n v="0"/>
    <n v="0"/>
    <n v="0"/>
    <n v="-47398.763135594811"/>
    <n v="0"/>
    <n v="223.10894668162979"/>
    <n v="6461.8456970703501"/>
    <n v="1704.6672525836302"/>
    <n v="5543.7309896066981"/>
    <n v="-31577.614715421365"/>
    <n v="-22643.745493939241"/>
  </r>
  <r>
    <x v="28"/>
    <x v="28"/>
    <x v="7"/>
    <x v="1"/>
    <x v="8"/>
    <x v="2"/>
    <x v="0"/>
    <m/>
    <m/>
    <n v="1144.4106342479897"/>
    <n v="0"/>
    <n v="1652.4877698669104"/>
    <n v="30165.886583387906"/>
    <n v="21313.787244636082"/>
    <n v="39617.8484960313"/>
    <n v="7695.1985096302797"/>
    <n v="51.177032352061623"/>
    <n v="0"/>
    <n v="0"/>
    <n v="0"/>
    <n v="0"/>
    <n v="101640.79627015254"/>
    <n v="55.49778451374408"/>
    <n v="104.64217510336894"/>
    <n v="0"/>
    <n v="3483.8313538302018"/>
    <n v="0"/>
    <n v="0"/>
    <n v="6326.2476046252432"/>
    <n v="350.20307173698325"/>
    <n v="0"/>
    <n v="2692.7116296249733"/>
    <n v="0"/>
    <n v="0"/>
    <n v="13013.133619434515"/>
    <n v="103.2370976009195"/>
    <n v="0"/>
    <n v="0"/>
    <n v="0"/>
    <n v="0"/>
    <n v="59478.813371464748"/>
    <n v="372.52325546166435"/>
    <n v="3822.6882858932559"/>
    <n v="10566.988099992339"/>
    <n v="0"/>
    <n v="74344.250110412933"/>
    <n v="74344.250110412933"/>
    <m/>
    <n v="2060.6400000000003"/>
    <n v="0"/>
    <n v="2975.49"/>
    <n v="54317.07"/>
    <n v="38377.870000000003"/>
    <n v="71336.39"/>
    <n v="13856.069999999998"/>
    <n v="92.15"/>
    <n v="0"/>
    <n v="0"/>
    <n v="0"/>
    <n v="0"/>
    <n v="183015.68000000002"/>
    <n v="99.93"/>
    <n v="188.42"/>
    <n v="0"/>
    <n v="6273.0300000000007"/>
    <n v="0"/>
    <n v="0"/>
    <n v="11391.12"/>
    <n v="630.57999999999993"/>
    <n v="0"/>
    <n v="4848.53"/>
    <n v="0"/>
    <n v="0"/>
    <n v="23431.61"/>
    <n v="185.89"/>
    <n v="0"/>
    <n v="0"/>
    <n v="0"/>
    <n v="0"/>
    <n v="107098.29"/>
    <n v="670.77"/>
    <n v="6883.18"/>
    <n v="19027.05"/>
    <n v="0"/>
    <n v="133865.18"/>
    <n v="133865.18"/>
    <m/>
    <n v="-916.22936575201061"/>
    <n v="0"/>
    <n v="-1323.0022301330894"/>
    <n v="-24151.183416612093"/>
    <n v="-17064.082755363921"/>
    <n v="-31718.5415039687"/>
    <n v="-6160.8714903697182"/>
    <n v="-40.972967647938383"/>
    <n v="0"/>
    <n v="0"/>
    <n v="0"/>
    <n v="0"/>
    <n v="-81374.883729847483"/>
    <n v="-44.432215486255927"/>
    <n v="-83.777824896631046"/>
    <n v="0"/>
    <n v="-2789.1986461697988"/>
    <n v="0"/>
    <n v="0"/>
    <n v="-5064.8723953747576"/>
    <n v="-280.37692826301668"/>
    <n v="0"/>
    <n v="-2155.8183703750265"/>
    <n v="0"/>
    <n v="0"/>
    <n v="-10418.476380565487"/>
    <n v="-82.652902399080489"/>
    <n v="0"/>
    <n v="0"/>
    <n v="0"/>
    <n v="0"/>
    <n v="-47619.476628535245"/>
    <n v="-298.24674453833563"/>
    <n v="-3060.4917141067444"/>
    <n v="-8460.0619000076604"/>
    <n v="0"/>
    <n v="-59520.929889587067"/>
    <n v="-59520.929889587067"/>
    <m/>
    <n v="-0.80061241859577736"/>
    <n v="0"/>
    <n v="-0.80061241859577725"/>
    <n v="-0.80061241859577703"/>
    <n v="-0.80061241859577725"/>
    <n v="-0.80061241859577736"/>
    <n v="-0.80061241859577714"/>
    <n v="-0.80061241859577703"/>
    <n v="0"/>
    <n v="0"/>
    <n v="0"/>
    <n v="0"/>
    <n v="-0.80061241859577725"/>
    <n v="-0.80061241859577736"/>
    <n v="-0.80061241859577736"/>
    <n v="0"/>
    <n v="-0.80061241859577725"/>
    <n v="0"/>
    <n v="0"/>
    <n v="-0.80061241859577714"/>
    <n v="-0.80061241859577736"/>
    <n v="0"/>
    <n v="-0.80061241859577714"/>
    <n v="0"/>
    <n v="0"/>
    <n v="-0.80061241859577725"/>
    <n v="-0.80061241859577736"/>
    <n v="0"/>
    <n v="0"/>
    <n v="0"/>
    <n v="0"/>
    <n v="-0.80061241859577725"/>
    <n v="-0.80061241859577714"/>
    <n v="-0.80061241859577692"/>
    <n v="-0.80061241859577692"/>
    <n v="0"/>
    <n v="-0.80061241859577714"/>
    <n v="-0.80061241859577714"/>
    <m/>
    <n v="0"/>
    <n v="0"/>
    <n v="0"/>
    <n v="0"/>
    <n v="0"/>
    <n v="0"/>
    <n v="0"/>
    <n v="0"/>
    <n v="0"/>
    <n v="0"/>
    <n v="0"/>
    <n v="0"/>
    <n v="0"/>
    <n v="23428.1"/>
    <n v="0"/>
    <n v="0"/>
    <n v="24259.22"/>
    <n v="0"/>
    <n v="85328.86"/>
    <n v="0"/>
    <n v="0"/>
    <n v="0"/>
    <n v="0"/>
    <n v="0"/>
    <n v="0"/>
    <n v="133016.18"/>
    <n v="0"/>
    <n v="0"/>
    <n v="0"/>
    <n v="0"/>
    <n v="0"/>
    <n v="0"/>
    <n v="0"/>
    <n v="0"/>
    <n v="55982"/>
    <n v="0"/>
    <n v="55982"/>
    <n v="55982"/>
    <m/>
    <n v="1144.4106342479897"/>
    <n v="0"/>
    <n v="1652.4877698669104"/>
    <n v="30165.886583387906"/>
    <n v="21313.787244636082"/>
    <n v="39617.8484960313"/>
    <n v="7695.1985096302797"/>
    <n v="51.177032352061623"/>
    <n v="0"/>
    <n v="0"/>
    <n v="0"/>
    <n v="0"/>
    <n v="101640.79627015254"/>
    <n v="-23372.602215486255"/>
    <n v="104.64217510336894"/>
    <n v="0"/>
    <n v="-20775.388646169798"/>
    <n v="0"/>
    <n v="-85328.86"/>
    <n v="6326.2476046252432"/>
    <n v="350.20307173698325"/>
    <n v="0"/>
    <n v="2692.7116296249733"/>
    <n v="0"/>
    <n v="0"/>
    <n v="-120003.04638056549"/>
    <n v="103.2370976009195"/>
    <n v="0"/>
    <n v="0"/>
    <n v="0"/>
    <n v="0"/>
    <n v="59478.813371464748"/>
    <n v="372.52325546166435"/>
    <n v="3822.6882858932559"/>
    <n v="-45415.011900007659"/>
    <n v="0"/>
    <n v="18362.250110412933"/>
    <n v="18362.250110412933"/>
  </r>
  <r>
    <x v="29"/>
    <x v="29"/>
    <x v="12"/>
    <x v="1"/>
    <x v="6"/>
    <x v="0"/>
    <x v="0"/>
    <m/>
    <m/>
    <n v="163.66560770801433"/>
    <n v="0"/>
    <n v="2081.0196691953552"/>
    <n v="0"/>
    <n v="19087.81164949853"/>
    <n v="32096.659080422512"/>
    <n v="0"/>
    <n v="0"/>
    <n v="13985.073953406236"/>
    <n v="2159.2245498431821"/>
    <n v="696.9636130586473"/>
    <n v="905.26407633105327"/>
    <n v="71175.682199463525"/>
    <n v="4864.2872462487467"/>
    <n v="187.12304832764207"/>
    <n v="21.673655826940195"/>
    <n v="1340.8160398087036"/>
    <n v="0"/>
    <n v="171247.76603019508"/>
    <n v="0"/>
    <n v="13544.532757275356"/>
    <n v="0"/>
    <n v="1032.7979830503443"/>
    <n v="5715.1525923606987"/>
    <n v="13945.22715175906"/>
    <n v="211899.37650485258"/>
    <n v="30505.402338103628"/>
    <n v="6036.8642150839742"/>
    <n v="12314.056548214325"/>
    <n v="0"/>
    <n v="2514.0367805991864"/>
    <n v="0"/>
    <n v="2315.8489017905872"/>
    <n v="0"/>
    <n v="716.1426525589718"/>
    <n v="2453.1198593331205"/>
    <n v="56855.47129568379"/>
    <n v="76515.851039803543"/>
    <m/>
    <n v="122.03"/>
    <n v="0"/>
    <n v="1551.62"/>
    <n v="0"/>
    <n v="14231.98"/>
    <n v="23931.45"/>
    <n v="0"/>
    <n v="0"/>
    <n v="10427.349999999999"/>
    <n v="1609.93"/>
    <n v="519.66"/>
    <n v="674.97"/>
    <n v="53068.990000000005"/>
    <n v="3626.8399999999997"/>
    <n v="139.52000000000001"/>
    <n v="16.16"/>
    <n v="999.72"/>
    <n v="0"/>
    <n v="127683.3"/>
    <n v="0"/>
    <n v="10098.880000000001"/>
    <n v="0"/>
    <n v="770.06"/>
    <n v="4261.25"/>
    <n v="10397.640000000001"/>
    <n v="157993.37000000002"/>
    <n v="22745"/>
    <n v="4501.12"/>
    <n v="9181.43"/>
    <n v="0"/>
    <n v="1874.48"/>
    <n v="0"/>
    <n v="1726.7099999999998"/>
    <n v="0"/>
    <n v="533.96"/>
    <n v="1829.06"/>
    <n v="42391.76"/>
    <n v="57050.65"/>
    <m/>
    <n v="41.635607708014334"/>
    <n v="0"/>
    <n v="529.39966919535527"/>
    <n v="0"/>
    <n v="4855.8316494985302"/>
    <n v="8165.2090804225118"/>
    <n v="0"/>
    <n v="0"/>
    <n v="3557.7239534062373"/>
    <n v="549.29454984318204"/>
    <n v="177.30361305864733"/>
    <n v="230.29407633105325"/>
    <n v="18106.692199463538"/>
    <n v="1237.447246248747"/>
    <n v="47.603048327642057"/>
    <n v="5.5136558269401945"/>
    <n v="341.09603980870361"/>
    <n v="0"/>
    <n v="43564.466030195079"/>
    <n v="0"/>
    <n v="3445.6527572753548"/>
    <n v="0"/>
    <n v="262.73798305034438"/>
    <n v="1453.9025923606987"/>
    <n v="3547.5871517590585"/>
    <n v="53906.006504852565"/>
    <n v="7760.4023381036277"/>
    <n v="1535.7442150839743"/>
    <n v="3132.6265482143244"/>
    <n v="0"/>
    <n v="639.55678059918637"/>
    <n v="0"/>
    <n v="589.1389017905874"/>
    <n v="0"/>
    <n v="182.18265255897177"/>
    <n v="624.05985933312058"/>
    <n v="14463.711295683792"/>
    <n v="19465.201039803549"/>
    <m/>
    <n v="0.25439436110666475"/>
    <n v="0"/>
    <n v="0.2543943611066648"/>
    <n v="0"/>
    <n v="0.25439436110666469"/>
    <n v="0.25439436110666463"/>
    <n v="0"/>
    <n v="0"/>
    <n v="0.25439436110666475"/>
    <n v="0.25439436110666475"/>
    <n v="0.2543943611066648"/>
    <n v="0.25439436110666469"/>
    <n v="0.2543943611066648"/>
    <n v="0.25439436110666463"/>
    <n v="0.25439436110666475"/>
    <n v="0.25439436110666486"/>
    <n v="0.2543943611066648"/>
    <n v="0"/>
    <n v="0.25439436110666469"/>
    <n v="0"/>
    <n v="0.25439436110666463"/>
    <n v="0"/>
    <n v="0.2543943611066648"/>
    <n v="0.25439436110666475"/>
    <n v="0.25439436110666463"/>
    <n v="0.25439436110666469"/>
    <n v="0.25439436110666469"/>
    <n v="0.25439436110666469"/>
    <n v="0.25439436110666475"/>
    <n v="0"/>
    <n v="0.25439436110666475"/>
    <n v="0"/>
    <n v="0.25439436110666463"/>
    <n v="0"/>
    <n v="0.25439436110666469"/>
    <n v="0.2543943611066648"/>
    <n v="0.25439436110666469"/>
    <n v="0.25439436110666469"/>
    <m/>
    <n v="0"/>
    <n v="0"/>
    <n v="0"/>
    <n v="0"/>
    <n v="124700.43"/>
    <n v="0"/>
    <n v="0"/>
    <n v="0"/>
    <n v="0"/>
    <n v="0"/>
    <n v="0"/>
    <n v="0"/>
    <n v="124700.43"/>
    <n v="0"/>
    <n v="0"/>
    <n v="0"/>
    <n v="0"/>
    <n v="0"/>
    <n v="0"/>
    <n v="0"/>
    <n v="0"/>
    <n v="0"/>
    <n v="0"/>
    <n v="0"/>
    <n v="24848.399999999998"/>
    <n v="24848.399999999998"/>
    <n v="0"/>
    <n v="0"/>
    <n v="0"/>
    <n v="0"/>
    <n v="0"/>
    <n v="0"/>
    <n v="76704.03"/>
    <n v="0"/>
    <n v="0"/>
    <n v="113677.67"/>
    <n v="190381.7"/>
    <n v="215230.1"/>
    <m/>
    <n v="163.66560770801433"/>
    <n v="0"/>
    <n v="2081.0196691953552"/>
    <n v="0"/>
    <n v="-105612.61835050146"/>
    <n v="32096.659080422512"/>
    <n v="0"/>
    <n v="0"/>
    <n v="13985.073953406236"/>
    <n v="2159.2245498431821"/>
    <n v="696.9636130586473"/>
    <n v="905.26407633105327"/>
    <n v="-53524.747800536461"/>
    <n v="4864.2872462487467"/>
    <n v="187.12304832764207"/>
    <n v="21.673655826940195"/>
    <n v="1340.8160398087036"/>
    <n v="0"/>
    <n v="171247.76603019508"/>
    <n v="0"/>
    <n v="13544.532757275356"/>
    <n v="0"/>
    <n v="1032.7979830503443"/>
    <n v="5715.1525923606987"/>
    <n v="-10903.172848240938"/>
    <n v="187050.97650485259"/>
    <n v="30505.402338103628"/>
    <n v="6036.8642150839742"/>
    <n v="12314.056548214325"/>
    <n v="0"/>
    <n v="2514.0367805991864"/>
    <n v="0"/>
    <n v="-74388.181098209418"/>
    <n v="0"/>
    <n v="716.1426525589718"/>
    <n v="-111224.55014066688"/>
    <n v="-133526.22870431622"/>
    <n v="-138714.24896019645"/>
  </r>
  <r>
    <x v="30"/>
    <x v="30"/>
    <x v="0"/>
    <x v="1"/>
    <x v="0"/>
    <x v="0"/>
    <x v="0"/>
    <m/>
    <m/>
    <n v="0"/>
    <n v="627.00914426041572"/>
    <n v="5457.7242795743186"/>
    <n v="1249.6926258167014"/>
    <n v="6370.7184959329852"/>
    <n v="1718.2707607910891"/>
    <n v="11166.915035547778"/>
    <n v="13248.628169419771"/>
    <n v="0"/>
    <n v="2974.2254818364877"/>
    <n v="35474.682764633122"/>
    <n v="0"/>
    <n v="78287.866757812677"/>
    <n v="1496.582955702565"/>
    <n v="1715.7562887069512"/>
    <n v="8200.0499241031794"/>
    <n v="20934.059107628647"/>
    <n v="1587.13285270952"/>
    <n v="6070.6677945518159"/>
    <n v="4773.4121469749989"/>
    <n v="721.79799803756555"/>
    <n v="13648.804956511469"/>
    <n v="0"/>
    <n v="28617.948607012004"/>
    <n v="2707.2964472187937"/>
    <n v="90473.509079157506"/>
    <n v="1666.921579915776"/>
    <n v="6307.4327981525093"/>
    <n v="0"/>
    <n v="928.30263069466514"/>
    <n v="6252.6250139124249"/>
    <n v="1717.3747994737528"/>
    <n v="401.51591207137585"/>
    <n v="0"/>
    <n v="2379.7214288093373"/>
    <n v="0"/>
    <n v="19653.894163029843"/>
    <n v="50979.139217260643"/>
    <m/>
    <n v="0"/>
    <n v="650.82999999999993"/>
    <n v="5665.07"/>
    <n v="1297.17"/>
    <n v="6612.75"/>
    <n v="1783.5499999999997"/>
    <n v="11591.159999999998"/>
    <n v="13751.960000000003"/>
    <n v="0"/>
    <n v="3087.2200000000003"/>
    <n v="36822.409999999996"/>
    <n v="0"/>
    <n v="81262.12"/>
    <n v="1553.4399999999998"/>
    <n v="1780.94"/>
    <n v="8511.5800000000017"/>
    <n v="21729.37"/>
    <n v="1647.4299999999998"/>
    <n v="6301.2999999999993"/>
    <n v="4954.76"/>
    <n v="749.22"/>
    <n v="14167.34"/>
    <n v="0"/>
    <n v="29705.180000000004"/>
    <n v="2810.15"/>
    <n v="93910.71"/>
    <n v="1730.25"/>
    <n v="6547.0599999999995"/>
    <n v="0"/>
    <n v="963.56999999999994"/>
    <n v="6490.17"/>
    <n v="1782.62"/>
    <n v="416.77"/>
    <n v="0"/>
    <n v="2470.13"/>
    <n v="0"/>
    <n v="20400.57"/>
    <n v="52915.9"/>
    <m/>
    <n v="0"/>
    <n v="-23.820855739584204"/>
    <n v="-207.34572042568107"/>
    <n v="-47.477374183298707"/>
    <n v="-242.03150406701479"/>
    <n v="-65.279239208910667"/>
    <n v="-424.2449644522203"/>
    <n v="-503.33183058023133"/>
    <n v="0"/>
    <n v="-112.99451816351257"/>
    <n v="-1347.7272353668741"/>
    <n v="0"/>
    <n v="-2974.2532421873275"/>
    <n v="-56.857044297434868"/>
    <n v="-65.183711293048873"/>
    <n v="-311.53007589682238"/>
    <n v="-795.31089237135166"/>
    <n v="-60.29714729047987"/>
    <n v="-230.63220544818341"/>
    <n v="-181.34785302500131"/>
    <n v="-27.422001962434479"/>
    <n v="-518.5350434885313"/>
    <n v="0"/>
    <n v="-1087.2313929880002"/>
    <n v="-102.85355278120642"/>
    <n v="-3437.2009208424947"/>
    <n v="-63.328420084224035"/>
    <n v="-239.62720184749014"/>
    <n v="0"/>
    <n v="-35.267369305334796"/>
    <n v="-237.54498608757513"/>
    <n v="-65.245200526247118"/>
    <n v="-15.254087928624131"/>
    <n v="0"/>
    <n v="-90.408571190662769"/>
    <n v="0"/>
    <n v="-746.67583697015812"/>
    <n v="-1936.7607827393647"/>
    <m/>
    <n v="0"/>
    <n v="-3.7991241368069563E-2"/>
    <n v="-3.799124136806948E-2"/>
    <n v="-3.7991241368069376E-2"/>
    <n v="-3.7991241368069507E-2"/>
    <n v="-3.7991241368069494E-2"/>
    <n v="-3.7991241368069528E-2"/>
    <n v="-3.79912413680695E-2"/>
    <n v="0"/>
    <n v="-3.7991241368069417E-2"/>
    <n v="-3.7991241368069563E-2"/>
    <n v="0"/>
    <n v="-3.7991241368069521E-2"/>
    <n v="-3.7991241368069403E-2"/>
    <n v="-3.7991241368069473E-2"/>
    <n v="-3.799124136806932E-2"/>
    <n v="-3.799124136806941E-2"/>
    <n v="-3.7991241368069376E-2"/>
    <n v="-3.7991241368069376E-2"/>
    <n v="-3.7991241368069348E-2"/>
    <n v="-3.7991241368069459E-2"/>
    <n v="-3.7991241368069556E-2"/>
    <n v="0"/>
    <n v="-3.7991241368069459E-2"/>
    <n v="-3.799124136806957E-2"/>
    <n v="-3.7991241368069438E-2"/>
    <n v="-3.7991241368069521E-2"/>
    <n v="-3.7991241368069528E-2"/>
    <n v="0"/>
    <n v="-3.7991241368069383E-2"/>
    <n v="-3.7991241368069383E-2"/>
    <n v="-3.7991241368069396E-2"/>
    <n v="-3.7991241368069299E-2"/>
    <n v="0"/>
    <n v="-3.7991241368069507E-2"/>
    <n v="0"/>
    <n v="-3.7991241368069452E-2"/>
    <n v="-3.7991241368069459E-2"/>
    <m/>
    <n v="0"/>
    <n v="0"/>
    <n v="0"/>
    <n v="0"/>
    <n v="0"/>
    <n v="0"/>
    <n v="101481.95999999999"/>
    <n v="0"/>
    <n v="0"/>
    <n v="0"/>
    <n v="0"/>
    <n v="0"/>
    <n v="101481.95999999999"/>
    <n v="0"/>
    <n v="75269.34"/>
    <n v="0"/>
    <n v="0"/>
    <n v="0"/>
    <n v="0"/>
    <n v="0"/>
    <n v="0"/>
    <n v="0"/>
    <n v="0"/>
    <n v="11663.97"/>
    <n v="0"/>
    <n v="86933.31"/>
    <n v="0"/>
    <n v="0"/>
    <n v="0"/>
    <n v="0"/>
    <n v="0"/>
    <n v="0"/>
    <n v="0"/>
    <n v="0"/>
    <n v="0"/>
    <n v="0"/>
    <n v="0"/>
    <n v="11663.97"/>
    <m/>
    <n v="0"/>
    <n v="627.00914426041572"/>
    <n v="5457.7242795743186"/>
    <n v="1249.6926258167014"/>
    <n v="6370.7184959329852"/>
    <n v="1718.2707607910891"/>
    <n v="-90315.044964452216"/>
    <n v="13248.628169419771"/>
    <n v="0"/>
    <n v="2974.2254818364877"/>
    <n v="35474.682764633122"/>
    <n v="0"/>
    <n v="-23194.093242187329"/>
    <n v="1496.582955702565"/>
    <n v="-73553.583711293046"/>
    <n v="8200.0499241031794"/>
    <n v="20934.059107628647"/>
    <n v="1587.13285270952"/>
    <n v="6070.6677945518159"/>
    <n v="4773.4121469749989"/>
    <n v="721.79799803756555"/>
    <n v="13648.804956511469"/>
    <n v="0"/>
    <n v="16953.978607012003"/>
    <n v="2707.2964472187937"/>
    <n v="3540.1990791575186"/>
    <n v="1666.921579915776"/>
    <n v="6307.4327981525093"/>
    <n v="0"/>
    <n v="928.30263069466514"/>
    <n v="6252.6250139124249"/>
    <n v="1717.3747994737528"/>
    <n v="401.51591207137585"/>
    <n v="0"/>
    <n v="2379.7214288093373"/>
    <n v="0"/>
    <n v="19653.894163029843"/>
    <n v="39315.169217260642"/>
  </r>
  <r>
    <x v="31"/>
    <x v="31"/>
    <x v="9"/>
    <x v="1"/>
    <x v="7"/>
    <x v="2"/>
    <x v="0"/>
    <m/>
    <m/>
    <n v="6556.1358585278149"/>
    <n v="0"/>
    <n v="1152.8420528206966"/>
    <n v="4545.6951215429417"/>
    <n v="7064.5622700978729"/>
    <n v="229.64476635305343"/>
    <n v="0"/>
    <n v="3121.5201671430291"/>
    <n v="15563.181494488461"/>
    <n v="7844.0484626470961"/>
    <n v="27458.725767456617"/>
    <n v="102607.08916833374"/>
    <n v="176143.44512941132"/>
    <n v="0"/>
    <n v="0"/>
    <n v="707.75479131730856"/>
    <n v="7972.6882652717231"/>
    <n v="0"/>
    <n v="15820.560416319553"/>
    <n v="16544.925905949131"/>
    <n v="13920.435572610342"/>
    <n v="25596.068104245493"/>
    <n v="0"/>
    <n v="0"/>
    <n v="13993.45808940614"/>
    <n v="94555.891145119691"/>
    <n v="4123.3265281348113"/>
    <n v="528.19041135566067"/>
    <n v="774.32173029368846"/>
    <n v="0"/>
    <n v="2250.041990667105"/>
    <n v="14932.620516404111"/>
    <n v="0"/>
    <n v="0"/>
    <n v="3107.9882828677114"/>
    <n v="111693.4142657459"/>
    <n v="137409.90372546899"/>
    <n v="151403.36181487513"/>
    <m/>
    <n v="2640.5"/>
    <n v="0"/>
    <n v="464.31"/>
    <n v="1830.79"/>
    <n v="2845.27"/>
    <n v="92.49"/>
    <n v="0"/>
    <n v="1257.2"/>
    <n v="6268.11"/>
    <n v="3159.21"/>
    <n v="11059.07"/>
    <n v="41325.260000000009"/>
    <n v="70942.210000000006"/>
    <n v="0"/>
    <n v="0"/>
    <n v="285.04999999999995"/>
    <n v="3211.0200000000004"/>
    <n v="0"/>
    <n v="6371.77"/>
    <n v="6663.51"/>
    <n v="5606.49"/>
    <n v="10308.880000000001"/>
    <n v="0"/>
    <n v="0"/>
    <n v="5635.9"/>
    <n v="38082.619999999995"/>
    <n v="1660.6799999999998"/>
    <n v="212.73000000000002"/>
    <n v="311.86"/>
    <n v="0"/>
    <n v="906.21"/>
    <n v="6014.15"/>
    <n v="0"/>
    <n v="0"/>
    <n v="1251.75"/>
    <n v="44984.800000000003"/>
    <n v="55342.18"/>
    <n v="60978.080000000002"/>
    <m/>
    <n v="3915.6358585278149"/>
    <n v="0"/>
    <n v="688.53205282069666"/>
    <n v="2714.9051215429417"/>
    <n v="4219.2922700978725"/>
    <n v="137.15476635305345"/>
    <n v="0"/>
    <n v="1864.320167143029"/>
    <n v="9295.0714944884603"/>
    <n v="4684.8384626470961"/>
    <n v="16399.655767456617"/>
    <n v="61281.82916833373"/>
    <n v="105201.2351294113"/>
    <n v="0"/>
    <n v="0"/>
    <n v="422.7047913173086"/>
    <n v="4761.6682652717227"/>
    <n v="0"/>
    <n v="9448.7904163195526"/>
    <n v="9881.4159059491303"/>
    <n v="8313.9455726103424"/>
    <n v="15287.188104245492"/>
    <n v="0"/>
    <n v="0"/>
    <n v="8357.5580894061404"/>
    <n v="56473.271145119688"/>
    <n v="2462.6465281348114"/>
    <n v="315.46041135566065"/>
    <n v="462.46173029368845"/>
    <n v="0"/>
    <n v="1343.8319906671049"/>
    <n v="8918.4705164041115"/>
    <n v="0"/>
    <n v="0"/>
    <n v="1856.2382828677114"/>
    <n v="66708.614265745899"/>
    <n v="82067.723725468983"/>
    <n v="90425.281814875125"/>
    <m/>
    <n v="0.59724751637576245"/>
    <n v="0"/>
    <n v="0.59724751637576245"/>
    <n v="0.59724751637576245"/>
    <n v="0.59724751637576234"/>
    <n v="0.59724751637576257"/>
    <n v="0"/>
    <n v="0.59724751637576245"/>
    <n v="0.59724751637576245"/>
    <n v="0.59724751637576245"/>
    <n v="0.59724751637576245"/>
    <n v="0.59724751637576257"/>
    <n v="0.59724751637576245"/>
    <n v="0"/>
    <n v="0"/>
    <n v="0.59724751637576245"/>
    <n v="0.59724751637576245"/>
    <n v="0"/>
    <n v="0.59724751637576257"/>
    <n v="0.59724751637576245"/>
    <n v="0.59724751637576257"/>
    <n v="0.59724751637576245"/>
    <n v="0"/>
    <n v="0"/>
    <n v="0.59724751637576257"/>
    <n v="0.59724751637576245"/>
    <n v="0.59724751637576245"/>
    <n v="0.59724751637576245"/>
    <n v="0.59724751637576245"/>
    <n v="0"/>
    <n v="0.59724751637576245"/>
    <n v="0.59724751637576245"/>
    <n v="0"/>
    <n v="0"/>
    <n v="0.59724751637576245"/>
    <n v="0.59724751637576245"/>
    <n v="0.59724751637576245"/>
    <n v="0.59724751637576245"/>
    <m/>
    <n v="0"/>
    <n v="0"/>
    <n v="0"/>
    <n v="0"/>
    <n v="0"/>
    <n v="58187.8"/>
    <n v="0"/>
    <n v="0"/>
    <n v="0"/>
    <n v="0"/>
    <n v="0"/>
    <n v="86558.12"/>
    <n v="144745.91999999998"/>
    <n v="0"/>
    <n v="0"/>
    <n v="0"/>
    <n v="0"/>
    <n v="179571.91"/>
    <n v="0"/>
    <n v="0"/>
    <n v="0"/>
    <n v="0"/>
    <n v="0"/>
    <n v="0"/>
    <n v="0"/>
    <n v="179571.91"/>
    <n v="0"/>
    <n v="0"/>
    <n v="0"/>
    <n v="0"/>
    <n v="0"/>
    <n v="0"/>
    <n v="0"/>
    <n v="0"/>
    <n v="20820.509999999998"/>
    <n v="62970.9"/>
    <n v="83791.41"/>
    <n v="83791.41"/>
    <m/>
    <n v="6556.1358585278149"/>
    <n v="0"/>
    <n v="1152.8420528206966"/>
    <n v="4545.6951215429417"/>
    <n v="7064.5622700978729"/>
    <n v="-57958.155233646947"/>
    <n v="0"/>
    <n v="3121.5201671430291"/>
    <n v="15563.181494488461"/>
    <n v="7844.0484626470961"/>
    <n v="27458.725767456617"/>
    <n v="16048.969168333744"/>
    <n v="31397.525129411326"/>
    <n v="0"/>
    <n v="0"/>
    <n v="707.75479131730856"/>
    <n v="7972.6882652717231"/>
    <n v="-179571.91"/>
    <n v="15820.560416319553"/>
    <n v="16544.925905949131"/>
    <n v="13920.435572610342"/>
    <n v="25596.068104245493"/>
    <n v="0"/>
    <n v="0"/>
    <n v="13993.45808940614"/>
    <n v="-85016.018854880342"/>
    <n v="4123.3265281348113"/>
    <n v="528.19041135566067"/>
    <n v="774.32173029368846"/>
    <n v="0"/>
    <n v="2250.041990667105"/>
    <n v="14932.620516404111"/>
    <n v="0"/>
    <n v="0"/>
    <n v="-17712.521717132287"/>
    <n v="48722.5142657459"/>
    <n v="53618.493725468987"/>
    <n v="67611.951814875123"/>
  </r>
  <r>
    <x v="32"/>
    <x v="32"/>
    <x v="13"/>
    <x v="1"/>
    <x v="9"/>
    <x v="2"/>
    <x v="0"/>
    <m/>
    <m/>
    <n v="14779.082062450063"/>
    <n v="1314.1528856688522"/>
    <n v="0"/>
    <n v="0"/>
    <n v="0"/>
    <n v="573.9145096541987"/>
    <n v="1318.4607871734172"/>
    <n v="5045.9859298272204"/>
    <n v="0"/>
    <n v="0"/>
    <n v="0"/>
    <n v="923.12175097818204"/>
    <n v="23954.717925751935"/>
    <n v="15689.531133250341"/>
    <n v="0"/>
    <n v="84713.968063075998"/>
    <n v="15270.790150911891"/>
    <n v="10045.912942816163"/>
    <n v="7604.2640090380892"/>
    <n v="0"/>
    <n v="2033.9530222144801"/>
    <n v="0"/>
    <n v="655.82132115546449"/>
    <n v="0"/>
    <n v="7254.6842799900242"/>
    <n v="143268.92492245245"/>
    <n v="0"/>
    <n v="986.59042013754151"/>
    <n v="2796.7916860096607"/>
    <n v="140.74367678729632"/>
    <n v="0"/>
    <n v="4716.9820987549092"/>
    <n v="0"/>
    <n v="2174.4132844291075"/>
    <n v="3591.5509282465609"/>
    <n v="1871.6050574306066"/>
    <n v="16278.677151795682"/>
    <n v="23533.361431785706"/>
    <m/>
    <n v="18251.28"/>
    <n v="1622.9"/>
    <n v="0"/>
    <n v="0"/>
    <n v="0"/>
    <n v="708.75"/>
    <n v="1628.22"/>
    <n v="6231.49"/>
    <n v="0"/>
    <n v="0"/>
    <n v="0"/>
    <n v="1140"/>
    <n v="29582.639999999999"/>
    <n v="19375.629999999997"/>
    <n v="0"/>
    <n v="104616.67"/>
    <n v="18858.510000000002"/>
    <n v="12406.100000000002"/>
    <n v="9390.8100000000013"/>
    <n v="0"/>
    <n v="2511.81"/>
    <n v="0"/>
    <n v="809.9"/>
    <n v="0"/>
    <n v="8959.0999999999985"/>
    <n v="176928.53"/>
    <n v="0"/>
    <n v="1218.3800000000001"/>
    <n v="3453.87"/>
    <n v="173.81"/>
    <n v="0"/>
    <n v="5825.1900000000005"/>
    <n v="0"/>
    <n v="2685.27"/>
    <n v="4435.3500000000004"/>
    <n v="2311.3200000000002"/>
    <n v="20103.190000000002"/>
    <n v="29062.29"/>
    <m/>
    <n v="-3472.1979375499359"/>
    <n v="-308.74711433114794"/>
    <n v="0"/>
    <n v="0"/>
    <n v="0"/>
    <n v="-134.8354903458013"/>
    <n v="-309.75921282658283"/>
    <n v="-1185.5040701727794"/>
    <n v="0"/>
    <n v="0"/>
    <n v="0"/>
    <n v="-216.87824902181796"/>
    <n v="-5627.9220742480647"/>
    <n v="-3686.0988667496567"/>
    <n v="0"/>
    <n v="-19902.701936924001"/>
    <n v="-3587.719849088111"/>
    <n v="-2360.187057183839"/>
    <n v="-1786.5459909619121"/>
    <n v="0"/>
    <n v="-477.8569777855198"/>
    <n v="0"/>
    <n v="-154.07867884453549"/>
    <n v="0"/>
    <n v="-1704.4157200099744"/>
    <n v="-33659.605077547552"/>
    <n v="0"/>
    <n v="-231.7895798624586"/>
    <n v="-657.07831399033921"/>
    <n v="-33.066323212703679"/>
    <n v="0"/>
    <n v="-1108.2079012450913"/>
    <n v="0"/>
    <n v="-510.85671557089245"/>
    <n v="-843.79907175343942"/>
    <n v="-439.71494256939354"/>
    <n v="-3824.5128482043183"/>
    <n v="-5528.9285682142927"/>
    <m/>
    <n v="-0.23494002691628049"/>
    <n v="-0.2349400269162806"/>
    <n v="0"/>
    <n v="0"/>
    <n v="0"/>
    <n v="-0.23494002691628038"/>
    <n v="-0.23494002691628035"/>
    <n v="-0.23494002691628041"/>
    <n v="0"/>
    <n v="0"/>
    <n v="0"/>
    <n v="-0.23494002691628038"/>
    <n v="-0.23494002691628044"/>
    <n v="-0.23494002691628055"/>
    <n v="0"/>
    <n v="-0.23494002691628049"/>
    <n v="-0.23494002691628052"/>
    <n v="-0.23494002691628041"/>
    <n v="-0.23494002691628055"/>
    <n v="0"/>
    <n v="-0.23494002691628038"/>
    <n v="0"/>
    <n v="-0.23494002691628055"/>
    <n v="0"/>
    <n v="-0.23494002691628066"/>
    <n v="-0.23494002691628052"/>
    <n v="0"/>
    <n v="-0.2349400269162806"/>
    <n v="-0.23494002691628049"/>
    <n v="-0.23494002691628049"/>
    <n v="0"/>
    <n v="-0.23494002691628044"/>
    <n v="0"/>
    <n v="-0.23494002691628052"/>
    <n v="-0.23494002691628055"/>
    <n v="-0.23494002691628055"/>
    <n v="-0.23494002691628052"/>
    <n v="-0.23494002691628055"/>
    <m/>
    <n v="0"/>
    <n v="63981.04"/>
    <n v="0"/>
    <n v="0"/>
    <n v="0"/>
    <n v="0"/>
    <n v="0"/>
    <n v="0"/>
    <n v="0"/>
    <n v="0"/>
    <n v="0"/>
    <n v="0"/>
    <n v="63981.04"/>
    <n v="0"/>
    <n v="0"/>
    <n v="17222.66"/>
    <n v="0"/>
    <n v="0"/>
    <n v="0"/>
    <n v="0"/>
    <n v="0"/>
    <n v="0"/>
    <n v="93461.33"/>
    <n v="0"/>
    <n v="0"/>
    <n v="110683.99"/>
    <n v="0"/>
    <n v="0"/>
    <n v="0"/>
    <n v="0"/>
    <n v="0"/>
    <n v="0"/>
    <n v="8837.2900000000009"/>
    <n v="0"/>
    <n v="0"/>
    <n v="0"/>
    <n v="8837.2900000000009"/>
    <n v="8837.2900000000009"/>
    <m/>
    <n v="14779.082062450063"/>
    <n v="-62666.887114331148"/>
    <n v="0"/>
    <n v="0"/>
    <n v="0"/>
    <n v="573.9145096541987"/>
    <n v="1318.4607871734172"/>
    <n v="5045.9859298272204"/>
    <n v="0"/>
    <n v="0"/>
    <n v="0"/>
    <n v="923.12175097818204"/>
    <n v="-40026.322074248063"/>
    <n v="15689.531133250341"/>
    <n v="0"/>
    <n v="67491.308063075994"/>
    <n v="15270.790150911891"/>
    <n v="10045.912942816163"/>
    <n v="7604.2640090380892"/>
    <n v="0"/>
    <n v="2033.9530222144801"/>
    <n v="0"/>
    <n v="-92805.508678844533"/>
    <n v="0"/>
    <n v="7254.6842799900242"/>
    <n v="32584.934922452456"/>
    <n v="0"/>
    <n v="986.59042013754151"/>
    <n v="2796.7916860096607"/>
    <n v="140.74367678729632"/>
    <n v="0"/>
    <n v="4716.9820987549092"/>
    <n v="-8837.2900000000009"/>
    <n v="2174.4132844291075"/>
    <n v="3591.5509282465609"/>
    <n v="1871.6050574306066"/>
    <n v="7441.3871517956813"/>
    <n v="14696.071431785705"/>
  </r>
  <r>
    <x v="33"/>
    <x v="33"/>
    <x v="12"/>
    <x v="1"/>
    <x v="6"/>
    <x v="0"/>
    <x v="0"/>
    <m/>
    <m/>
    <n v="5258.9707747601569"/>
    <n v="11435.985503029984"/>
    <n v="2116.8337016819096"/>
    <n v="718.92932991810278"/>
    <n v="7138.3590175502713"/>
    <n v="18316.500563497651"/>
    <n v="0"/>
    <n v="822.85509287564958"/>
    <n v="7443.4566037954228"/>
    <n v="0"/>
    <n v="0"/>
    <n v="1418.1293711850706"/>
    <n v="54670.019958294222"/>
    <n v="5850.9485764482188"/>
    <n v="4029.781563609758"/>
    <n v="17559.413897048871"/>
    <n v="0"/>
    <n v="0"/>
    <n v="269.15855541079901"/>
    <n v="43634.568757528468"/>
    <n v="25168.016543912774"/>
    <n v="578.0731145859445"/>
    <n v="18687.676395401002"/>
    <n v="0"/>
    <n v="0"/>
    <n v="115777.63740394585"/>
    <n v="15231.816368677357"/>
    <n v="57102.54706393279"/>
    <n v="0"/>
    <n v="133335.91116622344"/>
    <n v="6119.0785320110017"/>
    <n v="6825.7266275991569"/>
    <n v="0"/>
    <n v="5480.9128793161681"/>
    <n v="0"/>
    <n v="0"/>
    <n v="224095.99263775992"/>
    <n v="224095.99263775992"/>
    <m/>
    <n v="4243.58"/>
    <n v="9227.9499999999989"/>
    <n v="1708.12"/>
    <n v="580.12000000000012"/>
    <n v="5760.1"/>
    <n v="14779.99"/>
    <n v="0"/>
    <n v="663.98"/>
    <n v="6006.29"/>
    <n v="0"/>
    <n v="0"/>
    <n v="1144.32"/>
    <n v="44114.450000000004"/>
    <n v="4721.2599999999993"/>
    <n v="3251.7200000000003"/>
    <n v="14169.080000000002"/>
    <n v="0"/>
    <n v="0"/>
    <n v="217.19"/>
    <n v="35209.699999999997"/>
    <n v="20308.63"/>
    <n v="466.46"/>
    <n v="15079.5"/>
    <n v="0"/>
    <n v="0"/>
    <n v="93423.540000000008"/>
    <n v="12290.89"/>
    <n v="46077.31"/>
    <n v="0"/>
    <n v="107591.70000000003"/>
    <n v="4937.62"/>
    <n v="5507.83"/>
    <n v="0"/>
    <n v="4422.67"/>
    <n v="0"/>
    <n v="0"/>
    <n v="180828.02000000002"/>
    <n v="180828.02000000002"/>
    <m/>
    <n v="1015.390774760157"/>
    <n v="2208.0355030299852"/>
    <n v="408.7137016819097"/>
    <n v="138.80932991810266"/>
    <n v="1378.259017550271"/>
    <n v="3536.5105634976517"/>
    <n v="0"/>
    <n v="158.87509287564956"/>
    <n v="1437.1666037954228"/>
    <n v="0"/>
    <n v="0"/>
    <n v="273.80937118507063"/>
    <n v="10555.569958294222"/>
    <n v="1129.6885764482195"/>
    <n v="778.06156360975774"/>
    <n v="3390.3338970488694"/>
    <n v="0"/>
    <n v="0"/>
    <n v="51.968555410799013"/>
    <n v="8424.8687575284712"/>
    <n v="4859.386543912773"/>
    <n v="111.61311458594452"/>
    <n v="3608.1763954010021"/>
    <n v="0"/>
    <n v="0"/>
    <n v="22354.097403945834"/>
    <n v="2940.9263686773575"/>
    <n v="11025.237063932793"/>
    <n v="0"/>
    <n v="25744.211166223409"/>
    <n v="1181.4585320110018"/>
    <n v="1317.896627599157"/>
    <n v="0"/>
    <n v="1058.242879316168"/>
    <n v="0"/>
    <n v="0"/>
    <n v="43267.972637759885"/>
    <n v="43267.972637759885"/>
    <m/>
    <n v="0.19307785082841905"/>
    <n v="0.19307785082841897"/>
    <n v="0.19307785082841897"/>
    <n v="0.19307785082841897"/>
    <n v="0.19307785082841902"/>
    <n v="0.19307785082841897"/>
    <n v="0"/>
    <n v="0.19307785082841902"/>
    <n v="0.193077850828419"/>
    <n v="0"/>
    <n v="0"/>
    <n v="0.19307785082841897"/>
    <n v="0.193077850828419"/>
    <n v="0.19307785082841897"/>
    <n v="0.19307785082841897"/>
    <n v="0.193077850828419"/>
    <n v="0"/>
    <n v="0"/>
    <n v="0.19307785082841905"/>
    <n v="0.19307785082841894"/>
    <n v="0.19307785082841905"/>
    <n v="0.19307785082841894"/>
    <n v="0.19307785082841902"/>
    <n v="0"/>
    <n v="0"/>
    <n v="0.19307785082841894"/>
    <n v="0.193077850828419"/>
    <n v="0.19307785082841905"/>
    <n v="0"/>
    <n v="0.19307785082841894"/>
    <n v="0.19307785082841908"/>
    <n v="0.19307785082841891"/>
    <n v="0"/>
    <n v="0.19307785082841908"/>
    <n v="0"/>
    <n v="0"/>
    <n v="0.19307785082841897"/>
    <n v="0.1930778508284189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01.379999999997"/>
    <n v="172581.97"/>
    <n v="0"/>
    <n v="0"/>
    <n v="97381.72"/>
    <n v="299665.07"/>
    <n v="0"/>
    <n v="94878.58"/>
    <n v="0"/>
    <n v="0"/>
    <n v="0"/>
    <n v="0"/>
    <n v="0"/>
    <n v="0"/>
    <n v="0"/>
    <n v="0"/>
    <n v="94878.58"/>
    <n v="192260.3"/>
    <m/>
    <n v="5258.9707747601569"/>
    <n v="11435.985503029984"/>
    <n v="2116.8337016819096"/>
    <n v="718.92932991810278"/>
    <n v="7138.3590175502713"/>
    <n v="18316.500563497651"/>
    <n v="0"/>
    <n v="822.85509287564958"/>
    <n v="7443.4566037954228"/>
    <n v="0"/>
    <n v="0"/>
    <n v="1418.1293711850706"/>
    <n v="54670.019958294222"/>
    <n v="5850.9485764482188"/>
    <n v="4029.781563609758"/>
    <n v="17559.413897048871"/>
    <n v="0"/>
    <n v="0"/>
    <n v="269.15855541079901"/>
    <n v="43634.568757528468"/>
    <n v="-4533.3634560872233"/>
    <n v="-172003.89688541405"/>
    <n v="18687.676395401002"/>
    <n v="0"/>
    <n v="-97381.72"/>
    <n v="-183887.43259605416"/>
    <n v="15231.816368677357"/>
    <n v="-37776.032936067211"/>
    <n v="0"/>
    <n v="133335.91116622344"/>
    <n v="6119.0785320110017"/>
    <n v="6825.7266275991569"/>
    <n v="0"/>
    <n v="5480.9128793161681"/>
    <n v="0"/>
    <n v="0"/>
    <n v="129217.4126377599"/>
    <n v="31835.692637759901"/>
  </r>
  <r>
    <x v="34"/>
    <x v="34"/>
    <x v="7"/>
    <x v="1"/>
    <x v="8"/>
    <x v="2"/>
    <x v="1"/>
    <m/>
    <m/>
    <n v="736.88619496500962"/>
    <n v="33131.661401468235"/>
    <n v="0"/>
    <n v="0"/>
    <n v="1411.2228552585402"/>
    <n v="1854.6144963784288"/>
    <n v="0"/>
    <n v="10610.25554075428"/>
    <n v="13355.08037464567"/>
    <n v="0"/>
    <n v="0"/>
    <n v="0"/>
    <n v="61099.720863470167"/>
    <n v="14867.797974725125"/>
    <n v="1887.6682519571029"/>
    <n v="23186.716658580135"/>
    <n v="0"/>
    <n v="13054.2927391293"/>
    <n v="2501.7041419381876"/>
    <n v="113587.05159298361"/>
    <n v="0"/>
    <n v="0"/>
    <n v="12148.595192280665"/>
    <n v="6040.6200394894622"/>
    <n v="6684.4520572277415"/>
    <n v="193958.89864831133"/>
    <n v="2747.0504945070111"/>
    <n v="0"/>
    <n v="0"/>
    <n v="3761.3510379004888"/>
    <n v="0"/>
    <n v="0"/>
    <n v="135.79610254397824"/>
    <n v="36383.328457144176"/>
    <n v="24156.704222104163"/>
    <n v="19268.930174018507"/>
    <n v="86453.160488218316"/>
    <n v="99178.232584935511"/>
    <m/>
    <n v="956.84"/>
    <n v="43021.159999999996"/>
    <n v="0"/>
    <n v="0"/>
    <n v="1832.46"/>
    <n v="2408.1999999999998"/>
    <n v="0"/>
    <n v="13777.32"/>
    <n v="17341.449999999997"/>
    <n v="0"/>
    <n v="0"/>
    <n v="0"/>
    <n v="79337.429999999993"/>
    <n v="19305.700000000004"/>
    <n v="2451.12"/>
    <n v="30107.739999999998"/>
    <n v="0"/>
    <n v="16950.879999999997"/>
    <n v="3248.44"/>
    <n v="147491.75"/>
    <n v="0"/>
    <n v="0"/>
    <n v="15774.84"/>
    <n v="7843.6900000000014"/>
    <n v="8679.6999999999989"/>
    <n v="251853.86000000002"/>
    <n v="3567.02"/>
    <n v="0"/>
    <n v="0"/>
    <n v="4884.08"/>
    <n v="0"/>
    <n v="0"/>
    <n v="176.32999999999998"/>
    <n v="47243.42"/>
    <n v="31367.260000000002"/>
    <n v="25020.53"/>
    <n v="112258.64"/>
    <n v="128782.03"/>
    <m/>
    <n v="-219.95380503499041"/>
    <n v="-9889.4985985317617"/>
    <n v="0"/>
    <n v="0"/>
    <n v="-421.23714474145982"/>
    <n v="-553.58550362157098"/>
    <n v="0"/>
    <n v="-3167.0644592457193"/>
    <n v="-3986.3696253543276"/>
    <n v="0"/>
    <n v="0"/>
    <n v="0"/>
    <n v="-18237.709136529829"/>
    <n v="-4437.9020252748796"/>
    <n v="-563.45174804289695"/>
    <n v="-6921.0233414198628"/>
    <n v="0"/>
    <n v="-3896.5872608706977"/>
    <n v="-746.73585806181245"/>
    <n v="-33904.698407016389"/>
    <n v="0"/>
    <n v="0"/>
    <n v="-3626.2448077193349"/>
    <n v="-1803.0699605105392"/>
    <n v="-1995.2479427722574"/>
    <n v="-57894.961351688667"/>
    <n v="-819.9695054929889"/>
    <n v="0"/>
    <n v="0"/>
    <n v="-1122.7289620995111"/>
    <n v="0"/>
    <n v="0"/>
    <n v="-40.533897456021748"/>
    <n v="-10860.091542855822"/>
    <n v="-7210.5557778958391"/>
    <n v="-5751.5998259814914"/>
    <n v="-25805.479511781672"/>
    <n v="-29603.79741506447"/>
    <m/>
    <n v="-0.2984908748974931"/>
    <n v="-0.29849087489749326"/>
    <n v="0"/>
    <n v="0"/>
    <n v="-0.29849087489749299"/>
    <n v="-0.29849087489749321"/>
    <n v="0"/>
    <n v="-0.29849087489749315"/>
    <n v="-0.29849087489749321"/>
    <n v="0"/>
    <n v="0"/>
    <n v="0"/>
    <n v="-0.29849087489749321"/>
    <n v="-0.29849087489749315"/>
    <n v="-0.29849087489749304"/>
    <n v="-0.2984908748974931"/>
    <n v="0"/>
    <n v="-0.29849087489749321"/>
    <n v="-0.29849087489749332"/>
    <n v="-0.29849087489749332"/>
    <n v="0"/>
    <n v="0"/>
    <n v="-0.29849087489749315"/>
    <n v="-0.29849087489749315"/>
    <n v="-0.29849087489749326"/>
    <n v="-0.29849087489749326"/>
    <n v="-0.29849087489749315"/>
    <n v="0"/>
    <n v="0"/>
    <n v="-0.29849087489749321"/>
    <n v="0"/>
    <n v="0"/>
    <n v="-0.29849087489749304"/>
    <n v="-0.2984908748974931"/>
    <n v="-0.29849087489749321"/>
    <n v="-0.29849087489749326"/>
    <n v="-0.29849087489749315"/>
    <n v="-0.29849087489749321"/>
    <m/>
    <n v="-25000"/>
    <n v="0"/>
    <n v="0"/>
    <n v="0"/>
    <n v="0"/>
    <n v="0"/>
    <n v="0"/>
    <n v="0"/>
    <n v="0"/>
    <n v="0"/>
    <n v="0"/>
    <n v="0"/>
    <n v="-25000"/>
    <n v="0"/>
    <n v="0"/>
    <n v="0"/>
    <n v="0"/>
    <n v="0"/>
    <n v="120320.75"/>
    <n v="0"/>
    <n v="0"/>
    <n v="0"/>
    <n v="0"/>
    <n v="31976.510000000002"/>
    <n v="0"/>
    <n v="152297.26"/>
    <n v="0"/>
    <n v="33832.379999999997"/>
    <n v="0"/>
    <n v="180382.14"/>
    <n v="0"/>
    <n v="0"/>
    <n v="0"/>
    <n v="0"/>
    <n v="0"/>
    <n v="0"/>
    <n v="214214.52000000002"/>
    <n v="246191.03000000003"/>
    <m/>
    <n v="25736.886194965009"/>
    <n v="33131.661401468235"/>
    <n v="0"/>
    <n v="0"/>
    <n v="1411.2228552585402"/>
    <n v="1854.6144963784288"/>
    <n v="0"/>
    <n v="10610.25554075428"/>
    <n v="13355.08037464567"/>
    <n v="0"/>
    <n v="0"/>
    <n v="0"/>
    <n v="86099.720863470167"/>
    <n v="14867.797974725125"/>
    <n v="1887.6682519571029"/>
    <n v="23186.716658580135"/>
    <n v="0"/>
    <n v="13054.2927391293"/>
    <n v="-117819.04585806181"/>
    <n v="113587.05159298361"/>
    <n v="0"/>
    <n v="0"/>
    <n v="12148.595192280665"/>
    <n v="-25935.88996051054"/>
    <n v="6684.4520572277415"/>
    <n v="41661.638648311317"/>
    <n v="2747.0504945070111"/>
    <n v="-33832.379999999997"/>
    <n v="0"/>
    <n v="-176620.78896209953"/>
    <n v="0"/>
    <n v="0"/>
    <n v="135.79610254397824"/>
    <n v="36383.328457144176"/>
    <n v="24156.704222104163"/>
    <n v="19268.930174018507"/>
    <n v="-127761.3595117817"/>
    <n v="-147012.7974150645"/>
  </r>
  <r>
    <x v="35"/>
    <x v="35"/>
    <x v="3"/>
    <x v="1"/>
    <x v="1"/>
    <x v="2"/>
    <x v="0"/>
    <m/>
    <m/>
    <n v="0"/>
    <n v="0"/>
    <n v="0"/>
    <n v="0"/>
    <n v="322.22500000000002"/>
    <n v="5021.1750000000002"/>
    <n v="0"/>
    <n v="718.875"/>
    <n v="3431.8"/>
    <n v="1351.5875000000001"/>
    <n v="18025.025000000001"/>
    <n v="0"/>
    <n v="28870.6875"/>
    <n v="38967.837500000001"/>
    <n v="333.33750000000003"/>
    <n v="2017.2750000000001"/>
    <n v="0"/>
    <n v="6955.0624999999991"/>
    <n v="5468.6374999999998"/>
    <n v="0"/>
    <n v="8099.8750000000009"/>
    <n v="0"/>
    <n v="3702.6624999999999"/>
    <n v="412.72499999999997"/>
    <n v="17123.449999999997"/>
    <n v="83080.862500000003"/>
    <n v="695.08749999999986"/>
    <n v="0"/>
    <n v="21205.100000000002"/>
    <n v="1905.2875000000001"/>
    <n v="0"/>
    <n v="0"/>
    <n v="40504.375"/>
    <n v="20616.1875"/>
    <n v="0"/>
    <n v="220.56249999999997"/>
    <n v="85146.6"/>
    <n v="102682.77500000001"/>
    <m/>
    <n v="0"/>
    <n v="0"/>
    <n v="0"/>
    <n v="0"/>
    <n v="257.78000000000003"/>
    <n v="4016.94"/>
    <n v="0"/>
    <n v="575.1"/>
    <n v="2745.44"/>
    <n v="1081.27"/>
    <n v="14420.02"/>
    <n v="0"/>
    <n v="23096.550000000003"/>
    <n v="31174.27"/>
    <n v="266.67"/>
    <n v="1613.82"/>
    <n v="0"/>
    <n v="5564.0499999999993"/>
    <n v="4374.91"/>
    <n v="0"/>
    <n v="6479.9000000000005"/>
    <n v="0"/>
    <n v="2962.13"/>
    <n v="330.17999999999995"/>
    <n v="13698.759999999998"/>
    <n v="66464.69"/>
    <n v="556.06999999999994"/>
    <n v="0"/>
    <n v="16964.080000000002"/>
    <n v="1524.23"/>
    <n v="0"/>
    <n v="0"/>
    <n v="32403.5"/>
    <n v="16492.95"/>
    <n v="0"/>
    <n v="176.45"/>
    <n v="68117.279999999999"/>
    <n v="82146.219999999987"/>
    <m/>
    <n v="0"/>
    <n v="0"/>
    <n v="0"/>
    <n v="0"/>
    <n v="64.444999999999993"/>
    <n v="1004.2350000000001"/>
    <n v="0"/>
    <n v="143.77499999999998"/>
    <n v="686.36000000000013"/>
    <n v="270.31750000000011"/>
    <n v="3605.005000000001"/>
    <n v="0"/>
    <n v="5774.1375000000007"/>
    <n v="7793.567500000001"/>
    <n v="66.667500000000018"/>
    <n v="403.45500000000015"/>
    <n v="0"/>
    <n v="1391.0124999999998"/>
    <n v="1093.7275"/>
    <n v="0"/>
    <n v="1619.9750000000004"/>
    <n v="0"/>
    <n v="740.5324999999998"/>
    <n v="82.545000000000016"/>
    <n v="3424.6899999999987"/>
    <n v="16616.172500000001"/>
    <n v="139.01749999999993"/>
    <n v="0"/>
    <n v="4241.0200000000004"/>
    <n v="381.05750000000012"/>
    <n v="0"/>
    <n v="0"/>
    <n v="8100.875"/>
    <n v="4123.2374999999993"/>
    <n v="0"/>
    <n v="44.112499999999983"/>
    <n v="17029.32"/>
    <n v="20536.554999999997"/>
    <m/>
    <n v="0"/>
    <n v="0"/>
    <n v="0"/>
    <n v="0"/>
    <n v="0.19999999999999996"/>
    <n v="0.2"/>
    <n v="0"/>
    <n v="0.19999999999999996"/>
    <n v="0.20000000000000004"/>
    <n v="0.20000000000000007"/>
    <n v="0.20000000000000004"/>
    <n v="0"/>
    <n v="0.20000000000000004"/>
    <n v="0.2"/>
    <n v="0.20000000000000004"/>
    <n v="0.20000000000000007"/>
    <n v="0"/>
    <n v="0.2"/>
    <n v="0.2"/>
    <n v="0"/>
    <n v="0.2"/>
    <n v="0"/>
    <n v="0.19999999999999996"/>
    <n v="0.20000000000000007"/>
    <n v="0.19999999999999996"/>
    <n v="0.2"/>
    <n v="0.19999999999999993"/>
    <n v="0"/>
    <n v="0.2"/>
    <n v="0.20000000000000004"/>
    <n v="0"/>
    <n v="0"/>
    <n v="0.2"/>
    <n v="0.19999999999999996"/>
    <n v="0"/>
    <n v="0.19999999999999996"/>
    <n v="0.19999999999999998"/>
    <n v="0.19999999999999996"/>
    <m/>
    <n v="0"/>
    <n v="0"/>
    <n v="109051.63"/>
    <n v="0"/>
    <n v="0"/>
    <n v="0"/>
    <n v="0"/>
    <n v="121314.38"/>
    <n v="0"/>
    <n v="91424.09"/>
    <n v="0"/>
    <n v="0"/>
    <n v="321790.09999999998"/>
    <n v="0"/>
    <n v="0"/>
    <n v="122061.74999999999"/>
    <n v="0"/>
    <n v="0"/>
    <n v="0"/>
    <n v="0"/>
    <n v="0"/>
    <n v="0"/>
    <n v="0"/>
    <n v="0"/>
    <n v="0"/>
    <n v="122061.74999999999"/>
    <n v="0"/>
    <n v="0"/>
    <n v="0"/>
    <n v="0"/>
    <n v="0"/>
    <n v="0"/>
    <n v="118569.76000000001"/>
    <n v="0"/>
    <n v="7230.04"/>
    <n v="0"/>
    <n v="125799.8"/>
    <n v="125799.8"/>
    <m/>
    <n v="0"/>
    <n v="0"/>
    <n v="-109051.63"/>
    <n v="0"/>
    <n v="322.22500000000002"/>
    <n v="5021.1750000000002"/>
    <n v="0"/>
    <n v="-120595.505"/>
    <n v="3431.8"/>
    <n v="-90072.502500000002"/>
    <n v="18025.025000000001"/>
    <n v="0"/>
    <n v="-292919.41249999998"/>
    <n v="38967.837500000001"/>
    <n v="333.33750000000003"/>
    <n v="-120044.47499999999"/>
    <n v="0"/>
    <n v="6955.0624999999991"/>
    <n v="5468.6374999999998"/>
    <n v="0"/>
    <n v="8099.8750000000009"/>
    <n v="0"/>
    <n v="3702.6624999999999"/>
    <n v="412.72499999999997"/>
    <n v="17123.449999999997"/>
    <n v="-38980.887499999997"/>
    <n v="695.08749999999986"/>
    <n v="0"/>
    <n v="21205.100000000002"/>
    <n v="1905.2875000000001"/>
    <n v="0"/>
    <n v="0"/>
    <n v="-78065.385000000009"/>
    <n v="20616.1875"/>
    <n v="-7230.04"/>
    <n v="220.56249999999997"/>
    <n v="-40653.200000000004"/>
    <n v="-23117.025000000009"/>
  </r>
  <r>
    <x v="36"/>
    <x v="36"/>
    <x v="14"/>
    <x v="1"/>
    <x v="1"/>
    <x v="0"/>
    <x v="0"/>
    <m/>
    <m/>
    <n v="146530.79336319317"/>
    <n v="4563.7607843085807"/>
    <n v="2472.1126890751411"/>
    <n v="996.53442893834017"/>
    <n v="3520.4566558471975"/>
    <n v="31318.736024639034"/>
    <n v="176.30794364536365"/>
    <n v="2101.2669866378092"/>
    <n v="48841.101867805766"/>
    <n v="0"/>
    <n v="12587.442566584165"/>
    <n v="0"/>
    <n v="253108.51331067458"/>
    <n v="55933.968712714195"/>
    <n v="1036.9971308040272"/>
    <n v="5327.7426740544479"/>
    <n v="0"/>
    <n v="21884.907483037212"/>
    <n v="0"/>
    <n v="0"/>
    <n v="675.42473085833285"/>
    <n v="0"/>
    <n v="7017.7300554652993"/>
    <n v="15580.933728667418"/>
    <n v="49502.271056013924"/>
    <n v="156959.97557161486"/>
    <n v="6037.0063192844418"/>
    <n v="0"/>
    <n v="2042.776063157944"/>
    <n v="0"/>
    <n v="323.24082970852027"/>
    <n v="15285.685600890174"/>
    <n v="31436.092259587553"/>
    <n v="0"/>
    <n v="0"/>
    <n v="210.55004508187741"/>
    <n v="55335.35111771051"/>
    <n v="120418.55590239185"/>
    <m/>
    <n v="50880.38"/>
    <n v="1584.69"/>
    <n v="858.4"/>
    <n v="346.03000000000003"/>
    <n v="1222.42"/>
    <n v="10874.910000000002"/>
    <n v="61.22"/>
    <n v="729.63"/>
    <n v="16959.259999999998"/>
    <n v="0"/>
    <n v="4370.7800000000007"/>
    <n v="0"/>
    <n v="87887.72"/>
    <n v="19422.140000000003"/>
    <n v="360.08000000000004"/>
    <n v="1849.9699999999998"/>
    <n v="0"/>
    <n v="7599.17"/>
    <n v="0"/>
    <n v="0"/>
    <n v="234.53000000000003"/>
    <n v="0"/>
    <n v="2436.79"/>
    <n v="5410.22"/>
    <n v="17188.84"/>
    <n v="54501.740000000005"/>
    <n v="2096.25"/>
    <n v="0"/>
    <n v="709.32"/>
    <n v="0"/>
    <n v="112.24"/>
    <n v="5307.7"/>
    <n v="10915.66"/>
    <n v="0"/>
    <n v="0"/>
    <n v="73.11"/>
    <n v="19214.28"/>
    <n v="41813.339999999997"/>
    <m/>
    <n v="95650.413363193162"/>
    <n v="2979.0707843085806"/>
    <n v="1613.712689075141"/>
    <n v="650.5044289383402"/>
    <n v="2298.0366558471974"/>
    <n v="20443.826024639035"/>
    <n v="115.08794364536365"/>
    <n v="1371.6369866378091"/>
    <n v="31881.841867805768"/>
    <n v="0"/>
    <n v="8216.6625665841639"/>
    <n v="0"/>
    <n v="165220.79331067458"/>
    <n v="36511.828712714196"/>
    <n v="676.91713080402712"/>
    <n v="3477.7726740544481"/>
    <n v="0"/>
    <n v="14285.737483037212"/>
    <n v="0"/>
    <n v="0"/>
    <n v="440.89473085833282"/>
    <n v="0"/>
    <n v="4580.9400554652993"/>
    <n v="10170.713728667419"/>
    <n v="32313.431056013924"/>
    <n v="102458.23557161486"/>
    <n v="3940.7563192844418"/>
    <n v="0"/>
    <n v="1333.4560631579438"/>
    <n v="0"/>
    <n v="211.00082970852026"/>
    <n v="9977.9856008901734"/>
    <n v="20520.432259587553"/>
    <n v="0"/>
    <n v="0"/>
    <n v="137.44004508187743"/>
    <n v="36121.071117710511"/>
    <n v="78605.21590239185"/>
    <m/>
    <n v="0.65276663810938895"/>
    <n v="0.65276663810938906"/>
    <n v="0.65276663810938895"/>
    <n v="0.65276663810938906"/>
    <n v="0.65276663810938895"/>
    <n v="0.65276663810938906"/>
    <n v="0.65276663810938906"/>
    <n v="0.65276663810938895"/>
    <n v="0.65276663810938895"/>
    <n v="0"/>
    <n v="0.65276663810938895"/>
    <n v="0"/>
    <n v="0.65276663810938895"/>
    <n v="0.65276663810938906"/>
    <n v="0.65276663810938895"/>
    <n v="0.65276663810938895"/>
    <n v="0"/>
    <n v="0.65276663810938906"/>
    <n v="0"/>
    <n v="0"/>
    <n v="0.65276663810938895"/>
    <n v="0"/>
    <n v="0.65276663810938895"/>
    <n v="0.65276663810938906"/>
    <n v="0.65276663810938906"/>
    <n v="0.65276663810938895"/>
    <n v="0.65276663810938906"/>
    <n v="0"/>
    <n v="0.65276663810938895"/>
    <n v="0"/>
    <n v="0.65276663810938895"/>
    <n v="0.65276663810938895"/>
    <n v="0.65276663810938895"/>
    <n v="0"/>
    <n v="0"/>
    <n v="0.65276663810938906"/>
    <n v="0.65276663810938906"/>
    <n v="0.65276663810938906"/>
    <m/>
    <n v="0"/>
    <n v="0"/>
    <n v="0"/>
    <n v="0"/>
    <n v="0"/>
    <n v="29685.69"/>
    <n v="0"/>
    <n v="0"/>
    <n v="0"/>
    <n v="0"/>
    <n v="0"/>
    <n v="0"/>
    <n v="29685.69"/>
    <n v="0"/>
    <n v="0"/>
    <n v="0"/>
    <n v="145134.53999999998"/>
    <n v="0"/>
    <n v="0"/>
    <n v="0"/>
    <n v="174466.12"/>
    <n v="0"/>
    <n v="0"/>
    <n v="0"/>
    <n v="0"/>
    <n v="319600.65999999997"/>
    <n v="0"/>
    <n v="0"/>
    <n v="0"/>
    <n v="0"/>
    <n v="116117.49"/>
    <n v="0"/>
    <n v="0"/>
    <n v="0"/>
    <n v="0"/>
    <n v="0"/>
    <n v="116117.49"/>
    <n v="116117.49"/>
    <m/>
    <n v="146530.79336319317"/>
    <n v="4563.7607843085807"/>
    <n v="2472.1126890751411"/>
    <n v="996.53442893834017"/>
    <n v="3520.4566558471975"/>
    <n v="1633.0460246390357"/>
    <n v="176.30794364536365"/>
    <n v="2101.2669866378092"/>
    <n v="48841.101867805766"/>
    <n v="0"/>
    <n v="12587.442566584165"/>
    <n v="0"/>
    <n v="223422.82331067458"/>
    <n v="55933.968712714195"/>
    <n v="1036.9971308040272"/>
    <n v="5327.7426740544479"/>
    <n v="-145134.53999999998"/>
    <n v="21884.907483037212"/>
    <n v="0"/>
    <n v="0"/>
    <n v="-173790.69526914167"/>
    <n v="0"/>
    <n v="7017.7300554652993"/>
    <n v="15580.933728667418"/>
    <n v="49502.271056013924"/>
    <n v="-162640.68442838511"/>
    <n v="6037.0063192844418"/>
    <n v="0"/>
    <n v="2042.776063157944"/>
    <n v="0"/>
    <n v="-115794.24917029148"/>
    <n v="15285.685600890174"/>
    <n v="31436.092259587553"/>
    <n v="0"/>
    <n v="0"/>
    <n v="210.55004508187741"/>
    <n v="-60782.138882289488"/>
    <n v="4301.0659023918561"/>
  </r>
  <r>
    <x v="37"/>
    <x v="37"/>
    <x v="10"/>
    <x v="1"/>
    <x v="0"/>
    <x v="2"/>
    <x v="0"/>
    <m/>
    <m/>
    <n v="4248.4056195972926"/>
    <n v="0"/>
    <n v="10589.337183142712"/>
    <n v="4435.6876179795563"/>
    <n v="3725.5879138851951"/>
    <n v="0"/>
    <n v="0"/>
    <n v="1527.3180172841805"/>
    <n v="284.7929542975873"/>
    <n v="8638.4755623685323"/>
    <n v="5401.2044658705063"/>
    <n v="4459.7739895602353"/>
    <n v="43310.583323985797"/>
    <n v="2701.274619238684"/>
    <n v="0"/>
    <n v="7855.5340087358318"/>
    <n v="9919.9093794469882"/>
    <n v="0"/>
    <n v="0"/>
    <n v="0"/>
    <n v="0"/>
    <n v="26493.185824766915"/>
    <n v="3575.5411747951443"/>
    <n v="1513.1979049121333"/>
    <n v="13200.631573064498"/>
    <n v="65259.274484960195"/>
    <n v="7680.3848476510302"/>
    <n v="0"/>
    <n v="4308.2778844383438"/>
    <n v="0"/>
    <n v="20579.428750750023"/>
    <n v="0"/>
    <n v="27028.92828942274"/>
    <n v="30846.737720302935"/>
    <n v="0"/>
    <n v="1026.5246984889059"/>
    <n v="91470.282191053979"/>
    <n v="106184.11166903061"/>
    <m/>
    <n v="2843.2799999999997"/>
    <n v="0"/>
    <n v="7087"/>
    <n v="2968.6199999999994"/>
    <n v="2493.38"/>
    <n v="0"/>
    <n v="0"/>
    <n v="1022.17"/>
    <n v="190.6"/>
    <n v="5781.37"/>
    <n v="3614.7999999999997"/>
    <n v="2984.7400000000002"/>
    <n v="28985.959999999995"/>
    <n v="1807.85"/>
    <n v="0"/>
    <n v="5257.38"/>
    <n v="6638.98"/>
    <n v="0"/>
    <n v="0"/>
    <n v="0"/>
    <n v="0"/>
    <n v="17730.78"/>
    <n v="2392.96"/>
    <n v="1012.72"/>
    <n v="8834.6299999999992"/>
    <n v="43675.299999999996"/>
    <n v="5140.16"/>
    <n v="0"/>
    <n v="2883.3500000000004"/>
    <n v="0"/>
    <n v="13772.949999999999"/>
    <n v="0"/>
    <n v="18089.329999999998"/>
    <n v="20644.43"/>
    <n v="0"/>
    <n v="687.01"/>
    <n v="61217.229999999996"/>
    <n v="71064.58"/>
    <m/>
    <n v="1405.1256195972928"/>
    <n v="0"/>
    <n v="3502.3371831427121"/>
    <n v="1467.0676179795569"/>
    <n v="1232.207913885195"/>
    <n v="0"/>
    <n v="0"/>
    <n v="505.14801728418058"/>
    <n v="94.192954297587306"/>
    <n v="2857.1055623685324"/>
    <n v="1786.4044658705066"/>
    <n v="1475.0339895602351"/>
    <n v="14324.623323985799"/>
    <n v="893.42461923868404"/>
    <n v="0"/>
    <n v="2598.1540087358317"/>
    <n v="3280.9293794469886"/>
    <n v="0"/>
    <n v="0"/>
    <n v="0"/>
    <n v="0"/>
    <n v="8762.4058247669163"/>
    <n v="1182.5811747951443"/>
    <n v="500.47790491213323"/>
    <n v="4366.0015730644991"/>
    <n v="21583.974484960196"/>
    <n v="2540.2248476510304"/>
    <n v="0"/>
    <n v="1424.9278844383434"/>
    <n v="0"/>
    <n v="6806.4787507500241"/>
    <n v="0"/>
    <n v="8939.5982894227418"/>
    <n v="10202.307720302935"/>
    <n v="0"/>
    <n v="339.51469848890588"/>
    <n v="30253.052191053983"/>
    <n v="35119.531669030614"/>
    <m/>
    <n v="0.33074187010666956"/>
    <n v="0"/>
    <n v="0.3307418701066695"/>
    <n v="0.33074187010666956"/>
    <n v="0.3307418701066695"/>
    <n v="0"/>
    <n v="0"/>
    <n v="0.33074187010666961"/>
    <n v="0.33074187010666961"/>
    <n v="0.33074187010666956"/>
    <n v="0.33074187010666956"/>
    <n v="0.33074187010666961"/>
    <n v="0.33074187010666956"/>
    <n v="0.33074187010666956"/>
    <n v="0"/>
    <n v="0.33074187010666956"/>
    <n v="0.33074187010666956"/>
    <n v="0"/>
    <n v="0"/>
    <n v="0"/>
    <n v="0"/>
    <n v="0.3307418701066695"/>
    <n v="0.33074187010666956"/>
    <n v="0.3307418701066695"/>
    <n v="0.33074187010666956"/>
    <n v="0.3307418701066695"/>
    <n v="0.33074187010666961"/>
    <n v="0"/>
    <n v="0.33074187010666944"/>
    <n v="0"/>
    <n v="0.3307418701066695"/>
    <n v="0"/>
    <n v="0.33074187010666956"/>
    <n v="0.3307418701066695"/>
    <n v="0"/>
    <n v="0.33074187010666961"/>
    <n v="0.33074187010666956"/>
    <n v="0.33074187010666956"/>
    <m/>
    <n v="0"/>
    <n v="0"/>
    <n v="0"/>
    <n v="0"/>
    <n v="4689.05"/>
    <n v="0"/>
    <n v="0"/>
    <n v="0"/>
    <n v="85969.919999999998"/>
    <n v="0"/>
    <n v="0"/>
    <n v="0"/>
    <n v="90658.97"/>
    <n v="0"/>
    <n v="23847.07"/>
    <n v="0"/>
    <n v="0"/>
    <n v="0"/>
    <n v="0"/>
    <n v="0"/>
    <n v="0"/>
    <n v="0"/>
    <n v="0"/>
    <n v="0"/>
    <n v="0"/>
    <n v="23847.07"/>
    <n v="0"/>
    <n v="0"/>
    <n v="0"/>
    <n v="0"/>
    <n v="0"/>
    <n v="85534.1"/>
    <n v="0"/>
    <n v="0"/>
    <n v="0"/>
    <n v="0"/>
    <n v="85534.1"/>
    <n v="85534.1"/>
    <m/>
    <n v="4248.4056195972926"/>
    <n v="0"/>
    <n v="10589.337183142712"/>
    <n v="4435.6876179795563"/>
    <n v="-963.46208611480506"/>
    <n v="0"/>
    <n v="0"/>
    <n v="1527.3180172841805"/>
    <n v="-85685.127045702407"/>
    <n v="8638.4755623685323"/>
    <n v="5401.2044658705063"/>
    <n v="4459.7739895602353"/>
    <n v="-47348.386676014197"/>
    <n v="2701.274619238684"/>
    <n v="-23847.07"/>
    <n v="7855.5340087358318"/>
    <n v="9919.9093794469882"/>
    <n v="0"/>
    <n v="0"/>
    <n v="0"/>
    <n v="0"/>
    <n v="26493.185824766915"/>
    <n v="3575.5411747951443"/>
    <n v="1513.1979049121333"/>
    <n v="13200.631573064498"/>
    <n v="41412.204484960195"/>
    <n v="7680.3848476510302"/>
    <n v="0"/>
    <n v="4308.2778844383438"/>
    <n v="0"/>
    <n v="20579.428750750023"/>
    <n v="-85534.1"/>
    <n v="27028.92828942274"/>
    <n v="30846.737720302935"/>
    <n v="0"/>
    <n v="1026.5246984889059"/>
    <n v="5936.1821910539766"/>
    <n v="20650.011669030609"/>
  </r>
  <r>
    <x v="38"/>
    <x v="38"/>
    <x v="2"/>
    <x v="1"/>
    <x v="1"/>
    <x v="1"/>
    <x v="0"/>
    <m/>
    <m/>
    <n v="4707.4301352450148"/>
    <n v="275.02201413269961"/>
    <n v="675.91830632884853"/>
    <n v="0"/>
    <n v="0"/>
    <n v="724.38089140743716"/>
    <n v="0"/>
    <n v="10494.682853681814"/>
    <n v="170.08835925135639"/>
    <n v="673.72269708301826"/>
    <n v="0"/>
    <n v="1265.280207163953"/>
    <n v="18986.525464294144"/>
    <n v="0"/>
    <n v="2932.208702690752"/>
    <n v="5221.7900242425567"/>
    <n v="310.53050466088962"/>
    <n v="0"/>
    <n v="9556.724072886238"/>
    <n v="20410.872072295384"/>
    <n v="7655.0135916796944"/>
    <n v="7075.60877877443"/>
    <n v="557.39383021581602"/>
    <n v="0"/>
    <n v="0"/>
    <n v="53720.141577445756"/>
    <n v="0"/>
    <n v="642.63287016206164"/>
    <n v="1285.6335048727997"/>
    <n v="820.34548251956369"/>
    <n v="6345.7333752293016"/>
    <n v="0"/>
    <n v="1139.2577254764103"/>
    <n v="0"/>
    <n v="0"/>
    <n v="0"/>
    <n v="10233.602958260137"/>
    <n v="10233.602958260137"/>
    <m/>
    <n v="8576.08"/>
    <n v="501.04"/>
    <n v="1231.4000000000001"/>
    <n v="0"/>
    <n v="0"/>
    <n v="1319.69"/>
    <n v="0"/>
    <n v="19119.400000000001"/>
    <n v="309.87"/>
    <n v="1227.4000000000001"/>
    <n v="0"/>
    <n v="2305.1099999999997"/>
    <n v="34589.99"/>
    <n v="0"/>
    <n v="5341.95"/>
    <n v="9513.15"/>
    <n v="565.73"/>
    <n v="0"/>
    <n v="17410.61"/>
    <n v="37184.89"/>
    <n v="13946.04"/>
    <n v="12890.470000000001"/>
    <n v="1015.47"/>
    <n v="0"/>
    <n v="0"/>
    <n v="97868.31"/>
    <n v="0"/>
    <n v="1170.76"/>
    <n v="2342.19"/>
    <n v="1494.52"/>
    <n v="11560.769999999999"/>
    <n v="0"/>
    <n v="2075.52"/>
    <n v="0"/>
    <n v="0"/>
    <n v="0"/>
    <n v="18643.759999999998"/>
    <n v="18643.759999999998"/>
    <m/>
    <n v="-3868.6498647549852"/>
    <n v="-226.01798586730041"/>
    <n v="-555.48169367115156"/>
    <n v="0"/>
    <n v="0"/>
    <n v="-595.30910859256289"/>
    <n v="0"/>
    <n v="-8624.7171463181876"/>
    <n v="-139.78164074864361"/>
    <n v="-553.67730291698183"/>
    <n v="0"/>
    <n v="-1039.8297928360466"/>
    <n v="-15603.46453570586"/>
    <n v="0"/>
    <n v="-2409.7412973092478"/>
    <n v="-4291.359975757443"/>
    <n v="-255.1994953391104"/>
    <n v="0"/>
    <n v="-7853.8859271137626"/>
    <n v="-16774.017927704615"/>
    <n v="-6291.0264083203065"/>
    <n v="-5814.8612212255712"/>
    <n v="-458.076169784184"/>
    <n v="0"/>
    <n v="0"/>
    <n v="-44148.168422554234"/>
    <n v="0"/>
    <n v="-528.12712983793836"/>
    <n v="-1056.5564951272004"/>
    <n v="-674.17451748043629"/>
    <n v="-5215.036624770697"/>
    <n v="0"/>
    <n v="-936.26227452358967"/>
    <n v="0"/>
    <n v="0"/>
    <n v="0"/>
    <n v="-8410.1570417398616"/>
    <n v="-8410.1570417398616"/>
    <m/>
    <n v="-0.82181779731365634"/>
    <n v="-0.82181779731365612"/>
    <n v="-0.82181779731365645"/>
    <n v="0"/>
    <n v="0"/>
    <n v="-0.82181779731365634"/>
    <n v="0"/>
    <n v="-0.82181779731365656"/>
    <n v="-0.82181779731365656"/>
    <n v="-0.82181779731365645"/>
    <n v="0"/>
    <n v="-0.82181779731365634"/>
    <n v="-0.82181779731365634"/>
    <n v="0"/>
    <n v="-0.82181779731365634"/>
    <n v="-0.82181779731365656"/>
    <n v="-0.82181779731365634"/>
    <n v="0"/>
    <n v="-0.82181779731365634"/>
    <n v="-0.82181779731365623"/>
    <n v="-0.82181779731365623"/>
    <n v="-0.82181779731365623"/>
    <n v="-0.82181779731365623"/>
    <n v="0"/>
    <n v="0"/>
    <n v="-0.82181779731365623"/>
    <n v="0"/>
    <n v="-0.82181779731365623"/>
    <n v="-0.82181779731365656"/>
    <n v="-0.82181779731365623"/>
    <n v="-0.82181779731365612"/>
    <n v="0"/>
    <n v="-0.82181779731365634"/>
    <n v="0"/>
    <n v="0"/>
    <n v="0"/>
    <n v="-0.82181779731365623"/>
    <n v="-0.821817797313656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91.23"/>
    <n v="52891.23"/>
    <n v="0"/>
    <n v="0"/>
    <n v="0"/>
    <n v="0"/>
    <n v="0"/>
    <n v="0"/>
    <n v="0"/>
    <n v="30049.040000000001"/>
    <n v="0"/>
    <n v="0"/>
    <n v="30049.040000000001"/>
    <n v="82940.27"/>
    <m/>
    <n v="4707.4301352450148"/>
    <n v="275.02201413269961"/>
    <n v="675.91830632884853"/>
    <n v="0"/>
    <n v="0"/>
    <n v="724.38089140743716"/>
    <n v="0"/>
    <n v="10494.682853681814"/>
    <n v="170.08835925135639"/>
    <n v="673.72269708301826"/>
    <n v="0"/>
    <n v="1265.280207163953"/>
    <n v="18986.525464294144"/>
    <n v="0"/>
    <n v="2932.208702690752"/>
    <n v="5221.7900242425567"/>
    <n v="310.53050466088962"/>
    <n v="0"/>
    <n v="9556.724072886238"/>
    <n v="20410.872072295384"/>
    <n v="7655.0135916796944"/>
    <n v="7075.60877877443"/>
    <n v="557.39383021581602"/>
    <n v="0"/>
    <n v="-52891.23"/>
    <n v="828.91157744575321"/>
    <n v="0"/>
    <n v="642.63287016206164"/>
    <n v="1285.6335048727997"/>
    <n v="820.34548251956369"/>
    <n v="6345.7333752293016"/>
    <n v="0"/>
    <n v="1139.2577254764103"/>
    <n v="-30049.040000000001"/>
    <n v="0"/>
    <n v="0"/>
    <n v="-19815.437041739864"/>
    <n v="-72706.667041739871"/>
  </r>
  <r>
    <x v="39"/>
    <x v="39"/>
    <x v="4"/>
    <x v="1"/>
    <x v="9"/>
    <x v="2"/>
    <x v="1"/>
    <m/>
    <m/>
    <n v="0"/>
    <n v="2019.0375000000001"/>
    <n v="2638.85"/>
    <n v="5851.5750000000007"/>
    <n v="0"/>
    <n v="20811.674999999999"/>
    <n v="5462.6374999999998"/>
    <n v="0"/>
    <n v="0"/>
    <n v="229.83750000000001"/>
    <n v="0"/>
    <n v="2564.9625000000005"/>
    <n v="39578.575000000004"/>
    <n v="0"/>
    <n v="16412.962499999998"/>
    <n v="3025"/>
    <n v="527.9375"/>
    <n v="121298.82499999997"/>
    <n v="14079.912500000002"/>
    <n v="5132.9125000000004"/>
    <n v="0"/>
    <n v="140188.97500000001"/>
    <n v="52117.587499999994"/>
    <n v="0"/>
    <n v="0"/>
    <n v="352784.11250000005"/>
    <n v="7050.8249999999998"/>
    <n v="502.96249999999998"/>
    <n v="0"/>
    <n v="7665.3375000000005"/>
    <n v="705.63749999999993"/>
    <n v="506.47499999999997"/>
    <n v="0"/>
    <n v="72409.887499999997"/>
    <n v="0"/>
    <n v="32632.875"/>
    <n v="121474"/>
    <n v="121474"/>
    <m/>
    <n v="0"/>
    <n v="1615.23"/>
    <n v="2111.08"/>
    <n v="4681.26"/>
    <n v="0"/>
    <n v="16649.34"/>
    <n v="4370.1099999999997"/>
    <n v="0"/>
    <n v="0"/>
    <n v="183.87"/>
    <n v="0"/>
    <n v="2051.9700000000003"/>
    <n v="31662.86"/>
    <n v="0"/>
    <n v="13130.369999999999"/>
    <n v="2420"/>
    <n v="422.35"/>
    <n v="97039.059999999983"/>
    <n v="11263.93"/>
    <n v="4106.33"/>
    <n v="0"/>
    <n v="112151.18"/>
    <n v="41694.07"/>
    <n v="0"/>
    <n v="0"/>
    <n v="282227.28999999998"/>
    <n v="5640.66"/>
    <n v="402.37"/>
    <n v="0"/>
    <n v="6132.27"/>
    <n v="564.51"/>
    <n v="405.18"/>
    <n v="0"/>
    <n v="57927.909999999996"/>
    <n v="0"/>
    <n v="26106.3"/>
    <n v="97179.199999999997"/>
    <n v="97179.199999999997"/>
    <m/>
    <n v="0"/>
    <n v="403.80750000000012"/>
    <n v="527.77"/>
    <n v="1170.3150000000005"/>
    <n v="0"/>
    <n v="4162.3349999999991"/>
    <n v="1092.5275000000001"/>
    <n v="0"/>
    <n v="0"/>
    <n v="45.967500000000001"/>
    <n v="0"/>
    <n v="512.99250000000029"/>
    <n v="7915.7150000000001"/>
    <n v="0"/>
    <n v="3282.5924999999988"/>
    <n v="605"/>
    <n v="105.58749999999998"/>
    <n v="24259.764999999985"/>
    <n v="2815.9825000000019"/>
    <n v="1026.5825000000004"/>
    <n v="0"/>
    <n v="28037.795000000013"/>
    <n v="10423.517499999994"/>
    <n v="0"/>
    <n v="0"/>
    <n v="70556.822499999995"/>
    <n v="1410.165"/>
    <n v="100.59249999999997"/>
    <n v="0"/>
    <n v="1533.0675000000001"/>
    <n v="141.12749999999994"/>
    <n v="101.29499999999996"/>
    <n v="0"/>
    <n v="14481.977500000001"/>
    <n v="0"/>
    <n v="6526.5750000000007"/>
    <n v="24294.800000000003"/>
    <n v="24294.800000000003"/>
    <m/>
    <n v="0"/>
    <n v="0.20000000000000004"/>
    <n v="0.2"/>
    <n v="0.20000000000000007"/>
    <n v="0"/>
    <n v="0.19999999999999996"/>
    <n v="0.20000000000000004"/>
    <n v="0"/>
    <n v="0"/>
    <n v="0.2"/>
    <n v="0"/>
    <n v="0.20000000000000007"/>
    <n v="0.19999999999999998"/>
    <n v="0"/>
    <n v="0.19999999999999996"/>
    <n v="0.2"/>
    <n v="0.19999999999999996"/>
    <n v="0.19999999999999993"/>
    <n v="0.20000000000000009"/>
    <n v="0.20000000000000007"/>
    <n v="0"/>
    <n v="0.20000000000000009"/>
    <n v="0.19999999999999993"/>
    <n v="0"/>
    <n v="0"/>
    <n v="0.19999999999999996"/>
    <n v="0.2"/>
    <n v="0.19999999999999996"/>
    <n v="0"/>
    <n v="0.2"/>
    <n v="0.19999999999999993"/>
    <n v="0.19999999999999993"/>
    <n v="0"/>
    <n v="0.2"/>
    <n v="0"/>
    <n v="0.2"/>
    <n v="0.2"/>
    <n v="0.2"/>
    <m/>
    <n v="0"/>
    <n v="0"/>
    <n v="0"/>
    <n v="0"/>
    <n v="0"/>
    <n v="0"/>
    <n v="0"/>
    <n v="0"/>
    <n v="0"/>
    <n v="0"/>
    <n v="0"/>
    <n v="12941.93"/>
    <n v="12941.93"/>
    <n v="0"/>
    <n v="0"/>
    <n v="0"/>
    <n v="0"/>
    <n v="0"/>
    <n v="0"/>
    <n v="0"/>
    <n v="0"/>
    <n v="0"/>
    <n v="0"/>
    <n v="106858.63"/>
    <n v="0"/>
    <n v="106858.63"/>
    <n v="0"/>
    <n v="0"/>
    <n v="0"/>
    <n v="0"/>
    <n v="7802.8"/>
    <n v="118155.42000000001"/>
    <n v="0"/>
    <n v="0"/>
    <n v="72998.28"/>
    <n v="0"/>
    <n v="198956.5"/>
    <n v="305815.13"/>
    <m/>
    <n v="0"/>
    <n v="2019.0375000000001"/>
    <n v="2638.85"/>
    <n v="5851.5750000000007"/>
    <n v="0"/>
    <n v="20811.674999999999"/>
    <n v="5462.6374999999998"/>
    <n v="0"/>
    <n v="0"/>
    <n v="229.83750000000001"/>
    <n v="0"/>
    <n v="-10376.967499999999"/>
    <n v="26636.645000000004"/>
    <n v="0"/>
    <n v="16412.962499999998"/>
    <n v="3025"/>
    <n v="527.9375"/>
    <n v="121298.82499999997"/>
    <n v="14079.912500000002"/>
    <n v="5132.9125000000004"/>
    <n v="0"/>
    <n v="140188.97500000001"/>
    <n v="52117.587499999994"/>
    <n v="-106858.63"/>
    <n v="0"/>
    <n v="245925.48250000004"/>
    <n v="7050.8249999999998"/>
    <n v="502.96249999999998"/>
    <n v="0"/>
    <n v="7665.3375000000005"/>
    <n v="-7097.1625000000004"/>
    <n v="-117648.94500000001"/>
    <n v="0"/>
    <n v="72409.887499999997"/>
    <n v="-72998.28"/>
    <n v="32632.875"/>
    <n v="-77482.500000000015"/>
    <n v="-184341.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B1808-122A-4016-A1A8-C3644FDADB1C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#">
  <location ref="B5:P8" firstHeaderRow="0" firstDataRow="1" firstDataCol="3"/>
  <pivotFields count="246">
    <pivotField axis="axisRow" outline="0" showAll="0" sortType="descending" defaultSubtotal="0">
      <items count="4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axis="axisRow" showAll="0" sortType="descending">
      <items count="41">
        <item x="24"/>
        <item x="3"/>
        <item x="16"/>
        <item x="28"/>
        <item x="7"/>
        <item x="36"/>
        <item x="19"/>
        <item x="4"/>
        <item x="29"/>
        <item x="20"/>
        <item x="12"/>
        <item x="13"/>
        <item x="1"/>
        <item x="34"/>
        <item x="15"/>
        <item x="37"/>
        <item x="17"/>
        <item x="9"/>
        <item x="5"/>
        <item x="31"/>
        <item x="18"/>
        <item x="33"/>
        <item x="14"/>
        <item x="27"/>
        <item x="10"/>
        <item x="26"/>
        <item x="8"/>
        <item x="30"/>
        <item x="22"/>
        <item x="38"/>
        <item x="0"/>
        <item x="6"/>
        <item x="21"/>
        <item x="32"/>
        <item x="35"/>
        <item x="39"/>
        <item x="23"/>
        <item x="11"/>
        <item x="25"/>
        <item x="2"/>
        <item t="default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axis="axisRow" outline="0" showAll="0" sortType="descending">
      <items count="3">
        <item sd="0" x="0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3"/>
    <field x="0"/>
    <field x="1"/>
  </rowFields>
  <rowItems count="3">
    <i>
      <x v="1"/>
    </i>
    <i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2023 Revenue" fld="21" baseField="1" baseItem="30" numFmtId="41"/>
    <dataField name="2023 Gross Profit ($)" fld="99" baseField="1" baseItem="2" numFmtId="41"/>
    <dataField name="2023 Gross Margin (%) " fld="242" subtotal="product" baseField="1" baseItem="30" numFmtId="9"/>
    <dataField name="2024 Revenue" fld="34" baseField="1" baseItem="30" numFmtId="41"/>
    <dataField name="2024 Gross Profit ($)" fld="112" baseField="1" baseItem="2" numFmtId="41"/>
    <dataField name="2024 Gross Margin (%) " fld="243" subtotal="product" baseField="1" baseItem="31" numFmtId="9"/>
    <dataField name="YTD Oct-25 Revenue" fld="45" baseField="1" baseItem="30" numFmtId="41"/>
    <dataField name="YTD Oct-25 Gross Profit ($)" fld="123" baseField="1" baseItem="2" numFmtId="41"/>
    <dataField name="YTD Oct-25 Gross Margin (%)" fld="244" subtotal="product" baseField="1" baseItem="26" numFmtId="9"/>
    <dataField name="TTM Oct-25 Revenue" fld="46" baseField="1" baseItem="30" numFmtId="41"/>
    <dataField name="TTM Oct-25 Gross Profit ($)" fld="124" baseField="1" baseItem="2" numFmtId="41"/>
    <dataField name="TTM Oct-25 Gross Margin (%)" fld="245" subtotal="product" baseField="1" baseItem="18" numFmtId="9"/>
  </dataFields>
  <formats count="114">
    <format dxfId="684">
      <pivotArea type="all" dataOnly="0" outline="0" fieldPosition="0"/>
    </format>
    <format dxfId="685">
      <pivotArea field="0" type="button" dataOnly="0" labelOnly="1" outline="0" axis="axisRow" fieldPosition="1"/>
    </format>
    <format dxfId="686">
      <pivotArea field="1" type="button" dataOnly="0" labelOnly="1" outline="0" axis="axisRow" fieldPosition="2"/>
    </format>
    <format dxfId="687">
      <pivotArea dataOnly="0" labelOnly="1" fieldPosition="0">
        <references count="1">
          <reference field="0" count="0"/>
        </references>
      </pivotArea>
    </format>
    <format dxfId="688">
      <pivotArea dataOnly="0" labelOnly="1" grandRow="1" outline="0" fieldPosition="0"/>
    </format>
    <format dxfId="689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690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691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692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693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694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695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696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697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698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699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700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701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702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703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704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705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706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707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708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709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710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711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712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713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14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715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716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717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718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719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720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721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722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723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724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725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726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727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728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729">
      <pivotArea type="all" dataOnly="0" outline="0" fieldPosition="0"/>
    </format>
    <format dxfId="730">
      <pivotArea field="0" type="button" dataOnly="0" labelOnly="1" outline="0" axis="axisRow" fieldPosition="1"/>
    </format>
    <format dxfId="731">
      <pivotArea field="1" type="button" dataOnly="0" labelOnly="1" outline="0" axis="axisRow" fieldPosition="2"/>
    </format>
    <format dxfId="732">
      <pivotArea dataOnly="0" labelOnly="1" fieldPosition="0">
        <references count="1">
          <reference field="0" count="0"/>
        </references>
      </pivotArea>
    </format>
    <format dxfId="733">
      <pivotArea dataOnly="0" labelOnly="1" grandRow="1" outline="0" fieldPosition="0"/>
    </format>
    <format dxfId="734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735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736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737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738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739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740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741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742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743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744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745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746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747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748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749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750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751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752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753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754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755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756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757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758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59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760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761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762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763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764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765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766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767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768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769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770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771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772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773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774">
      <pivotArea outline="0" fieldPosition="0">
        <references count="1">
          <reference field="4294967294" count="1">
            <x v="0"/>
          </reference>
        </references>
      </pivotArea>
    </format>
    <format dxfId="775">
      <pivotArea outline="0" fieldPosition="0">
        <references count="1">
          <reference field="4294967294" count="1">
            <x v="3"/>
          </reference>
        </references>
      </pivotArea>
    </format>
    <format dxfId="776">
      <pivotArea outline="0" fieldPosition="0">
        <references count="1">
          <reference field="4294967294" count="1">
            <x v="6"/>
          </reference>
        </references>
      </pivotArea>
    </format>
    <format dxfId="777">
      <pivotArea outline="0" fieldPosition="0">
        <references count="1">
          <reference field="4294967294" count="1">
            <x v="9"/>
          </reference>
        </references>
      </pivotArea>
    </format>
    <format dxfId="778">
      <pivotArea outline="0" fieldPosition="0">
        <references count="1">
          <reference field="4294967294" count="1">
            <x v="1"/>
          </reference>
        </references>
      </pivotArea>
    </format>
    <format dxfId="779">
      <pivotArea outline="0" fieldPosition="0">
        <references count="1">
          <reference field="4294967294" count="1">
            <x v="4"/>
          </reference>
        </references>
      </pivotArea>
    </format>
    <format dxfId="780">
      <pivotArea outline="0" fieldPosition="0">
        <references count="1">
          <reference field="4294967294" count="1">
            <x v="7"/>
          </reference>
        </references>
      </pivotArea>
    </format>
    <format dxfId="781">
      <pivotArea outline="0" fieldPosition="0">
        <references count="1">
          <reference field="4294967294" count="1">
            <x v="10"/>
          </reference>
        </references>
      </pivotArea>
    </format>
    <format dxfId="782">
      <pivotArea outline="0" fieldPosition="0">
        <references count="1">
          <reference field="4294967294" count="1">
            <x v="2"/>
          </reference>
        </references>
      </pivotArea>
    </format>
    <format dxfId="7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84">
      <pivotArea outline="0" fieldPosition="0">
        <references count="1">
          <reference field="4294967294" count="1">
            <x v="5"/>
          </reference>
        </references>
      </pivotArea>
    </format>
    <format dxfId="78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786">
      <pivotArea outline="0" fieldPosition="0">
        <references count="1">
          <reference field="4294967294" count="1">
            <x v="8"/>
          </reference>
        </references>
      </pivotArea>
    </format>
    <format dxfId="787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788">
      <pivotArea outline="0" fieldPosition="0">
        <references count="1">
          <reference field="4294967294" count="1">
            <x v="11"/>
          </reference>
        </references>
      </pivotArea>
    </format>
    <format dxfId="789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79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9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9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9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9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79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796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797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21B1A-B2C0-41B0-B556-AFAE1856DB81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#">
  <location ref="B5:O46" firstHeaderRow="0" firstDataRow="1" firstDataCol="2"/>
  <pivotFields count="246">
    <pivotField axis="axisRow" outline="0" showAll="0" sortType="descending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axis="axisRow" showAll="0" sortType="descending">
      <items count="41">
        <item x="24"/>
        <item x="3"/>
        <item x="16"/>
        <item x="28"/>
        <item x="7"/>
        <item x="36"/>
        <item x="19"/>
        <item x="4"/>
        <item x="29"/>
        <item x="20"/>
        <item x="12"/>
        <item x="13"/>
        <item x="1"/>
        <item x="34"/>
        <item x="15"/>
        <item x="37"/>
        <item x="17"/>
        <item x="9"/>
        <item x="5"/>
        <item x="31"/>
        <item x="18"/>
        <item x="33"/>
        <item x="14"/>
        <item x="27"/>
        <item x="10"/>
        <item x="26"/>
        <item x="8"/>
        <item x="30"/>
        <item x="22"/>
        <item x="38"/>
        <item x="0"/>
        <item x="6"/>
        <item x="21"/>
        <item x="32"/>
        <item x="35"/>
        <item x="39"/>
        <item x="23"/>
        <item x="11"/>
        <item x="25"/>
        <item x="2"/>
        <item t="default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0"/>
    <field x="1"/>
  </rowFields>
  <rowItems count="41">
    <i>
      <x v="22"/>
      <x v="28"/>
    </i>
    <i>
      <x v="33"/>
      <x v="21"/>
    </i>
    <i>
      <x v="8"/>
      <x v="26"/>
    </i>
    <i>
      <x v="31"/>
      <x v="19"/>
    </i>
    <i>
      <x v="16"/>
      <x v="2"/>
    </i>
    <i>
      <x v="25"/>
      <x v="38"/>
    </i>
    <i>
      <x v="39"/>
      <x v="35"/>
    </i>
    <i>
      <x v="11"/>
      <x v="37"/>
    </i>
    <i>
      <x v="36"/>
      <x v="5"/>
    </i>
    <i>
      <x v="14"/>
      <x v="22"/>
    </i>
    <i>
      <x v="37"/>
      <x v="15"/>
    </i>
    <i>
      <x v="35"/>
      <x v="34"/>
    </i>
    <i>
      <x v="34"/>
      <x v="13"/>
    </i>
    <i>
      <x v="23"/>
      <x v="36"/>
    </i>
    <i>
      <x v="24"/>
      <x/>
    </i>
    <i>
      <x v="6"/>
      <x v="31"/>
    </i>
    <i>
      <x v="7"/>
      <x v="4"/>
    </i>
    <i>
      <x v="29"/>
      <x v="8"/>
    </i>
    <i>
      <x v="28"/>
      <x v="3"/>
    </i>
    <i>
      <x v="15"/>
      <x v="14"/>
    </i>
    <i>
      <x v="4"/>
      <x v="7"/>
    </i>
    <i>
      <x v="1"/>
      <x v="12"/>
    </i>
    <i>
      <x/>
      <x v="30"/>
    </i>
    <i>
      <x v="2"/>
      <x v="39"/>
    </i>
    <i>
      <x v="30"/>
      <x v="27"/>
    </i>
    <i>
      <x v="21"/>
      <x v="32"/>
    </i>
    <i>
      <x v="20"/>
      <x v="9"/>
    </i>
    <i>
      <x v="3"/>
      <x v="1"/>
    </i>
    <i>
      <x v="9"/>
      <x v="17"/>
    </i>
    <i>
      <x v="12"/>
      <x v="10"/>
    </i>
    <i>
      <x v="13"/>
      <x v="11"/>
    </i>
    <i>
      <x v="10"/>
      <x v="24"/>
    </i>
    <i>
      <x v="18"/>
      <x v="20"/>
    </i>
    <i>
      <x v="27"/>
      <x v="23"/>
    </i>
    <i>
      <x v="5"/>
      <x v="18"/>
    </i>
    <i>
      <x v="32"/>
      <x v="33"/>
    </i>
    <i>
      <x v="26"/>
      <x v="25"/>
    </i>
    <i>
      <x v="19"/>
      <x v="6"/>
    </i>
    <i>
      <x v="17"/>
      <x v="16"/>
    </i>
    <i>
      <x v="38"/>
      <x v="29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2023 Revenue" fld="21" baseField="1" baseItem="30" numFmtId="41"/>
    <dataField name="2023 Gross Profit ($)" fld="99" baseField="1" baseItem="2" numFmtId="41"/>
    <dataField name="2023 Gross Margin (%) " fld="242" subtotal="product" baseField="1" baseItem="30" numFmtId="9"/>
    <dataField name="2024 Revenue" fld="34" baseField="1" baseItem="30" numFmtId="41"/>
    <dataField name="2024 Gross Profit ($)" fld="112" baseField="1" baseItem="2" numFmtId="41"/>
    <dataField name="2024 Gross Margin (%) " fld="243" subtotal="product" baseField="1" baseItem="31" numFmtId="9"/>
    <dataField name="YTD Oct-25 Revenue" fld="45" baseField="1" baseItem="30" numFmtId="41"/>
    <dataField name="YTD Oct-25 Gross Profit ($)" fld="123" baseField="1" baseItem="2" numFmtId="41"/>
    <dataField name="YTD Oct-25 Gross Margin (%)" fld="244" subtotal="product" baseField="1" baseItem="26" numFmtId="9"/>
    <dataField name="TTM Oct-25 Revenue" fld="46" baseField="1" baseItem="30" numFmtId="41"/>
    <dataField name="TTM Oct-25 Gross Profit ($)" fld="124" baseField="1" baseItem="2" numFmtId="41"/>
    <dataField name="TTM Oct-25 Gross Margin (%)" fld="245" subtotal="product" baseField="1" baseItem="18" numFmtId="9"/>
  </dataFields>
  <formats count="114">
    <format dxfId="1025">
      <pivotArea type="all" dataOnly="0" outline="0" fieldPosition="0"/>
    </format>
    <format dxfId="1024">
      <pivotArea field="0" type="button" dataOnly="0" labelOnly="1" outline="0" axis="axisRow" fieldPosition="0"/>
    </format>
    <format dxfId="1023">
      <pivotArea field="1" type="button" dataOnly="0" labelOnly="1" outline="0" axis="axisRow" fieldPosition="1"/>
    </format>
    <format dxfId="1022">
      <pivotArea dataOnly="0" labelOnly="1" fieldPosition="0">
        <references count="1">
          <reference field="0" count="0"/>
        </references>
      </pivotArea>
    </format>
    <format dxfId="1021">
      <pivotArea dataOnly="0" labelOnly="1" grandRow="1" outline="0" fieldPosition="0"/>
    </format>
    <format dxfId="1020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1019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1018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1017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1016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1015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1014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1013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1012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1011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1010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1009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1008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1007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1006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1005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1004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1003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1002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1001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1000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999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998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997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996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995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994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993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992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991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990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989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988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987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986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985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984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983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982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981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980">
      <pivotArea type="all" dataOnly="0" outline="0" fieldPosition="0"/>
    </format>
    <format dxfId="979">
      <pivotArea field="0" type="button" dataOnly="0" labelOnly="1" outline="0" axis="axisRow" fieldPosition="0"/>
    </format>
    <format dxfId="978">
      <pivotArea field="1" type="button" dataOnly="0" labelOnly="1" outline="0" axis="axisRow" fieldPosition="1"/>
    </format>
    <format dxfId="977">
      <pivotArea dataOnly="0" labelOnly="1" fieldPosition="0">
        <references count="1">
          <reference field="0" count="0"/>
        </references>
      </pivotArea>
    </format>
    <format dxfId="976">
      <pivotArea dataOnly="0" labelOnly="1" grandRow="1" outline="0" fieldPosition="0"/>
    </format>
    <format dxfId="975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974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973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972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971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970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969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968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967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966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965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964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963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962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961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960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959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958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957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956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955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954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953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952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951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950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949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948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947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946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945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944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943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942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941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940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939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938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937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936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935">
      <pivotArea outline="0" fieldPosition="0">
        <references count="1">
          <reference field="4294967294" count="1">
            <x v="0"/>
          </reference>
        </references>
      </pivotArea>
    </format>
    <format dxfId="934">
      <pivotArea outline="0" fieldPosition="0">
        <references count="1">
          <reference field="4294967294" count="1">
            <x v="3"/>
          </reference>
        </references>
      </pivotArea>
    </format>
    <format dxfId="933">
      <pivotArea outline="0" fieldPosition="0">
        <references count="1">
          <reference field="4294967294" count="1">
            <x v="6"/>
          </reference>
        </references>
      </pivotArea>
    </format>
    <format dxfId="932">
      <pivotArea outline="0" fieldPosition="0">
        <references count="1">
          <reference field="4294967294" count="1">
            <x v="9"/>
          </reference>
        </references>
      </pivotArea>
    </format>
    <format dxfId="931">
      <pivotArea outline="0" fieldPosition="0">
        <references count="1">
          <reference field="4294967294" count="1">
            <x v="1"/>
          </reference>
        </references>
      </pivotArea>
    </format>
    <format dxfId="930">
      <pivotArea outline="0" fieldPosition="0">
        <references count="1">
          <reference field="4294967294" count="1">
            <x v="4"/>
          </reference>
        </references>
      </pivotArea>
    </format>
    <format dxfId="929">
      <pivotArea outline="0" fieldPosition="0">
        <references count="1">
          <reference field="4294967294" count="1">
            <x v="7"/>
          </reference>
        </references>
      </pivotArea>
    </format>
    <format dxfId="928">
      <pivotArea outline="0" fieldPosition="0">
        <references count="1">
          <reference field="4294967294" count="1">
            <x v="10"/>
          </reference>
        </references>
      </pivotArea>
    </format>
    <format dxfId="927">
      <pivotArea outline="0" fieldPosition="0">
        <references count="1">
          <reference field="4294967294" count="1">
            <x v="2"/>
          </reference>
        </references>
      </pivotArea>
    </format>
    <format dxfId="9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25">
      <pivotArea outline="0" fieldPosition="0">
        <references count="1">
          <reference field="4294967294" count="1">
            <x v="5"/>
          </reference>
        </references>
      </pivotArea>
    </format>
    <format dxfId="92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923">
      <pivotArea outline="0" fieldPosition="0">
        <references count="1">
          <reference field="4294967294" count="1">
            <x v="8"/>
          </reference>
        </references>
      </pivotArea>
    </format>
    <format dxfId="922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921">
      <pivotArea outline="0" fieldPosition="0">
        <references count="1">
          <reference field="4294967294" count="1">
            <x v="11"/>
          </reference>
        </references>
      </pivotArea>
    </format>
    <format dxfId="920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9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1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1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91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91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91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913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912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DCC2F-BE8D-4E2A-9CCE-FF4D6ACC19E5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#">
  <location ref="B5:P21" firstHeaderRow="0" firstDataRow="1" firstDataCol="3"/>
  <pivotFields count="246">
    <pivotField axis="axisRow" outline="0"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showAll="0">
      <items count="41">
        <item x="24"/>
        <item x="3"/>
        <item x="16"/>
        <item x="28"/>
        <item x="7"/>
        <item x="36"/>
        <item x="19"/>
        <item x="4"/>
        <item x="29"/>
        <item x="20"/>
        <item x="12"/>
        <item x="13"/>
        <item x="1"/>
        <item x="34"/>
        <item x="15"/>
        <item x="37"/>
        <item x="17"/>
        <item x="9"/>
        <item x="5"/>
        <item x="31"/>
        <item x="18"/>
        <item x="33"/>
        <item x="14"/>
        <item x="27"/>
        <item x="10"/>
        <item x="26"/>
        <item x="8"/>
        <item x="30"/>
        <item x="22"/>
        <item x="38"/>
        <item x="0"/>
        <item x="6"/>
        <item x="21"/>
        <item x="32"/>
        <item x="35"/>
        <item x="39"/>
        <item x="23"/>
        <item x="11"/>
        <item x="25"/>
        <item x="2"/>
        <item t="default"/>
      </items>
    </pivotField>
    <pivotField axis="axisRow" outline="0" showAll="0" sortType="descending">
      <items count="16">
        <item sd="0" x="0"/>
        <item sd="0" x="4"/>
        <item sd="0" x="12"/>
        <item sd="0" x="9"/>
        <item sd="0" x="6"/>
        <item sd="0" x="10"/>
        <item sd="0" x="5"/>
        <item sd="0" x="3"/>
        <item sd="0" x="7"/>
        <item sd="0" x="14"/>
        <item sd="0" x="2"/>
        <item sd="0" x="11"/>
        <item sd="0" x="1"/>
        <item sd="0" x="13"/>
        <item sd="0" x="8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2"/>
    <field x="0"/>
    <field x="1"/>
  </rowFields>
  <rowItems count="16">
    <i>
      <x v="4"/>
    </i>
    <i>
      <x v="14"/>
    </i>
    <i>
      <x v="12"/>
    </i>
    <i>
      <x v="2"/>
    </i>
    <i>
      <x/>
    </i>
    <i>
      <x v="5"/>
    </i>
    <i>
      <x v="8"/>
    </i>
    <i>
      <x v="3"/>
    </i>
    <i>
      <x v="1"/>
    </i>
    <i>
      <x v="7"/>
    </i>
    <i>
      <x v="11"/>
    </i>
    <i>
      <x v="9"/>
    </i>
    <i>
      <x v="10"/>
    </i>
    <i>
      <x v="6"/>
    </i>
    <i>
      <x v="1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2023 Revenue" fld="21" baseField="1" baseItem="30" numFmtId="41"/>
    <dataField name="2023 Gross Profit ($)" fld="99" baseField="1" baseItem="2" numFmtId="41"/>
    <dataField name="2023 Gross Margin (%) " fld="242" subtotal="product" baseField="1" baseItem="30" numFmtId="9"/>
    <dataField name="2024 Revenue" fld="34" baseField="1" baseItem="30" numFmtId="41"/>
    <dataField name="2024 Gross Profit ($)" fld="112" baseField="1" baseItem="2" numFmtId="41"/>
    <dataField name="2024 Gross Margin (%) " fld="243" subtotal="product" baseField="1" baseItem="31" numFmtId="9"/>
    <dataField name="YTD Oct-25 Revenue" fld="45" baseField="1" baseItem="30" numFmtId="41"/>
    <dataField name="YTD Oct-25 Gross Profit ($)" fld="123" baseField="1" baseItem="2" numFmtId="41"/>
    <dataField name="YTD Oct-25 Gross Margin (%)" fld="244" subtotal="product" baseField="1" baseItem="26" numFmtId="9"/>
    <dataField name="TTM Oct-25 Revenue" fld="46" baseField="1" baseItem="30" numFmtId="41"/>
    <dataField name="TTM Oct-25 Gross Profit ($)" fld="124" baseField="1" baseItem="2" numFmtId="41"/>
    <dataField name="TTM Oct-25 Gross Margin (%)" fld="245" subtotal="product" baseField="1" baseItem="18" numFmtId="9"/>
  </dataFields>
  <formats count="114">
    <format dxfId="798">
      <pivotArea type="all" dataOnly="0" outline="0" fieldPosition="0"/>
    </format>
    <format dxfId="799">
      <pivotArea field="0" type="button" dataOnly="0" labelOnly="1" outline="0" axis="axisRow" fieldPosition="1"/>
    </format>
    <format dxfId="800">
      <pivotArea field="1" type="button" dataOnly="0" labelOnly="1" outline="0" axis="axisRow" fieldPosition="2"/>
    </format>
    <format dxfId="801">
      <pivotArea dataOnly="0" labelOnly="1" fieldPosition="0">
        <references count="1">
          <reference field="0" count="0"/>
        </references>
      </pivotArea>
    </format>
    <format dxfId="802">
      <pivotArea dataOnly="0" labelOnly="1" grandRow="1" outline="0" fieldPosition="0"/>
    </format>
    <format dxfId="803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804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805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806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807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808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809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810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811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812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813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814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815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816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817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818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819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820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821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822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823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824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825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826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827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28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829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830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831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832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833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834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835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836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837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838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839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840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841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842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843">
      <pivotArea type="all" dataOnly="0" outline="0" fieldPosition="0"/>
    </format>
    <format dxfId="844">
      <pivotArea field="0" type="button" dataOnly="0" labelOnly="1" outline="0" axis="axisRow" fieldPosition="1"/>
    </format>
    <format dxfId="845">
      <pivotArea field="1" type="button" dataOnly="0" labelOnly="1" outline="0" axis="axisRow" fieldPosition="2"/>
    </format>
    <format dxfId="846">
      <pivotArea dataOnly="0" labelOnly="1" fieldPosition="0">
        <references count="1">
          <reference field="0" count="0"/>
        </references>
      </pivotArea>
    </format>
    <format dxfId="847">
      <pivotArea dataOnly="0" labelOnly="1" grandRow="1" outline="0" fieldPosition="0"/>
    </format>
    <format dxfId="848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849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850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851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852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853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854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855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856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857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858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859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860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861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862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863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864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865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866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867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868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869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870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871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872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73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874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875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876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877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878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879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880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881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882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883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884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885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886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887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888">
      <pivotArea outline="0" fieldPosition="0">
        <references count="1">
          <reference field="4294967294" count="1">
            <x v="0"/>
          </reference>
        </references>
      </pivotArea>
    </format>
    <format dxfId="889">
      <pivotArea outline="0" fieldPosition="0">
        <references count="1">
          <reference field="4294967294" count="1">
            <x v="3"/>
          </reference>
        </references>
      </pivotArea>
    </format>
    <format dxfId="890">
      <pivotArea outline="0" fieldPosition="0">
        <references count="1">
          <reference field="4294967294" count="1">
            <x v="6"/>
          </reference>
        </references>
      </pivotArea>
    </format>
    <format dxfId="891">
      <pivotArea outline="0" fieldPosition="0">
        <references count="1">
          <reference field="4294967294" count="1">
            <x v="9"/>
          </reference>
        </references>
      </pivotArea>
    </format>
    <format dxfId="892">
      <pivotArea outline="0" fieldPosition="0">
        <references count="1">
          <reference field="4294967294" count="1">
            <x v="1"/>
          </reference>
        </references>
      </pivotArea>
    </format>
    <format dxfId="893">
      <pivotArea outline="0" fieldPosition="0">
        <references count="1">
          <reference field="4294967294" count="1">
            <x v="4"/>
          </reference>
        </references>
      </pivotArea>
    </format>
    <format dxfId="894">
      <pivotArea outline="0" fieldPosition="0">
        <references count="1">
          <reference field="4294967294" count="1">
            <x v="7"/>
          </reference>
        </references>
      </pivotArea>
    </format>
    <format dxfId="895">
      <pivotArea outline="0" fieldPosition="0">
        <references count="1">
          <reference field="4294967294" count="1">
            <x v="10"/>
          </reference>
        </references>
      </pivotArea>
    </format>
    <format dxfId="896">
      <pivotArea outline="0" fieldPosition="0">
        <references count="1">
          <reference field="4294967294" count="1">
            <x v="2"/>
          </reference>
        </references>
      </pivotArea>
    </format>
    <format dxfId="8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98">
      <pivotArea outline="0" fieldPosition="0">
        <references count="1">
          <reference field="4294967294" count="1">
            <x v="5"/>
          </reference>
        </references>
      </pivotArea>
    </format>
    <format dxfId="89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900">
      <pivotArea outline="0" fieldPosition="0">
        <references count="1">
          <reference field="4294967294" count="1">
            <x v="8"/>
          </reference>
        </references>
      </pivotArea>
    </format>
    <format dxfId="901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902">
      <pivotArea outline="0" fieldPosition="0">
        <references count="1">
          <reference field="4294967294" count="1">
            <x v="11"/>
          </reference>
        </references>
      </pivotArea>
    </format>
    <format dxfId="903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90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0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0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90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90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90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910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911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AB590-C907-4953-9D17-BC99B3B7A0A7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#">
  <location ref="B5:Q16" firstHeaderRow="0" firstDataRow="1" firstDataCol="4"/>
  <pivotFields count="246">
    <pivotField axis="axisRow" outline="0"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showAll="0">
      <items count="41">
        <item x="24"/>
        <item x="3"/>
        <item x="16"/>
        <item x="28"/>
        <item x="7"/>
        <item x="36"/>
        <item x="19"/>
        <item x="4"/>
        <item x="29"/>
        <item x="20"/>
        <item x="12"/>
        <item x="13"/>
        <item x="1"/>
        <item x="34"/>
        <item x="15"/>
        <item x="37"/>
        <item x="17"/>
        <item x="9"/>
        <item x="5"/>
        <item x="31"/>
        <item x="18"/>
        <item x="33"/>
        <item x="14"/>
        <item x="27"/>
        <item x="10"/>
        <item x="26"/>
        <item x="8"/>
        <item x="30"/>
        <item x="22"/>
        <item x="38"/>
        <item x="0"/>
        <item x="6"/>
        <item x="21"/>
        <item x="32"/>
        <item x="35"/>
        <item x="39"/>
        <item x="23"/>
        <item x="11"/>
        <item x="25"/>
        <item x="2"/>
        <item t="default"/>
      </items>
    </pivotField>
    <pivotField axis="axisRow" outline="0" showAll="0" sortType="descending">
      <items count="16">
        <item sd="0" x="0"/>
        <item sd="0" x="4"/>
        <item sd="0" x="12"/>
        <item sd="0" x="9"/>
        <item sd="0" x="6"/>
        <item sd="0" x="10"/>
        <item sd="0" x="5"/>
        <item sd="0" x="3"/>
        <item sd="0" x="7"/>
        <item sd="0" x="14"/>
        <item sd="0" x="2"/>
        <item sd="0" x="11"/>
        <item sd="0" x="1"/>
        <item sd="0" x="13"/>
        <item sd="0" x="8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axis="axisRow" outline="0" showAll="0" sortType="descending">
      <items count="11">
        <item sd="0" x="1"/>
        <item sd="0" x="4"/>
        <item sd="0" x="8"/>
        <item sd="0" x="0"/>
        <item sd="0" x="2"/>
        <item sd="0" x="7"/>
        <item sd="0" x="6"/>
        <item sd="0" x="3"/>
        <item sd="0" x="9"/>
        <item sd="0" x="5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4">
    <field x="4"/>
    <field x="2"/>
    <field x="0"/>
    <field x="1"/>
  </rowFields>
  <rowItems count="11">
    <i>
      <x/>
    </i>
    <i>
      <x v="3"/>
    </i>
    <i>
      <x v="6"/>
    </i>
    <i>
      <x v="4"/>
    </i>
    <i>
      <x v="7"/>
    </i>
    <i>
      <x v="5"/>
    </i>
    <i>
      <x v="2"/>
    </i>
    <i>
      <x v="8"/>
    </i>
    <i>
      <x v="9"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2023 Revenue" fld="21" baseField="1" baseItem="30" numFmtId="41"/>
    <dataField name="2023 Gross Profit ($)" fld="99" baseField="1" baseItem="2" numFmtId="41"/>
    <dataField name="2023 Gross Margin (%) " fld="242" subtotal="product" baseField="1" baseItem="30" numFmtId="9"/>
    <dataField name="2024 Revenue" fld="34" baseField="1" baseItem="30" numFmtId="41"/>
    <dataField name="2024 Gross Profit ($)" fld="112" baseField="1" baseItem="2" numFmtId="41"/>
    <dataField name="2024 Gross Margin (%) " fld="243" subtotal="product" baseField="1" baseItem="31" numFmtId="9"/>
    <dataField name="YTD Oct-25 Revenue" fld="45" baseField="1" baseItem="30" numFmtId="41"/>
    <dataField name="YTD Oct-25 Gross Profit ($)" fld="123" baseField="1" baseItem="2" numFmtId="41"/>
    <dataField name="YTD Oct-25 Gross Margin (%)" fld="244" subtotal="product" baseField="1" baseItem="26" numFmtId="9"/>
    <dataField name="TTM Oct-25 Revenue" fld="46" baseField="1" baseItem="30" numFmtId="41"/>
    <dataField name="TTM Oct-25 Gross Profit ($)" fld="124" baseField="1" baseItem="2" numFmtId="41"/>
    <dataField name="TTM Oct-25 Gross Margin (%)" fld="245" subtotal="product" baseField="1" baseItem="18" numFmtId="9"/>
  </dataFields>
  <formats count="114">
    <format dxfId="570">
      <pivotArea type="all" dataOnly="0" outline="0" fieldPosition="0"/>
    </format>
    <format dxfId="571">
      <pivotArea field="0" type="button" dataOnly="0" labelOnly="1" outline="0" axis="axisRow" fieldPosition="2"/>
    </format>
    <format dxfId="572">
      <pivotArea field="1" type="button" dataOnly="0" labelOnly="1" outline="0" axis="axisRow" fieldPosition="3"/>
    </format>
    <format dxfId="573">
      <pivotArea dataOnly="0" labelOnly="1" fieldPosition="0">
        <references count="1">
          <reference field="0" count="0"/>
        </references>
      </pivotArea>
    </format>
    <format dxfId="574">
      <pivotArea dataOnly="0" labelOnly="1" grandRow="1" outline="0" fieldPosition="0"/>
    </format>
    <format dxfId="575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576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577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578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579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580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581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582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583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584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585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586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587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588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589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590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591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592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593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594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595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596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597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598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599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600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601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602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603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604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605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606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607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608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609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610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611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612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613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614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615">
      <pivotArea type="all" dataOnly="0" outline="0" fieldPosition="0"/>
    </format>
    <format dxfId="616">
      <pivotArea field="0" type="button" dataOnly="0" labelOnly="1" outline="0" axis="axisRow" fieldPosition="2"/>
    </format>
    <format dxfId="617">
      <pivotArea field="1" type="button" dataOnly="0" labelOnly="1" outline="0" axis="axisRow" fieldPosition="3"/>
    </format>
    <format dxfId="618">
      <pivotArea dataOnly="0" labelOnly="1" fieldPosition="0">
        <references count="1">
          <reference field="0" count="0"/>
        </references>
      </pivotArea>
    </format>
    <format dxfId="619">
      <pivotArea dataOnly="0" labelOnly="1" grandRow="1" outline="0" fieldPosition="0"/>
    </format>
    <format dxfId="620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621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622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623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624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625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626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627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628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629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630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631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632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633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634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635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636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637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638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639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640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641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642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643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644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645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646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647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648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649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650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651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652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653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654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655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656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657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658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659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660">
      <pivotArea outline="0" fieldPosition="0">
        <references count="1">
          <reference field="4294967294" count="1">
            <x v="0"/>
          </reference>
        </references>
      </pivotArea>
    </format>
    <format dxfId="661">
      <pivotArea outline="0" fieldPosition="0">
        <references count="1">
          <reference field="4294967294" count="1">
            <x v="3"/>
          </reference>
        </references>
      </pivotArea>
    </format>
    <format dxfId="662">
      <pivotArea outline="0" fieldPosition="0">
        <references count="1">
          <reference field="4294967294" count="1">
            <x v="6"/>
          </reference>
        </references>
      </pivotArea>
    </format>
    <format dxfId="663">
      <pivotArea outline="0" fieldPosition="0">
        <references count="1">
          <reference field="4294967294" count="1">
            <x v="9"/>
          </reference>
        </references>
      </pivotArea>
    </format>
    <format dxfId="664">
      <pivotArea outline="0" fieldPosition="0">
        <references count="1">
          <reference field="4294967294" count="1">
            <x v="1"/>
          </reference>
        </references>
      </pivotArea>
    </format>
    <format dxfId="665">
      <pivotArea outline="0" fieldPosition="0">
        <references count="1">
          <reference field="4294967294" count="1">
            <x v="4"/>
          </reference>
        </references>
      </pivotArea>
    </format>
    <format dxfId="666">
      <pivotArea outline="0" fieldPosition="0">
        <references count="1">
          <reference field="4294967294" count="1">
            <x v="7"/>
          </reference>
        </references>
      </pivotArea>
    </format>
    <format dxfId="667">
      <pivotArea outline="0" fieldPosition="0">
        <references count="1">
          <reference field="4294967294" count="1">
            <x v="10"/>
          </reference>
        </references>
      </pivotArea>
    </format>
    <format dxfId="668">
      <pivotArea outline="0" fieldPosition="0">
        <references count="1">
          <reference field="4294967294" count="1">
            <x v="2"/>
          </reference>
        </references>
      </pivotArea>
    </format>
    <format dxfId="6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70">
      <pivotArea outline="0" fieldPosition="0">
        <references count="1">
          <reference field="4294967294" count="1">
            <x v="5"/>
          </reference>
        </references>
      </pivotArea>
    </format>
    <format dxfId="67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672">
      <pivotArea outline="0" fieldPosition="0">
        <references count="1">
          <reference field="4294967294" count="1">
            <x v="8"/>
          </reference>
        </references>
      </pivotArea>
    </format>
    <format dxfId="673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674">
      <pivotArea outline="0" fieldPosition="0">
        <references count="1">
          <reference field="4294967294" count="1">
            <x v="11"/>
          </reference>
        </references>
      </pivotArea>
    </format>
    <format dxfId="675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67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7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7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7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8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68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82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683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74D44-81A7-4AFC-BA72-74430A3ACA05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#">
  <location ref="B5:Q10" firstHeaderRow="0" firstDataRow="1" firstDataCol="4"/>
  <pivotFields count="246">
    <pivotField axis="axisRow" outline="0"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showAll="0">
      <items count="41">
        <item x="24"/>
        <item x="3"/>
        <item x="16"/>
        <item x="28"/>
        <item x="7"/>
        <item x="36"/>
        <item x="19"/>
        <item x="4"/>
        <item x="29"/>
        <item x="20"/>
        <item x="12"/>
        <item x="13"/>
        <item x="1"/>
        <item x="34"/>
        <item x="15"/>
        <item x="37"/>
        <item x="17"/>
        <item x="9"/>
        <item x="5"/>
        <item x="31"/>
        <item x="18"/>
        <item x="33"/>
        <item x="14"/>
        <item x="27"/>
        <item x="10"/>
        <item x="26"/>
        <item x="8"/>
        <item x="30"/>
        <item x="22"/>
        <item x="38"/>
        <item x="0"/>
        <item x="6"/>
        <item x="21"/>
        <item x="32"/>
        <item x="35"/>
        <item x="39"/>
        <item x="23"/>
        <item x="11"/>
        <item x="25"/>
        <item x="2"/>
        <item t="default"/>
      </items>
    </pivotField>
    <pivotField axis="axisRow" outline="0" showAll="0" sortType="descending">
      <items count="16">
        <item sd="0" x="0"/>
        <item sd="0" x="4"/>
        <item sd="0" x="12"/>
        <item sd="0" x="9"/>
        <item sd="0" x="6"/>
        <item sd="0" x="10"/>
        <item sd="0" x="5"/>
        <item sd="0" x="3"/>
        <item sd="0" x="7"/>
        <item sd="0" x="14"/>
        <item sd="0" x="2"/>
        <item sd="0" x="11"/>
        <item sd="0" x="1"/>
        <item sd="0" x="13"/>
        <item sd="0" x="8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outline="0" showAll="0" sortType="descending">
      <items count="11">
        <item sd="0" x="1"/>
        <item sd="0" x="4"/>
        <item sd="0" x="8"/>
        <item sd="0" x="0"/>
        <item sd="0" x="2"/>
        <item sd="0" x="7"/>
        <item sd="0" x="6"/>
        <item sd="0" x="3"/>
        <item sd="0" x="9"/>
        <item sd="0" x="5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axis="axisRow" outline="0" showAll="0" sortType="descending">
      <items count="5">
        <item sd="0" x="2"/>
        <item sd="0" x="0"/>
        <item sd="0" x="3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4">
    <field x="5"/>
    <field x="2"/>
    <field x="0"/>
    <field x="1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2023 Revenue" fld="21" baseField="1" baseItem="30" numFmtId="41"/>
    <dataField name="2023 Gross Profit ($)" fld="99" baseField="1" baseItem="2" numFmtId="41"/>
    <dataField name="2023 Gross Margin (%) " fld="242" subtotal="product" baseField="1" baseItem="30" numFmtId="9"/>
    <dataField name="2024 Revenue" fld="34" baseField="1" baseItem="30" numFmtId="41"/>
    <dataField name="2024 Gross Profit ($)" fld="112" baseField="1" baseItem="2" numFmtId="41"/>
    <dataField name="2024 Gross Margin (%) " fld="243" subtotal="product" baseField="1" baseItem="31" numFmtId="9"/>
    <dataField name="YTD Oct-25 Revenue" fld="45" baseField="1" baseItem="30" numFmtId="41"/>
    <dataField name="YTD Oct-25 Gross Profit ($)" fld="123" baseField="1" baseItem="2" numFmtId="41"/>
    <dataField name="YTD Oct-25 Gross Margin (%)" fld="244" subtotal="product" baseField="1" baseItem="26" numFmtId="9"/>
    <dataField name="TTM Oct-25 Revenue" fld="46" baseField="1" baseItem="30" numFmtId="41"/>
    <dataField name="TTM Oct-25 Gross Profit ($)" fld="124" baseField="1" baseItem="2" numFmtId="41"/>
    <dataField name="TTM Oct-25 Gross Margin (%)" fld="245" subtotal="product" baseField="1" baseItem="18" numFmtId="9"/>
  </dataFields>
  <formats count="114">
    <format dxfId="456">
      <pivotArea type="all" dataOnly="0" outline="0" fieldPosition="0"/>
    </format>
    <format dxfId="457">
      <pivotArea field="0" type="button" dataOnly="0" labelOnly="1" outline="0" axis="axisRow" fieldPosition="2"/>
    </format>
    <format dxfId="458">
      <pivotArea field="1" type="button" dataOnly="0" labelOnly="1" outline="0" axis="axisRow" fieldPosition="3"/>
    </format>
    <format dxfId="459">
      <pivotArea dataOnly="0" labelOnly="1" fieldPosition="0">
        <references count="1">
          <reference field="0" count="0"/>
        </references>
      </pivotArea>
    </format>
    <format dxfId="460">
      <pivotArea dataOnly="0" labelOnly="1" grandRow="1" outline="0" fieldPosition="0"/>
    </format>
    <format dxfId="461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462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463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464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465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466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467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468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469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470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471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472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473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474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475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476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477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478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479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480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481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482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483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484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485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486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487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488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489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490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491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492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493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494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495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496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497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498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499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500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501">
      <pivotArea type="all" dataOnly="0" outline="0" fieldPosition="0"/>
    </format>
    <format dxfId="502">
      <pivotArea field="0" type="button" dataOnly="0" labelOnly="1" outline="0" axis="axisRow" fieldPosition="2"/>
    </format>
    <format dxfId="503">
      <pivotArea field="1" type="button" dataOnly="0" labelOnly="1" outline="0" axis="axisRow" fieldPosition="3"/>
    </format>
    <format dxfId="504">
      <pivotArea dataOnly="0" labelOnly="1" fieldPosition="0">
        <references count="1">
          <reference field="0" count="0"/>
        </references>
      </pivotArea>
    </format>
    <format dxfId="505">
      <pivotArea dataOnly="0" labelOnly="1" grandRow="1" outline="0" fieldPosition="0"/>
    </format>
    <format dxfId="506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507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508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509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510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511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512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513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514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515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516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517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518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519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520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521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522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523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524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525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526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527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528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529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530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531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532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533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534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535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536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537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538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539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540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541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542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543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544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545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546">
      <pivotArea outline="0" fieldPosition="0">
        <references count="1">
          <reference field="4294967294" count="1">
            <x v="0"/>
          </reference>
        </references>
      </pivotArea>
    </format>
    <format dxfId="547">
      <pivotArea outline="0" fieldPosition="0">
        <references count="1">
          <reference field="4294967294" count="1">
            <x v="3"/>
          </reference>
        </references>
      </pivotArea>
    </format>
    <format dxfId="548">
      <pivotArea outline="0" fieldPosition="0">
        <references count="1">
          <reference field="4294967294" count="1">
            <x v="6"/>
          </reference>
        </references>
      </pivotArea>
    </format>
    <format dxfId="549">
      <pivotArea outline="0" fieldPosition="0">
        <references count="1">
          <reference field="4294967294" count="1">
            <x v="9"/>
          </reference>
        </references>
      </pivotArea>
    </format>
    <format dxfId="550">
      <pivotArea outline="0" fieldPosition="0">
        <references count="1">
          <reference field="4294967294" count="1">
            <x v="1"/>
          </reference>
        </references>
      </pivotArea>
    </format>
    <format dxfId="551">
      <pivotArea outline="0" fieldPosition="0">
        <references count="1">
          <reference field="4294967294" count="1">
            <x v="4"/>
          </reference>
        </references>
      </pivotArea>
    </format>
    <format dxfId="552">
      <pivotArea outline="0" fieldPosition="0">
        <references count="1">
          <reference field="4294967294" count="1">
            <x v="7"/>
          </reference>
        </references>
      </pivotArea>
    </format>
    <format dxfId="553">
      <pivotArea outline="0" fieldPosition="0">
        <references count="1">
          <reference field="4294967294" count="1">
            <x v="10"/>
          </reference>
        </references>
      </pivotArea>
    </format>
    <format dxfId="554">
      <pivotArea outline="0" fieldPosition="0">
        <references count="1">
          <reference field="4294967294" count="1">
            <x v="2"/>
          </reference>
        </references>
      </pivotArea>
    </format>
    <format dxfId="55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56">
      <pivotArea outline="0" fieldPosition="0">
        <references count="1">
          <reference field="4294967294" count="1">
            <x v="5"/>
          </reference>
        </references>
      </pivotArea>
    </format>
    <format dxfId="55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58">
      <pivotArea outline="0" fieldPosition="0">
        <references count="1">
          <reference field="4294967294" count="1">
            <x v="8"/>
          </reference>
        </references>
      </pivotArea>
    </format>
    <format dxfId="559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560">
      <pivotArea outline="0" fieldPosition="0">
        <references count="1">
          <reference field="4294967294" count="1">
            <x v="11"/>
          </reference>
        </references>
      </pivotArea>
    </format>
    <format dxfId="561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56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6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6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6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6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56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68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569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32B12-F076-41C6-8FE0-712EFD22B8B1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#">
  <location ref="B5:R8" firstHeaderRow="0" firstDataRow="1" firstDataCol="5"/>
  <pivotFields count="246">
    <pivotField axis="axisRow" outline="0" showAll="0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showAll="0">
      <items count="41">
        <item x="24"/>
        <item x="3"/>
        <item x="16"/>
        <item x="28"/>
        <item x="7"/>
        <item x="36"/>
        <item x="19"/>
        <item x="4"/>
        <item x="29"/>
        <item x="20"/>
        <item x="12"/>
        <item x="13"/>
        <item x="1"/>
        <item x="34"/>
        <item x="15"/>
        <item x="37"/>
        <item x="17"/>
        <item x="9"/>
        <item x="5"/>
        <item x="31"/>
        <item x="18"/>
        <item x="33"/>
        <item x="14"/>
        <item x="27"/>
        <item x="10"/>
        <item x="26"/>
        <item x="8"/>
        <item x="30"/>
        <item x="22"/>
        <item x="38"/>
        <item x="0"/>
        <item x="6"/>
        <item x="21"/>
        <item x="32"/>
        <item x="35"/>
        <item x="39"/>
        <item x="23"/>
        <item x="11"/>
        <item x="25"/>
        <item x="2"/>
        <item t="default"/>
      </items>
    </pivotField>
    <pivotField axis="axisRow" outline="0" showAll="0" sortType="descending">
      <items count="16">
        <item sd="0" x="0"/>
        <item sd="0" x="4"/>
        <item sd="0" x="12"/>
        <item sd="0" x="9"/>
        <item sd="0" x="6"/>
        <item sd="0" x="10"/>
        <item sd="0" x="5"/>
        <item sd="0" x="3"/>
        <item sd="0" x="7"/>
        <item sd="0" x="14"/>
        <item sd="0" x="2"/>
        <item sd="0" x="11"/>
        <item sd="0" x="1"/>
        <item sd="0" x="13"/>
        <item sd="0" x="8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axis="axisRow" outline="0" showAll="0" sortType="descending">
      <items count="11">
        <item sd="0" x="1"/>
        <item sd="0" x="4"/>
        <item sd="0" x="8"/>
        <item sd="0" x="0"/>
        <item sd="0" x="2"/>
        <item sd="0" x="7"/>
        <item sd="0" x="6"/>
        <item sd="0" x="3"/>
        <item sd="0" x="9"/>
        <item sd="0" x="5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outline="0" showAll="0" sortType="descending">
      <items count="5">
        <item sd="0" x="2"/>
        <item sd="0" x="0"/>
        <item sd="0" x="3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axis="axisRow" outline="0" showAll="0">
      <items count="3">
        <item sd="0" x="0"/>
        <item sd="0" x="1"/>
        <item t="default" sd="0"/>
      </items>
    </pivotField>
    <pivotField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numFmtId="41" showAll="0"/>
    <pivotField dataField="1" numFmtId="41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numFmtId="4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5">
    <field x="6"/>
    <field x="4"/>
    <field x="2"/>
    <field x="0"/>
    <field x="1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2023 Revenue" fld="21" baseField="1" baseItem="30" numFmtId="41"/>
    <dataField name="2023 Gross Profit ($)" fld="99" baseField="1" baseItem="2" numFmtId="41"/>
    <dataField name="2023 Gross Margin (%) " fld="242" subtotal="product" baseField="1" baseItem="30" numFmtId="9"/>
    <dataField name="2024 Revenue" fld="34" baseField="1" baseItem="30" numFmtId="41"/>
    <dataField name="2024 Gross Profit ($)" fld="112" baseField="1" baseItem="2" numFmtId="41"/>
    <dataField name="2024 Gross Margin (%) " fld="243" subtotal="product" baseField="1" baseItem="31" numFmtId="9"/>
    <dataField name="YTD Oct-25 Revenue" fld="45" baseField="1" baseItem="30" numFmtId="41"/>
    <dataField name="YTD Oct-25 Gross Profit ($)" fld="123" baseField="1" baseItem="2" numFmtId="41"/>
    <dataField name="YTD Oct-25 Gross Margin (%)" fld="244" subtotal="product" baseField="1" baseItem="26" numFmtId="9"/>
    <dataField name="TTM Oct-25 Revenue" fld="46" baseField="1" baseItem="30" numFmtId="41"/>
    <dataField name="TTM Oct-25 Gross Profit ($)" fld="124" baseField="1" baseItem="2" numFmtId="41"/>
    <dataField name="TTM Oct-25 Gross Margin (%)" fld="245" subtotal="product" baseField="1" baseItem="18" numFmtId="9"/>
  </dataFields>
  <formats count="114">
    <format dxfId="342">
      <pivotArea type="all" dataOnly="0" outline="0" fieldPosition="0"/>
    </format>
    <format dxfId="343">
      <pivotArea field="0" type="button" dataOnly="0" labelOnly="1" outline="0" axis="axisRow" fieldPosition="3"/>
    </format>
    <format dxfId="344">
      <pivotArea field="1" type="button" dataOnly="0" labelOnly="1" outline="0" axis="axisRow" fieldPosition="4"/>
    </format>
    <format dxfId="345">
      <pivotArea dataOnly="0" labelOnly="1" fieldPosition="0">
        <references count="1">
          <reference field="0" count="0"/>
        </references>
      </pivotArea>
    </format>
    <format dxfId="346">
      <pivotArea dataOnly="0" labelOnly="1" grandRow="1" outline="0" fieldPosition="0"/>
    </format>
    <format dxfId="347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348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349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350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351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352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353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354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355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356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357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358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359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360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361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362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363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364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365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366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367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368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369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370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371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372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373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374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375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376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377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378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379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380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381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382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383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384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385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386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387">
      <pivotArea type="all" dataOnly="0" outline="0" fieldPosition="0"/>
    </format>
    <format dxfId="388">
      <pivotArea field="0" type="button" dataOnly="0" labelOnly="1" outline="0" axis="axisRow" fieldPosition="3"/>
    </format>
    <format dxfId="389">
      <pivotArea field="1" type="button" dataOnly="0" labelOnly="1" outline="0" axis="axisRow" fieldPosition="4"/>
    </format>
    <format dxfId="390">
      <pivotArea dataOnly="0" labelOnly="1" fieldPosition="0">
        <references count="1">
          <reference field="0" count="0"/>
        </references>
      </pivotArea>
    </format>
    <format dxfId="391">
      <pivotArea dataOnly="0" labelOnly="1" grandRow="1" outline="0" fieldPosition="0"/>
    </format>
    <format dxfId="392">
      <pivotArea dataOnly="0" labelOnly="1" fieldPosition="0">
        <references count="2">
          <reference field="0" count="1" selected="0">
            <x v="0"/>
          </reference>
          <reference field="1" count="1">
            <x v="30"/>
          </reference>
        </references>
      </pivotArea>
    </format>
    <format dxfId="393">
      <pivotArea dataOnly="0" labelOnly="1" fieldPosition="0">
        <references count="2">
          <reference field="0" count="1" selected="0">
            <x v="1"/>
          </reference>
          <reference field="1" count="1">
            <x v="12"/>
          </reference>
        </references>
      </pivotArea>
    </format>
    <format dxfId="394">
      <pivotArea dataOnly="0" labelOnly="1" fieldPosition="0">
        <references count="2">
          <reference field="0" count="1" selected="0">
            <x v="2"/>
          </reference>
          <reference field="1" count="1">
            <x v="39"/>
          </reference>
        </references>
      </pivotArea>
    </format>
    <format dxfId="395">
      <pivotArea dataOnly="0" labelOnly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396">
      <pivotArea dataOnly="0" labelOnly="1" fieldPosition="0">
        <references count="2">
          <reference field="0" count="1" selected="0">
            <x v="4"/>
          </reference>
          <reference field="1" count="1">
            <x v="7"/>
          </reference>
        </references>
      </pivotArea>
    </format>
    <format dxfId="397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398">
      <pivotArea dataOnly="0" labelOnly="1" fieldPosition="0">
        <references count="2">
          <reference field="0" count="1" selected="0">
            <x v="6"/>
          </reference>
          <reference field="1" count="1">
            <x v="31"/>
          </reference>
        </references>
      </pivotArea>
    </format>
    <format dxfId="399">
      <pivotArea dataOnly="0" labelOnly="1" fieldPosition="0">
        <references count="2">
          <reference field="0" count="1" selected="0">
            <x v="7"/>
          </reference>
          <reference field="1" count="1">
            <x v="4"/>
          </reference>
        </references>
      </pivotArea>
    </format>
    <format dxfId="400">
      <pivotArea dataOnly="0" labelOnly="1" fieldPosition="0">
        <references count="2">
          <reference field="0" count="1" selected="0">
            <x v="8"/>
          </reference>
          <reference field="1" count="1">
            <x v="26"/>
          </reference>
        </references>
      </pivotArea>
    </format>
    <format dxfId="401">
      <pivotArea dataOnly="0" labelOnly="1" fieldPosition="0">
        <references count="2">
          <reference field="0" count="1" selected="0">
            <x v="9"/>
          </reference>
          <reference field="1" count="1">
            <x v="17"/>
          </reference>
        </references>
      </pivotArea>
    </format>
    <format dxfId="402">
      <pivotArea dataOnly="0" labelOnly="1" fieldPosition="0">
        <references count="2">
          <reference field="0" count="1" selected="0">
            <x v="10"/>
          </reference>
          <reference field="1" count="1">
            <x v="24"/>
          </reference>
        </references>
      </pivotArea>
    </format>
    <format dxfId="403">
      <pivotArea dataOnly="0" labelOnly="1" fieldPosition="0">
        <references count="2">
          <reference field="0" count="1" selected="0">
            <x v="11"/>
          </reference>
          <reference field="1" count="1">
            <x v="37"/>
          </reference>
        </references>
      </pivotArea>
    </format>
    <format dxfId="404">
      <pivotArea dataOnly="0" labelOnly="1" fieldPosition="0">
        <references count="2">
          <reference field="0" count="1" selected="0">
            <x v="12"/>
          </reference>
          <reference field="1" count="1">
            <x v="10"/>
          </reference>
        </references>
      </pivotArea>
    </format>
    <format dxfId="405">
      <pivotArea dataOnly="0" labelOnly="1" fieldPosition="0">
        <references count="2">
          <reference field="0" count="1" selected="0">
            <x v="13"/>
          </reference>
          <reference field="1" count="1">
            <x v="11"/>
          </reference>
        </references>
      </pivotArea>
    </format>
    <format dxfId="406">
      <pivotArea dataOnly="0" labelOnly="1" fieldPosition="0">
        <references count="2">
          <reference field="0" count="1" selected="0">
            <x v="14"/>
          </reference>
          <reference field="1" count="1">
            <x v="22"/>
          </reference>
        </references>
      </pivotArea>
    </format>
    <format dxfId="407">
      <pivotArea dataOnly="0" labelOnly="1" fieldPosition="0">
        <references count="2">
          <reference field="0" count="1" selected="0">
            <x v="15"/>
          </reference>
          <reference field="1" count="1">
            <x v="14"/>
          </reference>
        </references>
      </pivotArea>
    </format>
    <format dxfId="408">
      <pivotArea dataOnly="0" labelOnly="1" fieldPosition="0">
        <references count="2">
          <reference field="0" count="1" selected="0">
            <x v="16"/>
          </reference>
          <reference field="1" count="1">
            <x v="2"/>
          </reference>
        </references>
      </pivotArea>
    </format>
    <format dxfId="409">
      <pivotArea dataOnly="0" labelOnly="1" fieldPosition="0">
        <references count="2">
          <reference field="0" count="1" selected="0">
            <x v="17"/>
          </reference>
          <reference field="1" count="1">
            <x v="16"/>
          </reference>
        </references>
      </pivotArea>
    </format>
    <format dxfId="410">
      <pivotArea dataOnly="0" labelOnly="1" fieldPosition="0">
        <references count="2">
          <reference field="0" count="1" selected="0">
            <x v="18"/>
          </reference>
          <reference field="1" count="1">
            <x v="20"/>
          </reference>
        </references>
      </pivotArea>
    </format>
    <format dxfId="411">
      <pivotArea dataOnly="0" labelOnly="1" fieldPosition="0">
        <references count="2">
          <reference field="0" count="1" selected="0">
            <x v="19"/>
          </reference>
          <reference field="1" count="1">
            <x v="6"/>
          </reference>
        </references>
      </pivotArea>
    </format>
    <format dxfId="412">
      <pivotArea dataOnly="0" labelOnly="1" fieldPosition="0">
        <references count="2">
          <reference field="0" count="1" selected="0">
            <x v="20"/>
          </reference>
          <reference field="1" count="1">
            <x v="9"/>
          </reference>
        </references>
      </pivotArea>
    </format>
    <format dxfId="413">
      <pivotArea dataOnly="0" labelOnly="1" fieldPosition="0">
        <references count="2">
          <reference field="0" count="1" selected="0">
            <x v="21"/>
          </reference>
          <reference field="1" count="1">
            <x v="32"/>
          </reference>
        </references>
      </pivotArea>
    </format>
    <format dxfId="414">
      <pivotArea dataOnly="0" labelOnly="1" fieldPosition="0">
        <references count="2">
          <reference field="0" count="1" selected="0">
            <x v="22"/>
          </reference>
          <reference field="1" count="1">
            <x v="28"/>
          </reference>
        </references>
      </pivotArea>
    </format>
    <format dxfId="415">
      <pivotArea dataOnly="0" labelOnly="1" fieldPosition="0">
        <references count="2">
          <reference field="0" count="1" selected="0">
            <x v="23"/>
          </reference>
          <reference field="1" count="1">
            <x v="36"/>
          </reference>
        </references>
      </pivotArea>
    </format>
    <format dxfId="416">
      <pivotArea dataOnly="0" labelOnly="1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417">
      <pivotArea dataOnly="0" labelOnly="1" fieldPosition="0">
        <references count="2">
          <reference field="0" count="1" selected="0">
            <x v="25"/>
          </reference>
          <reference field="1" count="1">
            <x v="38"/>
          </reference>
        </references>
      </pivotArea>
    </format>
    <format dxfId="418">
      <pivotArea dataOnly="0" labelOnly="1" fieldPosition="0">
        <references count="2">
          <reference field="0" count="1" selected="0">
            <x v="26"/>
          </reference>
          <reference field="1" count="1">
            <x v="25"/>
          </reference>
        </references>
      </pivotArea>
    </format>
    <format dxfId="419">
      <pivotArea dataOnly="0" labelOnly="1" fieldPosition="0">
        <references count="2">
          <reference field="0" count="1" selected="0">
            <x v="27"/>
          </reference>
          <reference field="1" count="1">
            <x v="23"/>
          </reference>
        </references>
      </pivotArea>
    </format>
    <format dxfId="420">
      <pivotArea dataOnly="0" labelOnly="1" fieldPosition="0">
        <references count="2">
          <reference field="0" count="1" selected="0">
            <x v="28"/>
          </reference>
          <reference field="1" count="1">
            <x v="3"/>
          </reference>
        </references>
      </pivotArea>
    </format>
    <format dxfId="421">
      <pivotArea dataOnly="0" labelOnly="1" fieldPosition="0">
        <references count="2">
          <reference field="0" count="1" selected="0">
            <x v="29"/>
          </reference>
          <reference field="1" count="1">
            <x v="8"/>
          </reference>
        </references>
      </pivotArea>
    </format>
    <format dxfId="422">
      <pivotArea dataOnly="0" labelOnly="1" fieldPosition="0">
        <references count="2">
          <reference field="0" count="1" selected="0">
            <x v="30"/>
          </reference>
          <reference field="1" count="1">
            <x v="27"/>
          </reference>
        </references>
      </pivotArea>
    </format>
    <format dxfId="423">
      <pivotArea dataOnly="0" labelOnly="1" fieldPosition="0">
        <references count="2">
          <reference field="0" count="1" selected="0">
            <x v="31"/>
          </reference>
          <reference field="1" count="1">
            <x v="19"/>
          </reference>
        </references>
      </pivotArea>
    </format>
    <format dxfId="424">
      <pivotArea dataOnly="0" labelOnly="1" fieldPosition="0">
        <references count="2">
          <reference field="0" count="1" selected="0">
            <x v="32"/>
          </reference>
          <reference field="1" count="1">
            <x v="33"/>
          </reference>
        </references>
      </pivotArea>
    </format>
    <format dxfId="425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426">
      <pivotArea dataOnly="0" labelOnly="1" fieldPosition="0">
        <references count="2">
          <reference field="0" count="1" selected="0">
            <x v="34"/>
          </reference>
          <reference field="1" count="1">
            <x v="13"/>
          </reference>
        </references>
      </pivotArea>
    </format>
    <format dxfId="427">
      <pivotArea dataOnly="0" labelOnly="1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428">
      <pivotArea dataOnly="0" labelOnly="1" fieldPosition="0">
        <references count="2">
          <reference field="0" count="1" selected="0">
            <x v="36"/>
          </reference>
          <reference field="1" count="1">
            <x v="5"/>
          </reference>
        </references>
      </pivotArea>
    </format>
    <format dxfId="429">
      <pivotArea dataOnly="0" labelOnly="1" fieldPosition="0">
        <references count="2">
          <reference field="0" count="1" selected="0">
            <x v="37"/>
          </reference>
          <reference field="1" count="1">
            <x v="15"/>
          </reference>
        </references>
      </pivotArea>
    </format>
    <format dxfId="430">
      <pivotArea dataOnly="0" labelOnly="1" fieldPosition="0">
        <references count="2">
          <reference field="0" count="1" selected="0">
            <x v="38"/>
          </reference>
          <reference field="1" count="1">
            <x v="29"/>
          </reference>
        </references>
      </pivotArea>
    </format>
    <format dxfId="431">
      <pivotArea dataOnly="0" labelOnly="1" fieldPosition="0">
        <references count="2">
          <reference field="0" count="1" selected="0">
            <x v="39"/>
          </reference>
          <reference field="1" count="1">
            <x v="35"/>
          </reference>
        </references>
      </pivotArea>
    </format>
    <format dxfId="432">
      <pivotArea outline="0" fieldPosition="0">
        <references count="1">
          <reference field="4294967294" count="1">
            <x v="0"/>
          </reference>
        </references>
      </pivotArea>
    </format>
    <format dxfId="433">
      <pivotArea outline="0" fieldPosition="0">
        <references count="1">
          <reference field="4294967294" count="1">
            <x v="3"/>
          </reference>
        </references>
      </pivotArea>
    </format>
    <format dxfId="434">
      <pivotArea outline="0" fieldPosition="0">
        <references count="1">
          <reference field="4294967294" count="1">
            <x v="6"/>
          </reference>
        </references>
      </pivotArea>
    </format>
    <format dxfId="435">
      <pivotArea outline="0" fieldPosition="0">
        <references count="1">
          <reference field="4294967294" count="1">
            <x v="9"/>
          </reference>
        </references>
      </pivotArea>
    </format>
    <format dxfId="436">
      <pivotArea outline="0" fieldPosition="0">
        <references count="1">
          <reference field="4294967294" count="1">
            <x v="1"/>
          </reference>
        </references>
      </pivotArea>
    </format>
    <format dxfId="437">
      <pivotArea outline="0" fieldPosition="0">
        <references count="1">
          <reference field="4294967294" count="1">
            <x v="4"/>
          </reference>
        </references>
      </pivotArea>
    </format>
    <format dxfId="438">
      <pivotArea outline="0" fieldPosition="0">
        <references count="1">
          <reference field="4294967294" count="1">
            <x v="7"/>
          </reference>
        </references>
      </pivotArea>
    </format>
    <format dxfId="439">
      <pivotArea outline="0" fieldPosition="0">
        <references count="1">
          <reference field="4294967294" count="1">
            <x v="10"/>
          </reference>
        </references>
      </pivotArea>
    </format>
    <format dxfId="440">
      <pivotArea outline="0" fieldPosition="0">
        <references count="1">
          <reference field="4294967294" count="1">
            <x v="2"/>
          </reference>
        </references>
      </pivotArea>
    </format>
    <format dxfId="4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2">
      <pivotArea outline="0" fieldPosition="0">
        <references count="1">
          <reference field="4294967294" count="1">
            <x v="5"/>
          </reference>
        </references>
      </pivotArea>
    </format>
    <format dxfId="44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44">
      <pivotArea outline="0" fieldPosition="0">
        <references count="1">
          <reference field="4294967294" count="1">
            <x v="8"/>
          </reference>
        </references>
      </pivotArea>
    </format>
    <format dxfId="445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446">
      <pivotArea outline="0" fieldPosition="0">
        <references count="1">
          <reference field="4294967294" count="1">
            <x v="11"/>
          </reference>
        </references>
      </pivotArea>
    </format>
    <format dxfId="447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44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4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5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5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52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45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54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455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F3DB-68A1-48F4-8AB2-5640325C636A}">
  <sheetPr>
    <tabColor theme="1"/>
  </sheetPr>
  <dimension ref="A1"/>
  <sheetViews>
    <sheetView showGridLines="0" workbookViewId="0"/>
  </sheetViews>
  <sheetFormatPr defaultRowHeight="12" x14ac:dyDescent="0.2"/>
  <cols>
    <col min="1" max="16384" width="9.140625" style="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CEFA-C1D5-489C-B032-B488B02400F9}">
  <dimension ref="B2:AT134"/>
  <sheetViews>
    <sheetView showGridLines="0" tabSelected="1" workbookViewId="0">
      <pane xSplit="4" ySplit="6" topLeftCell="Q7" activePane="bottomRight" state="frozen"/>
      <selection pane="topRight" activeCell="E1" sqref="E1"/>
      <selection pane="bottomLeft" activeCell="A7" sqref="A7"/>
      <selection pane="bottomRight" activeCell="B5" sqref="B5"/>
    </sheetView>
  </sheetViews>
  <sheetFormatPr defaultRowHeight="12" outlineLevelRow="1" outlineLevelCol="1" x14ac:dyDescent="0.2"/>
  <cols>
    <col min="1" max="1" width="1.7109375" style="4" customWidth="1"/>
    <col min="2" max="2" width="21.42578125" style="4" customWidth="1"/>
    <col min="3" max="3" width="9.140625" style="4"/>
    <col min="4" max="4" width="1.7109375" style="4" customWidth="1"/>
    <col min="5" max="16" width="9.140625" style="4" hidden="1" customWidth="1" outlineLevel="1"/>
    <col min="17" max="17" width="9.140625" style="4" collapsed="1"/>
    <col min="18" max="29" width="9.140625" style="4" hidden="1" customWidth="1" outlineLevel="1"/>
    <col min="30" max="30" width="9.140625" style="4" collapsed="1"/>
    <col min="31" max="40" width="9.140625" style="4" customWidth="1" outlineLevel="1"/>
    <col min="41" max="43" width="9.140625" style="4"/>
    <col min="44" max="44" width="0" style="4" hidden="1" customWidth="1" outlineLevel="1"/>
    <col min="45" max="45" width="9.140625" style="4" collapsed="1"/>
    <col min="46" max="16384" width="9.140625" style="4"/>
  </cols>
  <sheetData>
    <row r="2" spans="2:46" x14ac:dyDescent="0.2">
      <c r="Q2" s="183"/>
      <c r="AD2" s="183"/>
      <c r="AO2" s="183"/>
      <c r="AP2" s="183"/>
    </row>
    <row r="3" spans="2:46" ht="12.75" thickBo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5" spans="2:46" x14ac:dyDescent="0.2">
      <c r="B5" s="2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 t="s">
        <v>63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6" t="s">
        <v>63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6" t="s">
        <v>64</v>
      </c>
      <c r="AP5" s="36" t="s">
        <v>65</v>
      </c>
    </row>
    <row r="6" spans="2:46" x14ac:dyDescent="0.2">
      <c r="B6" s="24" t="s">
        <v>68</v>
      </c>
      <c r="C6" s="5"/>
      <c r="D6" s="5"/>
      <c r="E6" s="7">
        <v>44957</v>
      </c>
      <c r="F6" s="7">
        <f>EOMONTH(E6,1)</f>
        <v>44985</v>
      </c>
      <c r="G6" s="7">
        <f t="shared" ref="G6:P6" si="0">EOMONTH(F6,1)</f>
        <v>45016</v>
      </c>
      <c r="H6" s="7">
        <f t="shared" si="0"/>
        <v>45046</v>
      </c>
      <c r="I6" s="7">
        <f t="shared" si="0"/>
        <v>45077</v>
      </c>
      <c r="J6" s="7">
        <f t="shared" si="0"/>
        <v>45107</v>
      </c>
      <c r="K6" s="7">
        <f t="shared" si="0"/>
        <v>45138</v>
      </c>
      <c r="L6" s="7">
        <f t="shared" si="0"/>
        <v>45169</v>
      </c>
      <c r="M6" s="7">
        <f t="shared" si="0"/>
        <v>45199</v>
      </c>
      <c r="N6" s="7">
        <f t="shared" si="0"/>
        <v>45230</v>
      </c>
      <c r="O6" s="7">
        <f t="shared" si="0"/>
        <v>45260</v>
      </c>
      <c r="P6" s="7">
        <f t="shared" si="0"/>
        <v>45291</v>
      </c>
      <c r="Q6" s="6">
        <f>YEAR(P6)</f>
        <v>2023</v>
      </c>
      <c r="R6" s="7">
        <f>EOMONTH(P6,1)</f>
        <v>45322</v>
      </c>
      <c r="S6" s="7">
        <f>EOMONTH(R6,1)</f>
        <v>45351</v>
      </c>
      <c r="T6" s="7">
        <f t="shared" ref="T6:AC6" si="1">EOMONTH(S6,1)</f>
        <v>45382</v>
      </c>
      <c r="U6" s="7">
        <f t="shared" si="1"/>
        <v>45412</v>
      </c>
      <c r="V6" s="7">
        <f t="shared" si="1"/>
        <v>45443</v>
      </c>
      <c r="W6" s="7">
        <f t="shared" si="1"/>
        <v>45473</v>
      </c>
      <c r="X6" s="7">
        <f t="shared" si="1"/>
        <v>45504</v>
      </c>
      <c r="Y6" s="7">
        <f t="shared" si="1"/>
        <v>45535</v>
      </c>
      <c r="Z6" s="7">
        <f t="shared" si="1"/>
        <v>45565</v>
      </c>
      <c r="AA6" s="7">
        <f t="shared" si="1"/>
        <v>45596</v>
      </c>
      <c r="AB6" s="7">
        <f t="shared" si="1"/>
        <v>45626</v>
      </c>
      <c r="AC6" s="7">
        <f t="shared" si="1"/>
        <v>45657</v>
      </c>
      <c r="AD6" s="6">
        <f>YEAR(AC6)</f>
        <v>2024</v>
      </c>
      <c r="AE6" s="7">
        <f>EOMONTH(AC6,1)</f>
        <v>45688</v>
      </c>
      <c r="AF6" s="7">
        <f>EOMONTH(AE6,1)</f>
        <v>45716</v>
      </c>
      <c r="AG6" s="7">
        <f t="shared" ref="AG6:AN6" si="2">EOMONTH(AF6,1)</f>
        <v>45747</v>
      </c>
      <c r="AH6" s="7">
        <f t="shared" si="2"/>
        <v>45777</v>
      </c>
      <c r="AI6" s="7">
        <f t="shared" si="2"/>
        <v>45808</v>
      </c>
      <c r="AJ6" s="7">
        <f t="shared" si="2"/>
        <v>45838</v>
      </c>
      <c r="AK6" s="7">
        <f t="shared" si="2"/>
        <v>45869</v>
      </c>
      <c r="AL6" s="7">
        <f t="shared" si="2"/>
        <v>45900</v>
      </c>
      <c r="AM6" s="7">
        <f t="shared" si="2"/>
        <v>45930</v>
      </c>
      <c r="AN6" s="7">
        <f t="shared" si="2"/>
        <v>45961</v>
      </c>
      <c r="AO6" s="8">
        <f>+AN6</f>
        <v>45961</v>
      </c>
      <c r="AP6" s="37">
        <f>+AO6</f>
        <v>45961</v>
      </c>
      <c r="AR6" s="4" t="s">
        <v>62</v>
      </c>
    </row>
    <row r="7" spans="2:46" ht="5.0999999999999996" customHeight="1" x14ac:dyDescent="0.2">
      <c r="B7" s="25"/>
      <c r="Q7" s="17"/>
      <c r="AD7" s="17"/>
      <c r="AO7" s="17"/>
      <c r="AP7" s="17"/>
    </row>
    <row r="8" spans="2:46" x14ac:dyDescent="0.2">
      <c r="B8" s="26" t="s">
        <v>66</v>
      </c>
      <c r="Q8" s="17"/>
      <c r="AD8" s="17"/>
      <c r="AO8" s="17"/>
      <c r="AP8" s="17"/>
    </row>
    <row r="9" spans="2:46" x14ac:dyDescent="0.2">
      <c r="B9" s="27" t="str">
        <f>+AR9</f>
        <v>Fire Sprinkler Installation</v>
      </c>
      <c r="C9" s="10"/>
      <c r="D9" s="10"/>
      <c r="E9" s="19">
        <f>SUMIF('Income Statement Source'!$C:$C,'1. Income Statement'!$AR9,'Income Statement Source'!G:G)/1000</f>
        <v>94.66261999999999</v>
      </c>
      <c r="F9" s="19">
        <f>SUMIF('Income Statement Source'!$C:$C,'1. Income Statement'!$AR9,'Income Statement Source'!H:H)/1000</f>
        <v>97.621039999999994</v>
      </c>
      <c r="G9" s="19">
        <f>SUMIF('Income Statement Source'!$C:$C,'1. Income Statement'!$AR9,'Income Statement Source'!I:I)/1000</f>
        <v>109.05163</v>
      </c>
      <c r="H9" s="19">
        <f>SUMIF('Income Statement Source'!$C:$C,'1. Income Statement'!$AR9,'Income Statement Source'!J:J)/1000</f>
        <v>116.69817</v>
      </c>
      <c r="I9" s="19">
        <f>SUMIF('Income Statement Source'!$C:$C,'1. Income Statement'!$AR9,'Income Statement Source'!K:K)/1000</f>
        <v>129.38949</v>
      </c>
      <c r="J9" s="19">
        <f>SUMIF('Income Statement Source'!$C:$C,'1. Income Statement'!$AR9,'Income Statement Source'!L:L)/1000</f>
        <v>139.20879000000002</v>
      </c>
      <c r="K9" s="19">
        <f>SUMIF('Income Statement Source'!$C:$C,'1. Income Statement'!$AR9,'Income Statement Source'!M:M)/1000</f>
        <v>128.77655000000001</v>
      </c>
      <c r="L9" s="19">
        <f>SUMIF('Income Statement Source'!$C:$C,'1. Income Statement'!$AR9,'Income Statement Source'!N:N)/1000</f>
        <v>121.31438</v>
      </c>
      <c r="M9" s="19">
        <f>SUMIF('Income Statement Source'!$C:$C,'1. Income Statement'!$AR9,'Income Statement Source'!O:O)/1000</f>
        <v>132.06496999999999</v>
      </c>
      <c r="N9" s="19">
        <f>SUMIF('Income Statement Source'!$C:$C,'1. Income Statement'!$AR9,'Income Statement Source'!P:P)/1000</f>
        <v>115.39684</v>
      </c>
      <c r="O9" s="19">
        <f>SUMIF('Income Statement Source'!$C:$C,'1. Income Statement'!$AR9,'Income Statement Source'!Q:Q)/1000</f>
        <v>92.353070000000002</v>
      </c>
      <c r="P9" s="19">
        <f>SUMIF('Income Statement Source'!$C:$C,'1. Income Statement'!$AR9,'Income Statement Source'!R:R)/1000</f>
        <v>99.500059999999991</v>
      </c>
      <c r="Q9" s="21">
        <f>SUM(E9:P9)</f>
        <v>1376.0376100000001</v>
      </c>
      <c r="R9" s="19">
        <f>SUMIF('Income Statement Source'!$C:$C,'1. Income Statement'!$AR9,'Income Statement Source'!T:T)/1000</f>
        <v>121.5151</v>
      </c>
      <c r="S9" s="19">
        <f>SUMIF('Income Statement Source'!$C:$C,'1. Income Statement'!$AR9,'Income Statement Source'!U:U)/1000</f>
        <v>125.70488</v>
      </c>
      <c r="T9" s="19">
        <f>SUMIF('Income Statement Source'!$C:$C,'1. Income Statement'!$AR9,'Income Statement Source'!V:V)/1000</f>
        <v>139.28441000000001</v>
      </c>
      <c r="U9" s="19">
        <f>SUMIF('Income Statement Source'!$C:$C,'1. Income Statement'!$AR9,'Income Statement Source'!W:W)/1000</f>
        <v>169.39376000000001</v>
      </c>
      <c r="V9" s="19">
        <f>SUMIF('Income Statement Source'!$C:$C,'1. Income Statement'!$AR9,'Income Statement Source'!X:X)/1000</f>
        <v>179.57191</v>
      </c>
      <c r="W9" s="19">
        <f>SUMIF('Income Statement Source'!$C:$C,'1. Income Statement'!$AR9,'Income Statement Source'!Y:Y)/1000</f>
        <v>205.64962</v>
      </c>
      <c r="X9" s="19">
        <f>SUMIF('Income Statement Source'!$C:$C,'1. Income Statement'!$AR9,'Income Statement Source'!Z:Z)/1000</f>
        <v>206.52218999999999</v>
      </c>
      <c r="Y9" s="19">
        <f>SUMIF('Income Statement Source'!$C:$C,'1. Income Statement'!$AR9,'Income Statement Source'!AA:AA)/1000</f>
        <v>204.16749999999999</v>
      </c>
      <c r="Z9" s="19">
        <f>SUMIF('Income Statement Source'!$C:$C,'1. Income Statement'!$AR9,'Income Statement Source'!AB:AB)/1000</f>
        <v>172.58198000000002</v>
      </c>
      <c r="AA9" s="19">
        <f>SUMIF('Income Statement Source'!$C:$C,'1. Income Statement'!$AR9,'Income Statement Source'!AC:AC)/1000</f>
        <v>149.03407999999999</v>
      </c>
      <c r="AB9" s="19">
        <f>SUMIF('Income Statement Source'!$C:$C,'1. Income Statement'!$AR9,'Income Statement Source'!AD:AD)/1000</f>
        <v>150.49910999999997</v>
      </c>
      <c r="AC9" s="19">
        <f>SUMIF('Income Statement Source'!$C:$C,'1. Income Statement'!$AR9,'Income Statement Source'!AE:AE)/1000</f>
        <v>122.23012</v>
      </c>
      <c r="AD9" s="21">
        <f>SUM(R9:AC9)</f>
        <v>1946.1546599999999</v>
      </c>
      <c r="AE9" s="19">
        <f>SUMIF('Income Statement Source'!$C:$C,'1. Income Statement'!$AR9,'Income Statement Source'!AG:AG)/1000</f>
        <v>127.52364</v>
      </c>
      <c r="AF9" s="19">
        <f>SUMIF('Income Statement Source'!$C:$C,'1. Income Statement'!$AR9,'Income Statement Source'!AH:AH)/1000</f>
        <v>128.71096</v>
      </c>
      <c r="AG9" s="19">
        <f>SUMIF('Income Statement Source'!$C:$C,'1. Income Statement'!$AR9,'Income Statement Source'!AI:AI)/1000</f>
        <v>154.37442999999999</v>
      </c>
      <c r="AH9" s="19">
        <f>SUMIF('Income Statement Source'!$C:$C,'1. Income Statement'!$AR9,'Income Statement Source'!AJ:AJ)/1000</f>
        <v>180.38214000000002</v>
      </c>
      <c r="AI9" s="19">
        <f>SUMIF('Income Statement Source'!$C:$C,'1. Income Statement'!$AR9,'Income Statement Source'!AK:AK)/1000</f>
        <v>173.05318</v>
      </c>
      <c r="AJ9" s="19">
        <f>SUMIF('Income Statement Source'!$C:$C,'1. Income Statement'!$AR9,'Income Statement Source'!AL:AL)/1000</f>
        <v>206.02639000000002</v>
      </c>
      <c r="AK9" s="19">
        <f>SUMIF('Income Statement Source'!$C:$C,'1. Income Statement'!$AR9,'Income Statement Source'!AM:AM)/1000</f>
        <v>204.11107999999999</v>
      </c>
      <c r="AL9" s="19">
        <f>SUMIF('Income Statement Source'!$C:$C,'1. Income Statement'!$AR9,'Income Statement Source'!AN:AN)/1000</f>
        <v>179.90498000000002</v>
      </c>
      <c r="AM9" s="19">
        <f>SUMIF('Income Statement Source'!$C:$C,'1. Income Statement'!$AR9,'Income Statement Source'!AO:AO)/1000</f>
        <v>193.30510999999998</v>
      </c>
      <c r="AN9" s="19">
        <f>SUMIF('Income Statement Source'!$C:$C,'1. Income Statement'!$AR9,'Income Statement Source'!AP:AP)/1000</f>
        <v>176.64857000000001</v>
      </c>
      <c r="AO9" s="21">
        <f>SUM(AE9:AN9)</f>
        <v>1724.0404800000001</v>
      </c>
      <c r="AP9" s="21">
        <f>SUM(AO9,AB9:AC9)</f>
        <v>1996.76971</v>
      </c>
      <c r="AR9" s="4" t="s">
        <v>5</v>
      </c>
    </row>
    <row r="10" spans="2:46" x14ac:dyDescent="0.2">
      <c r="B10" s="28"/>
      <c r="C10" s="10"/>
      <c r="D10" s="10"/>
      <c r="E10" s="45">
        <f>IFERROR(E9/E$19,0)</f>
        <v>0.49828720487985795</v>
      </c>
      <c r="F10" s="45">
        <f t="shared" ref="F10:AP10" si="3">IFERROR(F9/F$19,0)</f>
        <v>0.42951932275177712</v>
      </c>
      <c r="G10" s="45">
        <f t="shared" si="3"/>
        <v>0.35450625655993373</v>
      </c>
      <c r="H10" s="45">
        <f t="shared" si="3"/>
        <v>0.4511925530951193</v>
      </c>
      <c r="I10" s="45">
        <f t="shared" si="3"/>
        <v>0.47608695820150504</v>
      </c>
      <c r="J10" s="45">
        <f t="shared" si="3"/>
        <v>0.3780227178937296</v>
      </c>
      <c r="K10" s="45">
        <f t="shared" si="3"/>
        <v>0.42571240224559226</v>
      </c>
      <c r="L10" s="45">
        <f t="shared" si="3"/>
        <v>0.43760640141194845</v>
      </c>
      <c r="M10" s="45">
        <f t="shared" si="3"/>
        <v>0.37276996699249831</v>
      </c>
      <c r="N10" s="45">
        <f t="shared" si="3"/>
        <v>0.43194704977700965</v>
      </c>
      <c r="O10" s="45">
        <f t="shared" si="3"/>
        <v>0.40992576839551198</v>
      </c>
      <c r="P10" s="45">
        <f t="shared" si="3"/>
        <v>0.29343081639835511</v>
      </c>
      <c r="Q10" s="46">
        <f t="shared" si="3"/>
        <v>0.40602029673624934</v>
      </c>
      <c r="R10" s="45">
        <f t="shared" si="3"/>
        <v>0.60005326230639022</v>
      </c>
      <c r="S10" s="45">
        <f t="shared" si="3"/>
        <v>0.48683056328330887</v>
      </c>
      <c r="T10" s="45">
        <f t="shared" si="3"/>
        <v>0.39471296904474834</v>
      </c>
      <c r="U10" s="45">
        <f t="shared" si="3"/>
        <v>0.52985275024820944</v>
      </c>
      <c r="V10" s="45">
        <f t="shared" si="3"/>
        <v>0.52808661904732923</v>
      </c>
      <c r="W10" s="45">
        <f t="shared" si="3"/>
        <v>0.46989711073636564</v>
      </c>
      <c r="X10" s="45">
        <f t="shared" si="3"/>
        <v>0.55650483852544164</v>
      </c>
      <c r="Y10" s="45">
        <f t="shared" si="3"/>
        <v>0.53575005742779824</v>
      </c>
      <c r="Z10" s="45">
        <f t="shared" si="3"/>
        <v>0.43351149602377459</v>
      </c>
      <c r="AA10" s="45">
        <f t="shared" si="3"/>
        <v>0.48816306578058799</v>
      </c>
      <c r="AB10" s="45">
        <f t="shared" si="3"/>
        <v>0.5141809730254282</v>
      </c>
      <c r="AC10" s="45">
        <f t="shared" si="3"/>
        <v>0.31308104229169259</v>
      </c>
      <c r="AD10" s="46">
        <f t="shared" si="3"/>
        <v>0.48056975555961806</v>
      </c>
      <c r="AE10" s="45">
        <f t="shared" si="3"/>
        <v>0.60026062014867498</v>
      </c>
      <c r="AF10" s="45">
        <f t="shared" si="3"/>
        <v>0.45551935029714713</v>
      </c>
      <c r="AG10" s="45">
        <f t="shared" si="3"/>
        <v>0.40449297918124916</v>
      </c>
      <c r="AH10" s="45">
        <f t="shared" si="3"/>
        <v>0.51695294958596405</v>
      </c>
      <c r="AI10" s="45">
        <f t="shared" si="3"/>
        <v>0.50058078453061683</v>
      </c>
      <c r="AJ10" s="45">
        <f t="shared" si="3"/>
        <v>0.43613980444641354</v>
      </c>
      <c r="AK10" s="45">
        <f t="shared" si="3"/>
        <v>0.53008493312384553</v>
      </c>
      <c r="AL10" s="45">
        <f t="shared" si="3"/>
        <v>0.50829100258571414</v>
      </c>
      <c r="AM10" s="45">
        <f t="shared" si="3"/>
        <v>0.44211107604200972</v>
      </c>
      <c r="AN10" s="45">
        <f t="shared" si="3"/>
        <v>0.52223099003203299</v>
      </c>
      <c r="AO10" s="46">
        <f t="shared" si="3"/>
        <v>0.48453101087821343</v>
      </c>
      <c r="AP10" s="46">
        <f t="shared" si="3"/>
        <v>0.47079517036898144</v>
      </c>
      <c r="AT10" s="182"/>
    </row>
    <row r="11" spans="2:46" x14ac:dyDescent="0.2">
      <c r="B11" s="29" t="str">
        <f>+AR11</f>
        <v>Fire Alarm Installation</v>
      </c>
      <c r="E11" s="20">
        <f>SUMIF('Income Statement Source'!$C:$C,'1. Income Statement'!$AR11,'Income Statement Source'!G:G)/1000</f>
        <v>77.60896000000001</v>
      </c>
      <c r="F11" s="20">
        <f>SUMIF('Income Statement Source'!$C:$C,'1. Income Statement'!$AR11,'Income Statement Source'!H:H)/1000</f>
        <v>86.547800000000009</v>
      </c>
      <c r="G11" s="20">
        <f>SUMIF('Income Statement Source'!$C:$C,'1. Income Statement'!$AR11,'Income Statement Source'!I:I)/1000</f>
        <v>84.034520000000001</v>
      </c>
      <c r="H11" s="20">
        <f>SUMIF('Income Statement Source'!$C:$C,'1. Income Statement'!$AR11,'Income Statement Source'!J:J)/1000</f>
        <v>100.14304</v>
      </c>
      <c r="I11" s="20">
        <f>SUMIF('Income Statement Source'!$C:$C,'1. Income Statement'!$AR11,'Income Statement Source'!K:K)/1000</f>
        <v>101.76325999999999</v>
      </c>
      <c r="J11" s="20">
        <f>SUMIF('Income Statement Source'!$C:$C,'1. Income Statement'!$AR11,'Income Statement Source'!L:L)/1000</f>
        <v>116.44295</v>
      </c>
      <c r="K11" s="20">
        <f>SUMIF('Income Statement Source'!$C:$C,'1. Income Statement'!$AR11,'Income Statement Source'!M:M)/1000</f>
        <v>129.76729</v>
      </c>
      <c r="L11" s="20">
        <f>SUMIF('Income Statement Source'!$C:$C,'1. Income Statement'!$AR11,'Income Statement Source'!N:N)/1000</f>
        <v>114.08083999999999</v>
      </c>
      <c r="M11" s="20">
        <f>SUMIF('Income Statement Source'!$C:$C,'1. Income Statement'!$AR11,'Income Statement Source'!O:O)/1000</f>
        <v>107.71489</v>
      </c>
      <c r="N11" s="20">
        <f>SUMIF('Income Statement Source'!$C:$C,'1. Income Statement'!$AR11,'Income Statement Source'!P:P)/1000</f>
        <v>108.33409</v>
      </c>
      <c r="O11" s="20">
        <f>SUMIF('Income Statement Source'!$C:$C,'1. Income Statement'!$AR11,'Income Statement Source'!Q:Q)/1000</f>
        <v>89.036940000000001</v>
      </c>
      <c r="P11" s="20">
        <f>SUMIF('Income Statement Source'!$C:$C,'1. Income Statement'!$AR11,'Income Statement Source'!R:R)/1000</f>
        <v>77.219560000000001</v>
      </c>
      <c r="Q11" s="22">
        <f>SUM(E11:P11)</f>
        <v>1192.6941399999998</v>
      </c>
      <c r="R11" s="20">
        <f>SUMIF('Income Statement Source'!$C:$C,'1. Income Statement'!$AR11,'Income Statement Source'!T:T)/1000</f>
        <v>85.347549999999998</v>
      </c>
      <c r="S11" s="20">
        <f>SUMIF('Income Statement Source'!$C:$C,'1. Income Statement'!$AR11,'Income Statement Source'!U:U)/1000</f>
        <v>86.647639999999996</v>
      </c>
      <c r="T11" s="20">
        <f>SUMIF('Income Statement Source'!$C:$C,'1. Income Statement'!$AR11,'Income Statement Source'!V:V)/1000</f>
        <v>94.090940000000003</v>
      </c>
      <c r="U11" s="20">
        <f>SUMIF('Income Statement Source'!$C:$C,'1. Income Statement'!$AR11,'Income Statement Source'!W:W)/1000</f>
        <v>105.72794999999999</v>
      </c>
      <c r="V11" s="20">
        <f>SUMIF('Income Statement Source'!$C:$C,'1. Income Statement'!$AR11,'Income Statement Source'!X:X)/1000</f>
        <v>117.38177</v>
      </c>
      <c r="W11" s="20">
        <f>SUMIF('Income Statement Source'!$C:$C,'1. Income Statement'!$AR11,'Income Statement Source'!Y:Y)/1000</f>
        <v>119.70302000000001</v>
      </c>
      <c r="X11" s="20">
        <f>SUMIF('Income Statement Source'!$C:$C,'1. Income Statement'!$AR11,'Income Statement Source'!Z:Z)/1000</f>
        <v>117.26527</v>
      </c>
      <c r="Y11" s="20">
        <f>SUMIF('Income Statement Source'!$C:$C,'1. Income Statement'!$AR11,'Income Statement Source'!AA:AA)/1000</f>
        <v>130.83706000000001</v>
      </c>
      <c r="Z11" s="20">
        <f>SUMIF('Income Statement Source'!$C:$C,'1. Income Statement'!$AR11,'Income Statement Source'!AB:AB)/1000</f>
        <v>108.45174</v>
      </c>
      <c r="AA11" s="20">
        <f>SUMIF('Income Statement Source'!$C:$C,'1. Income Statement'!$AR11,'Income Statement Source'!AC:AC)/1000</f>
        <v>113.57406</v>
      </c>
      <c r="AB11" s="20">
        <f>SUMIF('Income Statement Source'!$C:$C,'1. Income Statement'!$AR11,'Income Statement Source'!AD:AD)/1000</f>
        <v>98.336740000000006</v>
      </c>
      <c r="AC11" s="20">
        <f>SUMIF('Income Statement Source'!$C:$C,'1. Income Statement'!$AR11,'Income Statement Source'!AE:AE)/1000</f>
        <v>93.0428</v>
      </c>
      <c r="AD11" s="22">
        <f>SUM(R11:AC11)</f>
        <v>1270.4065399999997</v>
      </c>
      <c r="AE11" s="20">
        <f>SUMIF('Income Statement Source'!$C:$C,'1. Income Statement'!$AR11,'Income Statement Source'!AG:AG)/1000</f>
        <v>88.38627000000001</v>
      </c>
      <c r="AF11" s="20">
        <f>SUMIF('Income Statement Source'!$C:$C,'1. Income Statement'!$AR11,'Income Statement Source'!AH:AH)/1000</f>
        <v>97.323350000000005</v>
      </c>
      <c r="AG11" s="20">
        <f>SUMIF('Income Statement Source'!$C:$C,'1. Income Statement'!$AR11,'Income Statement Source'!AI:AI)/1000</f>
        <v>95.141469999999998</v>
      </c>
      <c r="AH11" s="20">
        <f>SUMIF('Income Statement Source'!$C:$C,'1. Income Statement'!$AR11,'Income Statement Source'!AJ:AJ)/1000</f>
        <v>113.54869000000001</v>
      </c>
      <c r="AI11" s="20">
        <f>SUMIF('Income Statement Source'!$C:$C,'1. Income Statement'!$AR11,'Income Statement Source'!AK:AK)/1000</f>
        <v>116.15574000000001</v>
      </c>
      <c r="AJ11" s="20">
        <f>SUMIF('Income Statement Source'!$C:$C,'1. Income Statement'!$AR11,'Income Statement Source'!AL:AL)/1000</f>
        <v>132.59604999999999</v>
      </c>
      <c r="AK11" s="20">
        <f>SUMIF('Income Statement Source'!$C:$C,'1. Income Statement'!$AR11,'Income Statement Source'!AM:AM)/1000</f>
        <v>126.67882</v>
      </c>
      <c r="AL11" s="20">
        <f>SUMIF('Income Statement Source'!$C:$C,'1. Income Statement'!$AR11,'Income Statement Source'!AN:AN)/1000</f>
        <v>120.13104</v>
      </c>
      <c r="AM11" s="20">
        <f>SUMIF('Income Statement Source'!$C:$C,'1. Income Statement'!$AR11,'Income Statement Source'!AO:AO)/1000</f>
        <v>116.06038000000001</v>
      </c>
      <c r="AN11" s="20">
        <f>SUMIF('Income Statement Source'!$C:$C,'1. Income Statement'!$AR11,'Income Statement Source'!AP:AP)/1000</f>
        <v>104.13039999999999</v>
      </c>
      <c r="AO11" s="22">
        <f>SUM(AE11:AN11)</f>
        <v>1110.15221</v>
      </c>
      <c r="AP11" s="22">
        <f>SUM(AO11,AB11:AC11)</f>
        <v>1301.5317499999999</v>
      </c>
      <c r="AR11" s="4" t="s">
        <v>6</v>
      </c>
    </row>
    <row r="12" spans="2:46" x14ac:dyDescent="0.2">
      <c r="B12" s="25"/>
      <c r="E12" s="47">
        <f>IFERROR(E11/E$19,0)</f>
        <v>0.40851977002150064</v>
      </c>
      <c r="F12" s="47">
        <f t="shared" ref="F12" si="4">IFERROR(F11/F$19,0)</f>
        <v>0.38079857007932166</v>
      </c>
      <c r="G12" s="47">
        <f t="shared" ref="G12" si="5">IFERROR(G11/G$19,0)</f>
        <v>0.2731803560112846</v>
      </c>
      <c r="H12" s="47">
        <f t="shared" ref="H12" si="6">IFERROR(H11/H$19,0)</f>
        <v>0.38718511089168456</v>
      </c>
      <c r="I12" s="47">
        <f t="shared" ref="I12" si="7">IFERROR(I11/I$19,0)</f>
        <v>0.37443660153594305</v>
      </c>
      <c r="J12" s="47">
        <f t="shared" ref="J12" si="8">IFERROR(J11/J$19,0)</f>
        <v>0.31620187517299486</v>
      </c>
      <c r="K12" s="47">
        <f t="shared" ref="K12" si="9">IFERROR(K11/K$19,0)</f>
        <v>0.42898761271986569</v>
      </c>
      <c r="L12" s="47">
        <f t="shared" ref="L12" si="10">IFERROR(L11/L$19,0)</f>
        <v>0.41151350616845478</v>
      </c>
      <c r="M12" s="47">
        <f t="shared" ref="M12" si="11">IFERROR(M11/M$19,0)</f>
        <v>0.3040388074892274</v>
      </c>
      <c r="N12" s="47">
        <f t="shared" ref="N12" si="12">IFERROR(N11/N$19,0)</f>
        <v>0.40551015578742922</v>
      </c>
      <c r="O12" s="47">
        <f t="shared" ref="O12" si="13">IFERROR(O11/O$19,0)</f>
        <v>0.39520652691984243</v>
      </c>
      <c r="P12" s="47">
        <f t="shared" ref="P12" si="14">IFERROR(P11/P$19,0)</f>
        <v>0.22772447104777391</v>
      </c>
      <c r="Q12" s="48">
        <f t="shared" ref="Q12" si="15">IFERROR(Q11/Q$19,0)</f>
        <v>0.35192208782606282</v>
      </c>
      <c r="R12" s="47">
        <f t="shared" ref="R12" si="16">IFERROR(R11/R$19,0)</f>
        <v>0.42145441848262272</v>
      </c>
      <c r="S12" s="47">
        <f t="shared" ref="S12" si="17">IFERROR(S11/S$19,0)</f>
        <v>0.33556946546839994</v>
      </c>
      <c r="T12" s="47">
        <f t="shared" ref="T12" si="18">IFERROR(T11/T$19,0)</f>
        <v>0.26664085584030023</v>
      </c>
      <c r="U12" s="47">
        <f t="shared" ref="U12" si="19">IFERROR(U11/U$19,0)</f>
        <v>0.33071020494264469</v>
      </c>
      <c r="V12" s="47">
        <f t="shared" ref="V12" si="20">IFERROR(V11/V$19,0)</f>
        <v>0.34519731987642843</v>
      </c>
      <c r="W12" s="47">
        <f t="shared" ref="W12" si="21">IFERROR(W11/W$19,0)</f>
        <v>0.27351425810763669</v>
      </c>
      <c r="X12" s="47">
        <f t="shared" ref="X12" si="22">IFERROR(X11/X$19,0)</f>
        <v>0.31598875716934977</v>
      </c>
      <c r="Y12" s="47">
        <f t="shared" ref="Y12" si="23">IFERROR(Y11/Y$19,0)</f>
        <v>0.34332576148840677</v>
      </c>
      <c r="Z12" s="47">
        <f t="shared" ref="Z12" si="24">IFERROR(Z11/Z$19,0)</f>
        <v>0.27242169810417888</v>
      </c>
      <c r="AA12" s="47">
        <f t="shared" ref="AA12" si="25">IFERROR(AA11/AA$19,0)</f>
        <v>0.37201330945746403</v>
      </c>
      <c r="AB12" s="47">
        <f t="shared" ref="AB12" si="26">IFERROR(AB11/AB$19,0)</f>
        <v>0.33596797122154781</v>
      </c>
      <c r="AC12" s="47">
        <f t="shared" ref="AC12" si="27">IFERROR(AC11/AC$19,0)</f>
        <v>0.2383204467257129</v>
      </c>
      <c r="AD12" s="48">
        <f t="shared" ref="AD12" si="28">IFERROR(AD11/AD$19,0)</f>
        <v>0.31370526348051908</v>
      </c>
      <c r="AE12" s="47">
        <f t="shared" ref="AE12" si="29">IFERROR(AE11/AE$19,0)</f>
        <v>0.41603891829646827</v>
      </c>
      <c r="AF12" s="47">
        <f t="shared" ref="AF12" si="30">IFERROR(AF11/AF$19,0)</f>
        <v>0.34443585193321424</v>
      </c>
      <c r="AG12" s="47">
        <f t="shared" ref="AG12" si="31">IFERROR(AG11/AG$19,0)</f>
        <v>0.24929035620719989</v>
      </c>
      <c r="AH12" s="47">
        <f t="shared" ref="AH12" si="32">IFERROR(AH11/AH$19,0)</f>
        <v>0.32541653080023475</v>
      </c>
      <c r="AI12" s="47">
        <f t="shared" ref="AI12" si="33">IFERROR(AI11/AI$19,0)</f>
        <v>0.33599689677435779</v>
      </c>
      <c r="AJ12" s="47">
        <f t="shared" ref="AJ12" si="34">IFERROR(AJ11/AJ$19,0)</f>
        <v>0.28069421260726291</v>
      </c>
      <c r="AK12" s="47">
        <f t="shared" ref="AK12" si="35">IFERROR(AK11/AK$19,0)</f>
        <v>0.32899014511072927</v>
      </c>
      <c r="AL12" s="47">
        <f t="shared" ref="AL12" si="36">IFERROR(AL11/AL$19,0)</f>
        <v>0.33940987494211955</v>
      </c>
      <c r="AM12" s="47">
        <f t="shared" ref="AM12" si="37">IFERROR(AM11/AM$19,0)</f>
        <v>0.26544347165806714</v>
      </c>
      <c r="AN12" s="47">
        <f t="shared" ref="AN12" si="38">IFERROR(AN11/AN$19,0)</f>
        <v>0.30784354430059413</v>
      </c>
      <c r="AO12" s="48">
        <f t="shared" ref="AO12" si="39">IFERROR(AO11/AO$19,0)</f>
        <v>0.31200147489575342</v>
      </c>
      <c r="AP12" s="48">
        <f t="shared" ref="AP12" si="40">IFERROR(AP11/AP$19,0)</f>
        <v>0.30687307550447995</v>
      </c>
      <c r="AT12" s="183"/>
    </row>
    <row r="13" spans="2:46" x14ac:dyDescent="0.2">
      <c r="B13" s="27" t="str">
        <f>+AR13</f>
        <v>Inspection &amp; Testing Services</v>
      </c>
      <c r="C13" s="10"/>
      <c r="D13" s="10"/>
      <c r="E13" s="19">
        <f>SUMIF('Income Statement Source'!$C:$C,'1. Income Statement'!$AR13,'Income Statement Source'!G:G)/1000</f>
        <v>42.704440000000005</v>
      </c>
      <c r="F13" s="19">
        <f>SUMIF('Income Statement Source'!$C:$C,'1. Income Statement'!$AR13,'Income Statement Source'!H:H)/1000</f>
        <v>43.110900000000001</v>
      </c>
      <c r="G13" s="19">
        <f>SUMIF('Income Statement Source'!$C:$C,'1. Income Statement'!$AR13,'Income Statement Source'!I:I)/1000</f>
        <v>43.659190000000002</v>
      </c>
      <c r="H13" s="19">
        <f>SUMIF('Income Statement Source'!$C:$C,'1. Income Statement'!$AR13,'Income Statement Source'!J:J)/1000</f>
        <v>41.802620000000005</v>
      </c>
      <c r="I13" s="19">
        <f>SUMIF('Income Statement Source'!$C:$C,'1. Income Statement'!$AR13,'Income Statement Source'!K:K)/1000</f>
        <v>40.62426</v>
      </c>
      <c r="J13" s="19">
        <f>SUMIF('Income Statement Source'!$C:$C,'1. Income Statement'!$AR13,'Income Statement Source'!L:L)/1000</f>
        <v>44.833880000000001</v>
      </c>
      <c r="K13" s="19">
        <f>SUMIF('Income Statement Source'!$C:$C,'1. Income Statement'!$AR13,'Income Statement Source'!M:M)/1000</f>
        <v>43.952750000000002</v>
      </c>
      <c r="L13" s="19">
        <f>SUMIF('Income Statement Source'!$C:$C,'1. Income Statement'!$AR13,'Income Statement Source'!N:N)/1000</f>
        <v>41.827370000000002</v>
      </c>
      <c r="M13" s="19">
        <f>SUMIF('Income Statement Source'!$C:$C,'1. Income Statement'!$AR13,'Income Statement Source'!O:O)/1000</f>
        <v>43.051760000000002</v>
      </c>
      <c r="N13" s="19">
        <f>SUMIF('Income Statement Source'!$C:$C,'1. Income Statement'!$AR13,'Income Statement Source'!P:P)/1000</f>
        <v>43.424129999999998</v>
      </c>
      <c r="O13" s="19">
        <f>SUMIF('Income Statement Source'!$C:$C,'1. Income Statement'!$AR13,'Income Statement Source'!Q:Q)/1000</f>
        <v>43.902169999999998</v>
      </c>
      <c r="P13" s="19">
        <f>SUMIF('Income Statement Source'!$C:$C,'1. Income Statement'!$AR13,'Income Statement Source'!R:R)/1000</f>
        <v>43.466339999999995</v>
      </c>
      <c r="Q13" s="21">
        <f>SUM(E13:P13)</f>
        <v>516.35980999999992</v>
      </c>
      <c r="R13" s="19">
        <f>SUMIF('Income Statement Source'!$C:$C,'1. Income Statement'!$AR13,'Income Statement Source'!T:T)/1000</f>
        <v>44.167989999999996</v>
      </c>
      <c r="S13" s="19">
        <f>SUMIF('Income Statement Source'!$C:$C,'1. Income Statement'!$AR13,'Income Statement Source'!U:U)/1000</f>
        <v>45.858220000000003</v>
      </c>
      <c r="T13" s="19">
        <f>SUMIF('Income Statement Source'!$C:$C,'1. Income Statement'!$AR13,'Income Statement Source'!V:V)/1000</f>
        <v>47.050959999999996</v>
      </c>
      <c r="U13" s="19">
        <f>SUMIF('Income Statement Source'!$C:$C,'1. Income Statement'!$AR13,'Income Statement Source'!W:W)/1000</f>
        <v>44.577980000000004</v>
      </c>
      <c r="V13" s="19">
        <f>SUMIF('Income Statement Source'!$C:$C,'1. Income Statement'!$AR13,'Income Statement Source'!X:X)/1000</f>
        <v>43.088850000000001</v>
      </c>
      <c r="W13" s="19">
        <f>SUMIF('Income Statement Source'!$C:$C,'1. Income Statement'!$AR13,'Income Statement Source'!Y:Y)/1000</f>
        <v>43.93139</v>
      </c>
      <c r="X13" s="19">
        <f>SUMIF('Income Statement Source'!$C:$C,'1. Income Statement'!$AR13,'Income Statement Source'!Z:Z)/1000</f>
        <v>47.318370000000002</v>
      </c>
      <c r="Y13" s="19">
        <f>SUMIF('Income Statement Source'!$C:$C,'1. Income Statement'!$AR13,'Income Statement Source'!AA:AA)/1000</f>
        <v>46.082660000000004</v>
      </c>
      <c r="Z13" s="19">
        <f>SUMIF('Income Statement Source'!$C:$C,'1. Income Statement'!$AR13,'Income Statement Source'!AB:AB)/1000</f>
        <v>43.866599999999998</v>
      </c>
      <c r="AA13" s="19">
        <f>SUMIF('Income Statement Source'!$C:$C,'1. Income Statement'!$AR13,'Income Statement Source'!AC:AC)/1000</f>
        <v>42.687550000000002</v>
      </c>
      <c r="AB13" s="19">
        <f>SUMIF('Income Statement Source'!$C:$C,'1. Income Statement'!$AR13,'Income Statement Source'!AD:AD)/1000</f>
        <v>43.86092</v>
      </c>
      <c r="AC13" s="19">
        <f>SUMIF('Income Statement Source'!$C:$C,'1. Income Statement'!$AR13,'Income Statement Source'!AE:AE)/1000</f>
        <v>46.839489999999998</v>
      </c>
      <c r="AD13" s="21">
        <f>SUM(R13:AC13)</f>
        <v>539.33097999999995</v>
      </c>
      <c r="AE13" s="19">
        <f>SUMIF('Income Statement Source'!$C:$C,'1. Income Statement'!$AR13,'Income Statement Source'!AG:AG)/1000</f>
        <v>49.428440000000002</v>
      </c>
      <c r="AF13" s="19">
        <f>SUMIF('Income Statement Source'!$C:$C,'1. Income Statement'!$AR13,'Income Statement Source'!AH:AH)/1000</f>
        <v>47.090199999999996</v>
      </c>
      <c r="AG13" s="19">
        <f>SUMIF('Income Statement Source'!$C:$C,'1. Income Statement'!$AR13,'Income Statement Source'!AI:AI)/1000</f>
        <v>46.459309999999995</v>
      </c>
      <c r="AH13" s="19">
        <f>SUMIF('Income Statement Source'!$C:$C,'1. Income Statement'!$AR13,'Income Statement Source'!AJ:AJ)/1000</f>
        <v>46.912179999999999</v>
      </c>
      <c r="AI13" s="19">
        <f>SUMIF('Income Statement Source'!$C:$C,'1. Income Statement'!$AR13,'Income Statement Source'!AK:AK)/1000</f>
        <v>48.693080000000002</v>
      </c>
      <c r="AJ13" s="19">
        <f>SUMIF('Income Statement Source'!$C:$C,'1. Income Statement'!$AR13,'Income Statement Source'!AL:AL)/1000</f>
        <v>47.850819999999999</v>
      </c>
      <c r="AK13" s="19">
        <f>SUMIF('Income Statement Source'!$C:$C,'1. Income Statement'!$AR13,'Income Statement Source'!AM:AM)/1000</f>
        <v>45.19238</v>
      </c>
      <c r="AL13" s="19">
        <f>SUMIF('Income Statement Source'!$C:$C,'1. Income Statement'!$AR13,'Income Statement Source'!AN:AN)/1000</f>
        <v>47.098750000000003</v>
      </c>
      <c r="AM13" s="19">
        <f>SUMIF('Income Statement Source'!$C:$C,'1. Income Statement'!$AR13,'Income Statement Source'!AO:AO)/1000</f>
        <v>47.704370000000004</v>
      </c>
      <c r="AN13" s="19">
        <f>SUMIF('Income Statement Source'!$C:$C,'1. Income Statement'!$AR13,'Income Statement Source'!AP:AP)/1000</f>
        <v>48.084209999999999</v>
      </c>
      <c r="AO13" s="21">
        <f>SUM(AE13:AN13)</f>
        <v>474.51373999999998</v>
      </c>
      <c r="AP13" s="21">
        <f>SUM(AO13,AB13:AC13)</f>
        <v>565.2141499999999</v>
      </c>
      <c r="AR13" s="4" t="s">
        <v>7</v>
      </c>
    </row>
    <row r="14" spans="2:46" x14ac:dyDescent="0.2">
      <c r="B14" s="28"/>
      <c r="C14" s="10"/>
      <c r="D14" s="10"/>
      <c r="E14" s="45">
        <f>IFERROR(E13/E$19,0)</f>
        <v>0.22478858121146028</v>
      </c>
      <c r="F14" s="45">
        <f t="shared" ref="F14" si="41">IFERROR(F13/F$19,0)</f>
        <v>0.18968210716890119</v>
      </c>
      <c r="G14" s="45">
        <f t="shared" ref="G14" si="42">IFERROR(G13/G$19,0)</f>
        <v>0.14192778238471898</v>
      </c>
      <c r="H14" s="45">
        <f t="shared" ref="H14" si="43">IFERROR(H13/H$19,0)</f>
        <v>0.16162233601319625</v>
      </c>
      <c r="I14" s="45">
        <f t="shared" ref="I14" si="44">IFERROR(I13/I$19,0)</f>
        <v>0.14947644026255202</v>
      </c>
      <c r="J14" s="45">
        <f t="shared" ref="J14" si="45">IFERROR(J13/J$19,0)</f>
        <v>0.12174680328247464</v>
      </c>
      <c r="K14" s="45">
        <f t="shared" ref="K14" si="46">IFERROR(K13/K$19,0)</f>
        <v>0.14529998503454203</v>
      </c>
      <c r="L14" s="45">
        <f t="shared" ref="L14" si="47">IFERROR(L13/L$19,0)</f>
        <v>0.15088009241959685</v>
      </c>
      <c r="M14" s="45">
        <f t="shared" ref="M14" si="48">IFERROR(M13/M$19,0)</f>
        <v>0.12151900049020541</v>
      </c>
      <c r="N14" s="45">
        <f t="shared" ref="N14" si="49">IFERROR(N13/N$19,0)</f>
        <v>0.16254279443556113</v>
      </c>
      <c r="O14" s="45">
        <f t="shared" ref="O14" si="50">IFERROR(O13/O$19,0)</f>
        <v>0.19486770468464548</v>
      </c>
      <c r="P14" s="45">
        <f t="shared" ref="P14" si="51">IFERROR(P13/P$19,0)</f>
        <v>0.12818448181889014</v>
      </c>
      <c r="Q14" s="46">
        <f t="shared" ref="Q14" si="52">IFERROR(Q13/Q$19,0)</f>
        <v>0.15235961703028836</v>
      </c>
      <c r="R14" s="45">
        <f t="shared" ref="R14" si="53">IFERROR(R13/R$19,0)</f>
        <v>0.21810578676243542</v>
      </c>
      <c r="S14" s="45">
        <f t="shared" ref="S14" si="54">IFERROR(S13/S$19,0)</f>
        <v>0.17759997124829124</v>
      </c>
      <c r="T14" s="45">
        <f t="shared" ref="T14" si="55">IFERROR(T13/T$19,0)</f>
        <v>0.13333598582932354</v>
      </c>
      <c r="U14" s="45">
        <f t="shared" ref="U14" si="56">IFERROR(U13/U$19,0)</f>
        <v>0.13943704480914573</v>
      </c>
      <c r="V14" s="45">
        <f t="shared" ref="V14" si="57">IFERROR(V13/V$19,0)</f>
        <v>0.12671606107624245</v>
      </c>
      <c r="W14" s="45">
        <f t="shared" ref="W14" si="58">IFERROR(W13/W$19,0)</f>
        <v>0.10038060479582928</v>
      </c>
      <c r="X14" s="45">
        <f t="shared" ref="X14" si="59">IFERROR(X13/X$19,0)</f>
        <v>0.12750640430520857</v>
      </c>
      <c r="Y14" s="45">
        <f t="shared" ref="Y14" si="60">IFERROR(Y13/Y$19,0)</f>
        <v>0.12092418108379495</v>
      </c>
      <c r="Z14" s="45">
        <f t="shared" ref="Z14" si="61">IFERROR(Z13/Z$19,0)</f>
        <v>0.11018922944027243</v>
      </c>
      <c r="AA14" s="45">
        <f t="shared" ref="AA14" si="62">IFERROR(AA13/AA$19,0)</f>
        <v>0.13982362476194801</v>
      </c>
      <c r="AB14" s="45">
        <f t="shared" ref="AB14" si="63">IFERROR(AB13/AB$19,0)</f>
        <v>0.14985105575302385</v>
      </c>
      <c r="AC14" s="45">
        <f t="shared" ref="AC14" si="64">IFERROR(AC13/AC$19,0)</f>
        <v>0.11997498120439799</v>
      </c>
      <c r="AD14" s="46">
        <f t="shared" ref="AD14" si="65">IFERROR(AD13/AD$19,0)</f>
        <v>0.13317860216943359</v>
      </c>
      <c r="AE14" s="45">
        <f t="shared" ref="AE14" si="66">IFERROR(AE13/AE$19,0)</f>
        <v>0.23266232086365771</v>
      </c>
      <c r="AF14" s="45">
        <f t="shared" ref="AF14" si="67">IFERROR(AF13/AF$19,0)</f>
        <v>0.16665633842963115</v>
      </c>
      <c r="AG14" s="45">
        <f t="shared" ref="AG14" si="68">IFERROR(AG13/AG$19,0)</f>
        <v>0.12173301441569825</v>
      </c>
      <c r="AH14" s="45">
        <f t="shared" ref="AH14" si="69">IFERROR(AH13/AH$19,0)</f>
        <v>0.13444451774719862</v>
      </c>
      <c r="AI14" s="45">
        <f t="shared" ref="AI14" si="70">IFERROR(AI13/AI$19,0)</f>
        <v>0.14085161675510435</v>
      </c>
      <c r="AJ14" s="45">
        <f t="shared" ref="AJ14" si="71">IFERROR(AJ13/AJ$19,0)</f>
        <v>0.10129599066119895</v>
      </c>
      <c r="AK14" s="45">
        <f t="shared" ref="AK14" si="72">IFERROR(AK13/AK$19,0)</f>
        <v>0.11736648363238006</v>
      </c>
      <c r="AL14" s="45">
        <f t="shared" ref="AL14" si="73">IFERROR(AL13/AL$19,0)</f>
        <v>0.13306952847016187</v>
      </c>
      <c r="AM14" s="45">
        <f t="shared" ref="AM14" si="74">IFERROR(AM13/AM$19,0)</f>
        <v>0.10910539484758665</v>
      </c>
      <c r="AN14" s="45">
        <f t="shared" ref="AN14" si="75">IFERROR(AN13/AN$19,0)</f>
        <v>0.1421526627314797</v>
      </c>
      <c r="AO14" s="46">
        <f t="shared" ref="AO14" si="76">IFERROR(AO13/AO$19,0)</f>
        <v>0.13335917850246864</v>
      </c>
      <c r="AP14" s="46">
        <f t="shared" ref="AP14" si="77">IFERROR(AP13/AP$19,0)</f>
        <v>0.13326528878696231</v>
      </c>
    </row>
    <row r="15" spans="2:46" x14ac:dyDescent="0.2">
      <c r="B15" s="29" t="str">
        <f>+AR15</f>
        <v>Maintenance Contracts</v>
      </c>
      <c r="E15" s="20">
        <f>SUMIF('Income Statement Source'!$C:$C,'1. Income Statement'!$AR15,'Income Statement Source'!G:G)/1000</f>
        <v>0</v>
      </c>
      <c r="F15" s="20">
        <f>SUMIF('Income Statement Source'!$C:$C,'1. Income Statement'!$AR15,'Income Statement Source'!H:H)/1000</f>
        <v>0</v>
      </c>
      <c r="G15" s="20">
        <f>SUMIF('Income Statement Source'!$C:$C,'1. Income Statement'!$AR15,'Income Statement Source'!I:I)/1000</f>
        <v>70.870190000000008</v>
      </c>
      <c r="H15" s="20">
        <f>SUMIF('Income Statement Source'!$C:$C,'1. Income Statement'!$AR15,'Income Statement Source'!J:J)/1000</f>
        <v>0</v>
      </c>
      <c r="I15" s="20">
        <f>SUMIF('Income Statement Source'!$C:$C,'1. Income Statement'!$AR15,'Income Statement Source'!K:K)/1000</f>
        <v>0</v>
      </c>
      <c r="J15" s="20">
        <f>SUMIF('Income Statement Source'!$C:$C,'1. Income Statement'!$AR15,'Income Statement Source'!L:L)/1000</f>
        <v>67.769469999999998</v>
      </c>
      <c r="K15" s="20">
        <f>SUMIF('Income Statement Source'!$C:$C,'1. Income Statement'!$AR15,'Income Statement Source'!M:M)/1000</f>
        <v>0</v>
      </c>
      <c r="L15" s="20">
        <f>SUMIF('Income Statement Source'!$C:$C,'1. Income Statement'!$AR15,'Income Statement Source'!N:N)/1000</f>
        <v>0</v>
      </c>
      <c r="M15" s="20">
        <f>SUMIF('Income Statement Source'!$C:$C,'1. Income Statement'!$AR15,'Income Statement Source'!O:O)/1000</f>
        <v>71.448449999999994</v>
      </c>
      <c r="N15" s="20">
        <f>SUMIF('Income Statement Source'!$C:$C,'1. Income Statement'!$AR15,'Income Statement Source'!P:P)/1000</f>
        <v>0</v>
      </c>
      <c r="O15" s="20">
        <f>SUMIF('Income Statement Source'!$C:$C,'1. Income Statement'!$AR15,'Income Statement Source'!Q:Q)/1000</f>
        <v>0</v>
      </c>
      <c r="P15" s="20">
        <f>SUMIF('Income Statement Source'!$C:$C,'1. Income Statement'!$AR15,'Income Statement Source'!R:R)/1000</f>
        <v>70.382649999999998</v>
      </c>
      <c r="Q15" s="22">
        <f>SUM(E15:P15)</f>
        <v>280.47075999999998</v>
      </c>
      <c r="R15" s="20">
        <f>SUMIF('Income Statement Source'!$C:$C,'1. Income Statement'!$AR15,'Income Statement Source'!T:T)/1000</f>
        <v>0</v>
      </c>
      <c r="S15" s="20">
        <f>SUMIF('Income Statement Source'!$C:$C,'1. Income Statement'!$AR15,'Income Statement Source'!U:U)/1000</f>
        <v>0</v>
      </c>
      <c r="T15" s="20">
        <f>SUMIF('Income Statement Source'!$C:$C,'1. Income Statement'!$AR15,'Income Statement Source'!V:V)/1000</f>
        <v>72.448869999999999</v>
      </c>
      <c r="U15" s="20">
        <f>SUMIF('Income Statement Source'!$C:$C,'1. Income Statement'!$AR15,'Income Statement Source'!W:W)/1000</f>
        <v>0</v>
      </c>
      <c r="V15" s="20">
        <f>SUMIF('Income Statement Source'!$C:$C,'1. Income Statement'!$AR15,'Income Statement Source'!X:X)/1000</f>
        <v>0</v>
      </c>
      <c r="W15" s="20">
        <f>SUMIF('Income Statement Source'!$C:$C,'1. Income Statement'!$AR15,'Income Statement Source'!Y:Y)/1000</f>
        <v>68.364159999999998</v>
      </c>
      <c r="X15" s="20">
        <f>SUMIF('Income Statement Source'!$C:$C,'1. Income Statement'!$AR15,'Income Statement Source'!Z:Z)/1000</f>
        <v>0</v>
      </c>
      <c r="Y15" s="20">
        <f>SUMIF('Income Statement Source'!$C:$C,'1. Income Statement'!$AR15,'Income Statement Source'!AA:AA)/1000</f>
        <v>0</v>
      </c>
      <c r="Z15" s="20">
        <f>SUMIF('Income Statement Source'!$C:$C,'1. Income Statement'!$AR15,'Income Statement Source'!AB:AB)/1000</f>
        <v>73.202110000000005</v>
      </c>
      <c r="AA15" s="20">
        <f>SUMIF('Income Statement Source'!$C:$C,'1. Income Statement'!$AR15,'Income Statement Source'!AC:AC)/1000</f>
        <v>0</v>
      </c>
      <c r="AB15" s="20">
        <f>SUMIF('Income Statement Source'!$C:$C,'1. Income Statement'!$AR15,'Income Statement Source'!AD:AD)/1000</f>
        <v>0</v>
      </c>
      <c r="AC15" s="20">
        <f>SUMIF('Income Statement Source'!$C:$C,'1. Income Statement'!$AR15,'Income Statement Source'!AE:AE)/1000</f>
        <v>75.406840000000003</v>
      </c>
      <c r="AD15" s="22">
        <f>SUM(R15:AC15)</f>
        <v>289.42198000000002</v>
      </c>
      <c r="AE15" s="20">
        <f>SUMIF('Income Statement Source'!$C:$C,'1. Income Statement'!$AR15,'Income Statement Source'!AG:AG)/1000</f>
        <v>0</v>
      </c>
      <c r="AF15" s="20">
        <f>SUMIF('Income Statement Source'!$C:$C,'1. Income Statement'!$AR15,'Income Statement Source'!AH:AH)/1000</f>
        <v>0</v>
      </c>
      <c r="AG15" s="20">
        <f>SUMIF('Income Statement Source'!$C:$C,'1. Income Statement'!$AR15,'Income Statement Source'!AI:AI)/1000</f>
        <v>76.3279</v>
      </c>
      <c r="AH15" s="20">
        <f>SUMIF('Income Statement Source'!$C:$C,'1. Income Statement'!$AR15,'Income Statement Source'!AJ:AJ)/1000</f>
        <v>0</v>
      </c>
      <c r="AI15" s="20">
        <f>SUMIF('Income Statement Source'!$C:$C,'1. Income Statement'!$AR15,'Income Statement Source'!AK:AK)/1000</f>
        <v>0</v>
      </c>
      <c r="AJ15" s="20">
        <f>SUMIF('Income Statement Source'!$C:$C,'1. Income Statement'!$AR15,'Income Statement Source'!AL:AL)/1000</f>
        <v>78.258899999999997</v>
      </c>
      <c r="AK15" s="20">
        <f>SUMIF('Income Statement Source'!$C:$C,'1. Income Statement'!$AR15,'Income Statement Source'!AM:AM)/1000</f>
        <v>0</v>
      </c>
      <c r="AL15" s="20">
        <f>SUMIF('Income Statement Source'!$C:$C,'1. Income Statement'!$AR15,'Income Statement Source'!AN:AN)/1000</f>
        <v>0</v>
      </c>
      <c r="AM15" s="20">
        <f>SUMIF('Income Statement Source'!$C:$C,'1. Income Statement'!$AR15,'Income Statement Source'!AO:AO)/1000</f>
        <v>72.932100000000005</v>
      </c>
      <c r="AN15" s="20">
        <f>SUMIF('Income Statement Source'!$C:$C,'1. Income Statement'!$AR15,'Income Statement Source'!AP:AP)/1000</f>
        <v>0</v>
      </c>
      <c r="AO15" s="22">
        <f>SUM(AE15:AN15)</f>
        <v>227.51889999999997</v>
      </c>
      <c r="AP15" s="22">
        <f>SUM(AO15,AB15:AC15)</f>
        <v>302.92573999999996</v>
      </c>
      <c r="AR15" s="4" t="s">
        <v>8</v>
      </c>
    </row>
    <row r="16" spans="2:46" x14ac:dyDescent="0.2">
      <c r="B16" s="25"/>
      <c r="E16" s="47">
        <f>IFERROR(E15/E$19,0)</f>
        <v>0</v>
      </c>
      <c r="F16" s="47">
        <f t="shared" ref="F16" si="78">IFERROR(F15/F$19,0)</f>
        <v>0</v>
      </c>
      <c r="G16" s="47">
        <f t="shared" ref="G16" si="79">IFERROR(G15/G$19,0)</f>
        <v>0.23038560504406264</v>
      </c>
      <c r="H16" s="47">
        <f t="shared" ref="H16" si="80">IFERROR(H15/H$19,0)</f>
        <v>0</v>
      </c>
      <c r="I16" s="47">
        <f t="shared" ref="I16" si="81">IFERROR(I15/I$19,0)</f>
        <v>0</v>
      </c>
      <c r="J16" s="47">
        <f t="shared" ref="J16" si="82">IFERROR(J15/J$19,0)</f>
        <v>0.18402860365080084</v>
      </c>
      <c r="K16" s="47">
        <f t="shared" ref="K16" si="83">IFERROR(K15/K$19,0)</f>
        <v>0</v>
      </c>
      <c r="L16" s="47">
        <f t="shared" ref="L16" si="84">IFERROR(L15/L$19,0)</f>
        <v>0</v>
      </c>
      <c r="M16" s="47">
        <f t="shared" ref="M16" si="85">IFERROR(M15/M$19,0)</f>
        <v>0.20167222502806889</v>
      </c>
      <c r="N16" s="47">
        <f t="shared" ref="N16" si="86">IFERROR(N15/N$19,0)</f>
        <v>0</v>
      </c>
      <c r="O16" s="47">
        <f t="shared" ref="O16" si="87">IFERROR(O15/O$19,0)</f>
        <v>0</v>
      </c>
      <c r="P16" s="47">
        <f t="shared" ref="P16" si="88">IFERROR(P15/P$19,0)</f>
        <v>0.20756207031211527</v>
      </c>
      <c r="Q16" s="48">
        <f t="shared" ref="Q16" si="89">IFERROR(Q15/Q$19,0)</f>
        <v>8.275705574721999E-2</v>
      </c>
      <c r="R16" s="47">
        <f t="shared" ref="R16" si="90">IFERROR(R15/R$19,0)</f>
        <v>0</v>
      </c>
      <c r="S16" s="47">
        <f t="shared" ref="S16" si="91">IFERROR(S15/S$19,0)</f>
        <v>0</v>
      </c>
      <c r="T16" s="47">
        <f t="shared" ref="T16" si="92">IFERROR(T15/T$19,0)</f>
        <v>0.20531018928562786</v>
      </c>
      <c r="U16" s="47">
        <f t="shared" ref="U16" si="93">IFERROR(U15/U$19,0)</f>
        <v>0</v>
      </c>
      <c r="V16" s="47">
        <f t="shared" ref="V16" si="94">IFERROR(V15/V$19,0)</f>
        <v>0</v>
      </c>
      <c r="W16" s="47">
        <f t="shared" ref="W16" si="95">IFERROR(W15/W$19,0)</f>
        <v>0.15620802636016842</v>
      </c>
      <c r="X16" s="47">
        <f t="shared" ref="X16" si="96">IFERROR(X15/X$19,0)</f>
        <v>0</v>
      </c>
      <c r="Y16" s="47">
        <f t="shared" ref="Y16" si="97">IFERROR(Y15/Y$19,0)</f>
        <v>0</v>
      </c>
      <c r="Z16" s="47">
        <f t="shared" ref="Z16" si="98">IFERROR(Z15/Z$19,0)</f>
        <v>0.1838775764317741</v>
      </c>
      <c r="AA16" s="47">
        <f t="shared" ref="AA16" si="99">IFERROR(AA15/AA$19,0)</f>
        <v>0</v>
      </c>
      <c r="AB16" s="47">
        <f t="shared" ref="AB16" si="100">IFERROR(AB15/AB$19,0)</f>
        <v>0</v>
      </c>
      <c r="AC16" s="47">
        <f t="shared" ref="AC16" si="101">IFERROR(AC15/AC$19,0)</f>
        <v>0.19314758148910346</v>
      </c>
      <c r="AD16" s="48">
        <f t="shared" ref="AD16" si="102">IFERROR(AD15/AD$19,0)</f>
        <v>7.1467829890858051E-2</v>
      </c>
      <c r="AE16" s="47">
        <f t="shared" ref="AE16" si="103">IFERROR(AE15/AE$19,0)</f>
        <v>0</v>
      </c>
      <c r="AF16" s="47">
        <f t="shared" ref="AF16" si="104">IFERROR(AF15/AF$19,0)</f>
        <v>0</v>
      </c>
      <c r="AG16" s="47">
        <f t="shared" ref="AG16" si="105">IFERROR(AG15/AG$19,0)</f>
        <v>0.19999490631737699</v>
      </c>
      <c r="AH16" s="47">
        <f t="shared" ref="AH16" si="106">IFERROR(AH15/AH$19,0)</f>
        <v>0</v>
      </c>
      <c r="AI16" s="47">
        <f t="shared" ref="AI16" si="107">IFERROR(AI15/AI$19,0)</f>
        <v>0</v>
      </c>
      <c r="AJ16" s="47">
        <f t="shared" ref="AJ16" si="108">IFERROR(AJ15/AJ$19,0)</f>
        <v>0.16566723001937483</v>
      </c>
      <c r="AK16" s="47">
        <f t="shared" ref="AK16" si="109">IFERROR(AK15/AK$19,0)</f>
        <v>0</v>
      </c>
      <c r="AL16" s="47">
        <f t="shared" ref="AL16" si="110">IFERROR(AL15/AL$19,0)</f>
        <v>0</v>
      </c>
      <c r="AM16" s="47">
        <f t="shared" ref="AM16" si="111">IFERROR(AM15/AM$19,0)</f>
        <v>0.16680412229662972</v>
      </c>
      <c r="AN16" s="47">
        <f t="shared" ref="AN16" si="112">IFERROR(AN15/AN$19,0)</f>
        <v>0</v>
      </c>
      <c r="AO16" s="48">
        <f t="shared" ref="AO16" si="113">IFERROR(AO15/AO$19,0)</f>
        <v>6.3942792463259998E-2</v>
      </c>
      <c r="AP16" s="48">
        <f t="shared" ref="AP16" si="114">IFERROR(AP15/AP$19,0)</f>
        <v>7.1423346747607544E-2</v>
      </c>
    </row>
    <row r="17" spans="2:44" x14ac:dyDescent="0.2">
      <c r="B17" s="27" t="str">
        <f>+AR17</f>
        <v>WIP Adjustment</v>
      </c>
      <c r="C17" s="10"/>
      <c r="D17" s="10"/>
      <c r="E17" s="19">
        <f>SUMIF('Income Statement Source'!$C:$C,'1. Income Statement'!$AR17,'Income Statement Source'!G:G)/1000</f>
        <v>-25</v>
      </c>
      <c r="F17" s="19">
        <f>SUMIF('Income Statement Source'!$C:$C,'1. Income Statement'!$AR17,'Income Statement Source'!H:H)/1000</f>
        <v>0</v>
      </c>
      <c r="G17" s="19">
        <f>SUMIF('Income Statement Source'!$C:$C,'1. Income Statement'!$AR17,'Income Statement Source'!I:I)/1000</f>
        <v>0</v>
      </c>
      <c r="H17" s="19">
        <f>SUMIF('Income Statement Source'!$C:$C,'1. Income Statement'!$AR17,'Income Statement Source'!J:J)/1000</f>
        <v>0</v>
      </c>
      <c r="I17" s="19">
        <f>SUMIF('Income Statement Source'!$C:$C,'1. Income Statement'!$AR17,'Income Statement Source'!K:K)/1000</f>
        <v>0</v>
      </c>
      <c r="J17" s="19">
        <f>SUMIF('Income Statement Source'!$C:$C,'1. Income Statement'!$AR17,'Income Statement Source'!L:L)/1000</f>
        <v>0</v>
      </c>
      <c r="K17" s="19">
        <f>SUMIF('Income Statement Source'!$C:$C,'1. Income Statement'!$AR17,'Income Statement Source'!M:M)/1000</f>
        <v>0</v>
      </c>
      <c r="L17" s="19">
        <f>SUMIF('Income Statement Source'!$C:$C,'1. Income Statement'!$AR17,'Income Statement Source'!N:N)/1000</f>
        <v>0</v>
      </c>
      <c r="M17" s="19">
        <f>SUMIF('Income Statement Source'!$C:$C,'1. Income Statement'!$AR17,'Income Statement Source'!O:O)/1000</f>
        <v>0</v>
      </c>
      <c r="N17" s="19">
        <f>SUMIF('Income Statement Source'!$C:$C,'1. Income Statement'!$AR17,'Income Statement Source'!P:P)/1000</f>
        <v>0</v>
      </c>
      <c r="O17" s="19">
        <f>SUMIF('Income Statement Source'!$C:$C,'1. Income Statement'!$AR17,'Income Statement Source'!Q:Q)/1000</f>
        <v>0</v>
      </c>
      <c r="P17" s="19">
        <f>SUMIF('Income Statement Source'!$C:$C,'1. Income Statement'!$AR17,'Income Statement Source'!R:R)/1000</f>
        <v>48.523449999999997</v>
      </c>
      <c r="Q17" s="21">
        <f>SUM(E17:P17)</f>
        <v>23.523449999999997</v>
      </c>
      <c r="R17" s="19">
        <f>SUMIF('Income Statement Source'!$C:$C,'1. Income Statement'!$AR17,'Income Statement Source'!T:T)/1000</f>
        <v>-48.523449999999997</v>
      </c>
      <c r="S17" s="19">
        <f>SUMIF('Income Statement Source'!$C:$C,'1. Income Statement'!$AR17,'Income Statement Source'!U:U)/1000</f>
        <v>0</v>
      </c>
      <c r="T17" s="19">
        <f>SUMIF('Income Statement Source'!$C:$C,'1. Income Statement'!$AR17,'Income Statement Source'!V:V)/1000</f>
        <v>0</v>
      </c>
      <c r="U17" s="19">
        <f>SUMIF('Income Statement Source'!$C:$C,'1. Income Statement'!$AR17,'Income Statement Source'!W:W)/1000</f>
        <v>0</v>
      </c>
      <c r="V17" s="19">
        <f>SUMIF('Income Statement Source'!$C:$C,'1. Income Statement'!$AR17,'Income Statement Source'!X:X)/1000</f>
        <v>0</v>
      </c>
      <c r="W17" s="19">
        <f>SUMIF('Income Statement Source'!$C:$C,'1. Income Statement'!$AR17,'Income Statement Source'!Y:Y)/1000</f>
        <v>0</v>
      </c>
      <c r="X17" s="19">
        <f>SUMIF('Income Statement Source'!$C:$C,'1. Income Statement'!$AR17,'Income Statement Source'!Z:Z)/1000</f>
        <v>0</v>
      </c>
      <c r="Y17" s="19">
        <f>SUMIF('Income Statement Source'!$C:$C,'1. Income Statement'!$AR17,'Income Statement Source'!AA:AA)/1000</f>
        <v>0</v>
      </c>
      <c r="Z17" s="19">
        <f>SUMIF('Income Statement Source'!$C:$C,'1. Income Statement'!$AR17,'Income Statement Source'!AB:AB)/1000</f>
        <v>0</v>
      </c>
      <c r="AA17" s="19">
        <f>SUMIF('Income Statement Source'!$C:$C,'1. Income Statement'!$AR17,'Income Statement Source'!AC:AC)/1000</f>
        <v>0</v>
      </c>
      <c r="AB17" s="19">
        <f>SUMIF('Income Statement Source'!$C:$C,'1. Income Statement'!$AR17,'Income Statement Source'!AD:AD)/1000</f>
        <v>0</v>
      </c>
      <c r="AC17" s="19">
        <f>SUMIF('Income Statement Source'!$C:$C,'1. Income Statement'!$AR17,'Income Statement Source'!AE:AE)/1000</f>
        <v>52.89123</v>
      </c>
      <c r="AD17" s="21">
        <f>SUM(R17:AC17)</f>
        <v>4.3677800000000033</v>
      </c>
      <c r="AE17" s="19">
        <f>SUMIF('Income Statement Source'!$C:$C,'1. Income Statement'!$AR17,'Income Statement Source'!AG:AG)/1000</f>
        <v>-52.89123</v>
      </c>
      <c r="AF17" s="19">
        <f>SUMIF('Income Statement Source'!$C:$C,'1. Income Statement'!$AR17,'Income Statement Source'!AH:AH)/1000</f>
        <v>9.4342000000000006</v>
      </c>
      <c r="AG17" s="19">
        <f>SUMIF('Income Statement Source'!$C:$C,'1. Income Statement'!$AR17,'Income Statement Source'!AI:AI)/1000</f>
        <v>9.3461100000000012</v>
      </c>
      <c r="AH17" s="19">
        <f>SUMIF('Income Statement Source'!$C:$C,'1. Income Statement'!$AR17,'Income Statement Source'!AJ:AJ)/1000</f>
        <v>8.0903700000000001</v>
      </c>
      <c r="AI17" s="19">
        <f>SUMIF('Income Statement Source'!$C:$C,'1. Income Statement'!$AR17,'Income Statement Source'!AK:AK)/1000</f>
        <v>7.8028000000000004</v>
      </c>
      <c r="AJ17" s="19">
        <f>SUMIF('Income Statement Source'!$C:$C,'1. Income Statement'!$AR17,'Income Statement Source'!AL:AL)/1000</f>
        <v>7.6539599999999997</v>
      </c>
      <c r="AK17" s="19">
        <f>SUMIF('Income Statement Source'!$C:$C,'1. Income Statement'!$AR17,'Income Statement Source'!AM:AM)/1000</f>
        <v>9.0712600000000005</v>
      </c>
      <c r="AL17" s="19">
        <f>SUMIF('Income Statement Source'!$C:$C,'1. Income Statement'!$AR17,'Income Statement Source'!AN:AN)/1000</f>
        <v>6.8061400000000001</v>
      </c>
      <c r="AM17" s="19">
        <f>SUMIF('Income Statement Source'!$C:$C,'1. Income Statement'!$AR17,'Income Statement Source'!AO:AO)/1000</f>
        <v>7.2300399999999998</v>
      </c>
      <c r="AN17" s="19">
        <f>SUMIF('Income Statement Source'!$C:$C,'1. Income Statement'!$AR17,'Income Statement Source'!AP:AP)/1000</f>
        <v>9.3943600000000007</v>
      </c>
      <c r="AO17" s="21">
        <f>SUM(AE17:AN17)</f>
        <v>21.938010000000002</v>
      </c>
      <c r="AP17" s="21">
        <f>SUM(AO17,AB17:AC17)</f>
        <v>74.829239999999999</v>
      </c>
      <c r="AR17" s="4" t="s">
        <v>9</v>
      </c>
    </row>
    <row r="18" spans="2:44" x14ac:dyDescent="0.2">
      <c r="B18" s="28"/>
      <c r="C18" s="10"/>
      <c r="D18" s="10"/>
      <c r="E18" s="45">
        <f>IFERROR(E17/E$19,0)</f>
        <v>-0.13159555611281887</v>
      </c>
      <c r="F18" s="45">
        <f t="shared" ref="F18" si="115">IFERROR(F17/F$19,0)</f>
        <v>0</v>
      </c>
      <c r="G18" s="45">
        <f t="shared" ref="G18" si="116">IFERROR(G17/G$19,0)</f>
        <v>0</v>
      </c>
      <c r="H18" s="45">
        <f t="shared" ref="H18" si="117">IFERROR(H17/H$19,0)</f>
        <v>0</v>
      </c>
      <c r="I18" s="45">
        <f t="shared" ref="I18" si="118">IFERROR(I17/I$19,0)</f>
        <v>0</v>
      </c>
      <c r="J18" s="45">
        <f t="shared" ref="J18" si="119">IFERROR(J17/J$19,0)</f>
        <v>0</v>
      </c>
      <c r="K18" s="45">
        <f t="shared" ref="K18" si="120">IFERROR(K17/K$19,0)</f>
        <v>0</v>
      </c>
      <c r="L18" s="45">
        <f t="shared" ref="L18" si="121">IFERROR(L17/L$19,0)</f>
        <v>0</v>
      </c>
      <c r="M18" s="45">
        <f t="shared" ref="M18" si="122">IFERROR(M17/M$19,0)</f>
        <v>0</v>
      </c>
      <c r="N18" s="45">
        <f t="shared" ref="N18" si="123">IFERROR(N17/N$19,0)</f>
        <v>0</v>
      </c>
      <c r="O18" s="45">
        <f t="shared" ref="O18" si="124">IFERROR(O17/O$19,0)</f>
        <v>0</v>
      </c>
      <c r="P18" s="45">
        <f t="shared" ref="P18" si="125">IFERROR(P17/P$19,0)</f>
        <v>0.14309816042286572</v>
      </c>
      <c r="Q18" s="46">
        <f t="shared" ref="Q18" si="126">IFERROR(Q17/Q$19,0)</f>
        <v>6.9409426601794132E-3</v>
      </c>
      <c r="R18" s="45">
        <f t="shared" ref="R18" si="127">IFERROR(R17/R$19,0)</f>
        <v>-0.23961346755144838</v>
      </c>
      <c r="S18" s="45">
        <f t="shared" ref="S18" si="128">IFERROR(S17/S$19,0)</f>
        <v>0</v>
      </c>
      <c r="T18" s="45">
        <f t="shared" ref="T18" si="129">IFERROR(T17/T$19,0)</f>
        <v>0</v>
      </c>
      <c r="U18" s="45">
        <f t="shared" ref="U18" si="130">IFERROR(U17/U$19,0)</f>
        <v>0</v>
      </c>
      <c r="V18" s="45">
        <f t="shared" ref="V18" si="131">IFERROR(V17/V$19,0)</f>
        <v>0</v>
      </c>
      <c r="W18" s="45">
        <f t="shared" ref="W18" si="132">IFERROR(W17/W$19,0)</f>
        <v>0</v>
      </c>
      <c r="X18" s="45">
        <f t="shared" ref="X18" si="133">IFERROR(X17/X$19,0)</f>
        <v>0</v>
      </c>
      <c r="Y18" s="45">
        <f t="shared" ref="Y18" si="134">IFERROR(Y17/Y$19,0)</f>
        <v>0</v>
      </c>
      <c r="Z18" s="45">
        <f t="shared" ref="Z18" si="135">IFERROR(Z17/Z$19,0)</f>
        <v>0</v>
      </c>
      <c r="AA18" s="45">
        <f t="shared" ref="AA18" si="136">IFERROR(AA17/AA$19,0)</f>
        <v>0</v>
      </c>
      <c r="AB18" s="45">
        <f t="shared" ref="AB18" si="137">IFERROR(AB17/AB$19,0)</f>
        <v>0</v>
      </c>
      <c r="AC18" s="45">
        <f t="shared" ref="AC18" si="138">IFERROR(AC17/AC$19,0)</f>
        <v>0.13547594828909307</v>
      </c>
      <c r="AD18" s="46">
        <f t="shared" ref="AD18" si="139">IFERROR(AD17/AD$19,0)</f>
        <v>1.0785488995711113E-3</v>
      </c>
      <c r="AE18" s="45">
        <f t="shared" ref="AE18" si="140">IFERROR(AE17/AE$19,0)</f>
        <v>-0.24896185930880113</v>
      </c>
      <c r="AF18" s="45">
        <f t="shared" ref="AF18" si="141">IFERROR(AF17/AF$19,0)</f>
        <v>3.3388459340007608E-2</v>
      </c>
      <c r="AG18" s="45">
        <f t="shared" ref="AG18" si="142">IFERROR(AG17/AG$19,0)</f>
        <v>2.4488743878475636E-2</v>
      </c>
      <c r="AH18" s="45">
        <f t="shared" ref="AH18" si="143">IFERROR(AH17/AH$19,0)</f>
        <v>2.3186001866602732E-2</v>
      </c>
      <c r="AI18" s="45">
        <f t="shared" ref="AI18" si="144">IFERROR(AI17/AI$19,0)</f>
        <v>2.2570701939920994E-2</v>
      </c>
      <c r="AJ18" s="45">
        <f t="shared" ref="AJ18" si="145">IFERROR(AJ17/AJ$19,0)</f>
        <v>1.6202762265749893E-2</v>
      </c>
      <c r="AK18" s="45">
        <f t="shared" ref="AK18" si="146">IFERROR(AK17/AK$19,0)</f>
        <v>2.3558438133045083E-2</v>
      </c>
      <c r="AL18" s="45">
        <f t="shared" ref="AL18" si="147">IFERROR(AL17/AL$19,0)</f>
        <v>1.9229594002004458E-2</v>
      </c>
      <c r="AM18" s="45">
        <f t="shared" ref="AM18" si="148">IFERROR(AM17/AM$19,0)</f>
        <v>1.653593515570681E-2</v>
      </c>
      <c r="AN18" s="45">
        <f t="shared" ref="AN18" si="149">IFERROR(AN17/AN$19,0)</f>
        <v>2.7772802935893168E-2</v>
      </c>
      <c r="AO18" s="46">
        <f t="shared" ref="AO18" si="150">IFERROR(AO17/AO$19,0)</f>
        <v>6.1655432603046276E-3</v>
      </c>
      <c r="AP18" s="46">
        <f t="shared" ref="AP18" si="151">IFERROR(AP17/AP$19,0)</f>
        <v>1.7643118591968925E-2</v>
      </c>
    </row>
    <row r="19" spans="2:44" x14ac:dyDescent="0.2">
      <c r="B19" s="12" t="str">
        <f>+B8</f>
        <v>Revenue</v>
      </c>
      <c r="C19" s="13"/>
      <c r="D19" s="13"/>
      <c r="E19" s="42">
        <f>SUM(E9,E11,E13,E15,E17)</f>
        <v>189.97602000000001</v>
      </c>
      <c r="F19" s="42">
        <f t="shared" ref="F19:AP19" si="152">SUM(F9,F11,F13,F15,F17)</f>
        <v>227.27974</v>
      </c>
      <c r="G19" s="42">
        <f t="shared" si="152"/>
        <v>307.61553000000004</v>
      </c>
      <c r="H19" s="42">
        <f t="shared" si="152"/>
        <v>258.64382999999998</v>
      </c>
      <c r="I19" s="42">
        <f t="shared" si="152"/>
        <v>271.77700999999996</v>
      </c>
      <c r="J19" s="42">
        <f t="shared" si="152"/>
        <v>368.25509000000005</v>
      </c>
      <c r="K19" s="42">
        <f t="shared" si="152"/>
        <v>302.49659000000003</v>
      </c>
      <c r="L19" s="42">
        <f t="shared" si="152"/>
        <v>277.22258999999997</v>
      </c>
      <c r="M19" s="42">
        <f t="shared" si="152"/>
        <v>354.28006999999997</v>
      </c>
      <c r="N19" s="42">
        <f t="shared" si="152"/>
        <v>267.15505999999999</v>
      </c>
      <c r="O19" s="42">
        <f t="shared" si="152"/>
        <v>225.29218000000003</v>
      </c>
      <c r="P19" s="42">
        <f t="shared" si="152"/>
        <v>339.09205999999995</v>
      </c>
      <c r="Q19" s="43">
        <f t="shared" si="152"/>
        <v>3389.0857700000001</v>
      </c>
      <c r="R19" s="42">
        <f t="shared" si="152"/>
        <v>202.50719000000001</v>
      </c>
      <c r="S19" s="42">
        <f t="shared" si="152"/>
        <v>258.21073999999999</v>
      </c>
      <c r="T19" s="42">
        <f t="shared" si="152"/>
        <v>352.87518</v>
      </c>
      <c r="U19" s="42">
        <f t="shared" si="152"/>
        <v>319.69969000000003</v>
      </c>
      <c r="V19" s="42">
        <f t="shared" si="152"/>
        <v>340.04253</v>
      </c>
      <c r="W19" s="42">
        <f t="shared" si="152"/>
        <v>437.64819</v>
      </c>
      <c r="X19" s="42">
        <f t="shared" si="152"/>
        <v>371.10583000000003</v>
      </c>
      <c r="Y19" s="42">
        <f t="shared" si="152"/>
        <v>381.08722</v>
      </c>
      <c r="Z19" s="42">
        <f t="shared" si="152"/>
        <v>398.10243000000003</v>
      </c>
      <c r="AA19" s="42">
        <f t="shared" si="152"/>
        <v>305.29568999999998</v>
      </c>
      <c r="AB19" s="42">
        <f t="shared" si="152"/>
        <v>292.69677000000001</v>
      </c>
      <c r="AC19" s="42">
        <f t="shared" si="152"/>
        <v>390.41048000000001</v>
      </c>
      <c r="AD19" s="43">
        <f t="shared" si="152"/>
        <v>4049.6819399999999</v>
      </c>
      <c r="AE19" s="42">
        <f t="shared" si="152"/>
        <v>212.44712000000004</v>
      </c>
      <c r="AF19" s="42">
        <f t="shared" si="152"/>
        <v>282.55870999999996</v>
      </c>
      <c r="AG19" s="42">
        <f t="shared" si="152"/>
        <v>381.64922000000001</v>
      </c>
      <c r="AH19" s="42">
        <f t="shared" si="152"/>
        <v>348.93338</v>
      </c>
      <c r="AI19" s="42">
        <f t="shared" si="152"/>
        <v>345.70480000000003</v>
      </c>
      <c r="AJ19" s="42">
        <f t="shared" si="152"/>
        <v>472.38611999999995</v>
      </c>
      <c r="AK19" s="42">
        <f t="shared" si="152"/>
        <v>385.05354</v>
      </c>
      <c r="AL19" s="42">
        <f t="shared" si="152"/>
        <v>353.94091000000003</v>
      </c>
      <c r="AM19" s="42">
        <f t="shared" si="152"/>
        <v>437.23199999999997</v>
      </c>
      <c r="AN19" s="42">
        <f t="shared" si="152"/>
        <v>338.25754000000001</v>
      </c>
      <c r="AO19" s="43">
        <f t="shared" si="152"/>
        <v>3558.1633399999996</v>
      </c>
      <c r="AP19" s="43">
        <f t="shared" si="152"/>
        <v>4241.2705899999992</v>
      </c>
    </row>
    <row r="20" spans="2:44" x14ac:dyDescent="0.2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8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8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8"/>
      <c r="AP20" s="18"/>
    </row>
    <row r="21" spans="2:44" x14ac:dyDescent="0.2">
      <c r="B21" s="25"/>
      <c r="Q21" s="17"/>
      <c r="AD21" s="17"/>
      <c r="AO21" s="17"/>
      <c r="AP21" s="17"/>
    </row>
    <row r="22" spans="2:44" x14ac:dyDescent="0.2">
      <c r="B22" s="26" t="s">
        <v>69</v>
      </c>
      <c r="Q22" s="17"/>
      <c r="AD22" s="17"/>
      <c r="AO22" s="17"/>
      <c r="AP22" s="17"/>
    </row>
    <row r="23" spans="2:44" s="34" customFormat="1" hidden="1" outlineLevel="1" x14ac:dyDescent="0.2">
      <c r="B23" s="29" t="s">
        <v>89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2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2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2"/>
      <c r="AP23" s="52"/>
    </row>
    <row r="24" spans="2:44" s="34" customFormat="1" hidden="1" outlineLevel="1" x14ac:dyDescent="0.2">
      <c r="B24" s="30" t="str">
        <f t="shared" ref="B24:B29" si="153">+AR24</f>
        <v>Sprinkler Materials &amp; Fittings</v>
      </c>
      <c r="C24" s="4"/>
      <c r="D24" s="4"/>
      <c r="E24" s="20">
        <f>SUMIF('Income Statement Source'!$C:$C,'1. Income Statement'!$AR24,'Income Statement Source'!G:G)/1000</f>
        <v>18.773900000000001</v>
      </c>
      <c r="F24" s="20">
        <f>SUMIF('Income Statement Source'!$C:$C,'1. Income Statement'!$AR24,'Income Statement Source'!H:H)/1000</f>
        <v>22.360709999999997</v>
      </c>
      <c r="G24" s="20">
        <f>SUMIF('Income Statement Source'!$C:$C,'1. Income Statement'!$AR24,'Income Statement Source'!I:I)/1000</f>
        <v>30.529229999999998</v>
      </c>
      <c r="H24" s="20">
        <f>SUMIF('Income Statement Source'!$C:$C,'1. Income Statement'!$AR24,'Income Statement Source'!J:J)/1000</f>
        <v>26.313189999999999</v>
      </c>
      <c r="I24" s="20">
        <f>SUMIF('Income Statement Source'!$C:$C,'1. Income Statement'!$AR24,'Income Statement Source'!K:K)/1000</f>
        <v>25.1539</v>
      </c>
      <c r="J24" s="20">
        <f>SUMIF('Income Statement Source'!$C:$C,'1. Income Statement'!$AR24,'Income Statement Source'!L:L)/1000</f>
        <v>35.273470000000003</v>
      </c>
      <c r="K24" s="20">
        <f>SUMIF('Income Statement Source'!$C:$C,'1. Income Statement'!$AR24,'Income Statement Source'!M:M)/1000</f>
        <v>32.34572</v>
      </c>
      <c r="L24" s="20">
        <f>SUMIF('Income Statement Source'!$C:$C,'1. Income Statement'!$AR24,'Income Statement Source'!N:N)/1000</f>
        <v>27.19652</v>
      </c>
      <c r="M24" s="20">
        <f>SUMIF('Income Statement Source'!$C:$C,'1. Income Statement'!$AR24,'Income Statement Source'!O:O)/1000</f>
        <v>34.613930000000003</v>
      </c>
      <c r="N24" s="20">
        <f>SUMIF('Income Statement Source'!$C:$C,'1. Income Statement'!$AR24,'Income Statement Source'!P:P)/1000</f>
        <v>26.913349999999998</v>
      </c>
      <c r="O24" s="20">
        <f>SUMIF('Income Statement Source'!$C:$C,'1. Income Statement'!$AR24,'Income Statement Source'!Q:Q)/1000</f>
        <v>22.136310000000002</v>
      </c>
      <c r="P24" s="20">
        <f>SUMIF('Income Statement Source'!$C:$C,'1. Income Statement'!$AR24,'Income Statement Source'!R:R)/1000</f>
        <v>34.797609999999999</v>
      </c>
      <c r="Q24" s="22">
        <f t="shared" ref="Q24:Q29" si="154">SUM(E24:P24)</f>
        <v>336.40783999999996</v>
      </c>
      <c r="R24" s="20">
        <f>SUMIF('Income Statement Source'!$C:$C,'1. Income Statement'!$AR24,'Income Statement Source'!T:T)/1000</f>
        <v>28.669280000000001</v>
      </c>
      <c r="S24" s="20">
        <f>SUMIF('Income Statement Source'!$C:$C,'1. Income Statement'!$AR24,'Income Statement Source'!U:U)/1000</f>
        <v>36.196469999999998</v>
      </c>
      <c r="T24" s="20">
        <f>SUMIF('Income Statement Source'!$C:$C,'1. Income Statement'!$AR24,'Income Statement Source'!V:V)/1000</f>
        <v>51.793140000000001</v>
      </c>
      <c r="U24" s="20">
        <f>SUMIF('Income Statement Source'!$C:$C,'1. Income Statement'!$AR24,'Income Statement Source'!W:W)/1000</f>
        <v>42.456910000000001</v>
      </c>
      <c r="V24" s="20">
        <f>SUMIF('Income Statement Source'!$C:$C,'1. Income Statement'!$AR24,'Income Statement Source'!X:X)/1000</f>
        <v>49.582239999999999</v>
      </c>
      <c r="W24" s="20">
        <f>SUMIF('Income Statement Source'!$C:$C,'1. Income Statement'!$AR24,'Income Statement Source'!Y:Y)/1000</f>
        <v>54.228879999999997</v>
      </c>
      <c r="X24" s="20">
        <f>SUMIF('Income Statement Source'!$C:$C,'1. Income Statement'!$AR24,'Income Statement Source'!Z:Z)/1000</f>
        <v>47.745800000000003</v>
      </c>
      <c r="Y24" s="20">
        <f>SUMIF('Income Statement Source'!$C:$C,'1. Income Statement'!$AR24,'Income Statement Source'!AA:AA)/1000</f>
        <v>56.038959999999996</v>
      </c>
      <c r="Z24" s="20">
        <f>SUMIF('Income Statement Source'!$C:$C,'1. Income Statement'!$AR24,'Income Statement Source'!AB:AB)/1000</f>
        <v>52.247599999999998</v>
      </c>
      <c r="AA24" s="20">
        <f>SUMIF('Income Statement Source'!$C:$C,'1. Income Statement'!$AR24,'Income Statement Source'!AC:AC)/1000</f>
        <v>44.138160000000006</v>
      </c>
      <c r="AB24" s="20">
        <f>SUMIF('Income Statement Source'!$C:$C,'1. Income Statement'!$AR24,'Income Statement Source'!AD:AD)/1000</f>
        <v>37.548879999999997</v>
      </c>
      <c r="AC24" s="20">
        <f>SUMIF('Income Statement Source'!$C:$C,'1. Income Statement'!$AR24,'Income Statement Source'!AE:AE)/1000</f>
        <v>53.877369999999999</v>
      </c>
      <c r="AD24" s="22">
        <f t="shared" ref="AD24:AD29" si="155">SUM(R24:AC24)</f>
        <v>554.52368999999999</v>
      </c>
      <c r="AE24" s="20">
        <f>SUMIF('Income Statement Source'!$C:$C,'1. Income Statement'!$AR24,'Income Statement Source'!AG:AG)/1000</f>
        <v>22.322970000000002</v>
      </c>
      <c r="AF24" s="20">
        <f>SUMIF('Income Statement Source'!$C:$C,'1. Income Statement'!$AR24,'Income Statement Source'!AH:AH)/1000</f>
        <v>26.3794</v>
      </c>
      <c r="AG24" s="20">
        <f>SUMIF('Income Statement Source'!$C:$C,'1. Income Statement'!$AR24,'Income Statement Source'!AI:AI)/1000</f>
        <v>39.4709</v>
      </c>
      <c r="AH24" s="20">
        <f>SUMIF('Income Statement Source'!$C:$C,'1. Income Statement'!$AR24,'Income Statement Source'!AJ:AJ)/1000</f>
        <v>33.337890000000002</v>
      </c>
      <c r="AI24" s="20">
        <f>SUMIF('Income Statement Source'!$C:$C,'1. Income Statement'!$AR24,'Income Statement Source'!AK:AK)/1000</f>
        <v>32.727869999999996</v>
      </c>
      <c r="AJ24" s="20">
        <f>SUMIF('Income Statement Source'!$C:$C,'1. Income Statement'!$AR24,'Income Statement Source'!AL:AL)/1000</f>
        <v>43.805150000000005</v>
      </c>
      <c r="AK24" s="20">
        <f>SUMIF('Income Statement Source'!$C:$C,'1. Income Statement'!$AR24,'Income Statement Source'!AM:AM)/1000</f>
        <v>38.107980000000005</v>
      </c>
      <c r="AL24" s="20">
        <f>SUMIF('Income Statement Source'!$C:$C,'1. Income Statement'!$AR24,'Income Statement Source'!AN:AN)/1000</f>
        <v>37.875250000000001</v>
      </c>
      <c r="AM24" s="20">
        <f>SUMIF('Income Statement Source'!$C:$C,'1. Income Statement'!$AR24,'Income Statement Source'!AO:AO)/1000</f>
        <v>46.607320000000001</v>
      </c>
      <c r="AN24" s="20">
        <f>SUMIF('Income Statement Source'!$C:$C,'1. Income Statement'!$AR24,'Income Statement Source'!AP:AP)/1000</f>
        <v>35.486980000000003</v>
      </c>
      <c r="AO24" s="22">
        <f t="shared" ref="AO24:AO29" si="156">SUM(AE24:AN24)</f>
        <v>356.12171000000006</v>
      </c>
      <c r="AP24" s="22">
        <f t="shared" ref="AP24:AP29" si="157">SUM(AO24,AB24:AC24)</f>
        <v>447.54796000000005</v>
      </c>
      <c r="AR24" s="34" t="s">
        <v>14</v>
      </c>
    </row>
    <row r="25" spans="2:44" s="34" customFormat="1" hidden="1" outlineLevel="1" x14ac:dyDescent="0.2">
      <c r="B25" s="30" t="str">
        <f t="shared" si="153"/>
        <v>Alarm Equipment &amp; Devices</v>
      </c>
      <c r="C25" s="4"/>
      <c r="D25" s="4"/>
      <c r="E25" s="20">
        <f>SUMIF('Income Statement Source'!$C:$C,'1. Income Statement'!$AR25,'Income Statement Source'!G:G)/1000</f>
        <v>14.566600000000001</v>
      </c>
      <c r="F25" s="20">
        <f>SUMIF('Income Statement Source'!$C:$C,'1. Income Statement'!$AR25,'Income Statement Source'!H:H)/1000</f>
        <v>19.503430000000002</v>
      </c>
      <c r="G25" s="20">
        <f>SUMIF('Income Statement Source'!$C:$C,'1. Income Statement'!$AR25,'Income Statement Source'!I:I)/1000</f>
        <v>26.003689999999999</v>
      </c>
      <c r="H25" s="20">
        <f>SUMIF('Income Statement Source'!$C:$C,'1. Income Statement'!$AR25,'Income Statement Source'!J:J)/1000</f>
        <v>20.261150000000001</v>
      </c>
      <c r="I25" s="20">
        <f>SUMIF('Income Statement Source'!$C:$C,'1. Income Statement'!$AR25,'Income Statement Source'!K:K)/1000</f>
        <v>22.372119999999999</v>
      </c>
      <c r="J25" s="20">
        <f>SUMIF('Income Statement Source'!$C:$C,'1. Income Statement'!$AR25,'Income Statement Source'!L:L)/1000</f>
        <v>28.26905</v>
      </c>
      <c r="K25" s="20">
        <f>SUMIF('Income Statement Source'!$C:$C,'1. Income Statement'!$AR25,'Income Statement Source'!M:M)/1000</f>
        <v>24.855630000000001</v>
      </c>
      <c r="L25" s="20">
        <f>SUMIF('Income Statement Source'!$C:$C,'1. Income Statement'!$AR25,'Income Statement Source'!N:N)/1000</f>
        <v>20.789750000000002</v>
      </c>
      <c r="M25" s="20">
        <f>SUMIF('Income Statement Source'!$C:$C,'1. Income Statement'!$AR25,'Income Statement Source'!O:O)/1000</f>
        <v>29.16329</v>
      </c>
      <c r="N25" s="20">
        <f>SUMIF('Income Statement Source'!$C:$C,'1. Income Statement'!$AR25,'Income Statement Source'!P:P)/1000</f>
        <v>21.531179999999999</v>
      </c>
      <c r="O25" s="20">
        <f>SUMIF('Income Statement Source'!$C:$C,'1. Income Statement'!$AR25,'Income Statement Source'!Q:Q)/1000</f>
        <v>17.531209999999998</v>
      </c>
      <c r="P25" s="20">
        <f>SUMIF('Income Statement Source'!$C:$C,'1. Income Statement'!$AR25,'Income Statement Source'!R:R)/1000</f>
        <v>24.994979999999998</v>
      </c>
      <c r="Q25" s="22">
        <f t="shared" si="154"/>
        <v>269.84207999999995</v>
      </c>
      <c r="R25" s="20">
        <f>SUMIF('Income Statement Source'!$C:$C,'1. Income Statement'!$AR25,'Income Statement Source'!T:T)/1000</f>
        <v>14.941879999999999</v>
      </c>
      <c r="S25" s="20">
        <f>SUMIF('Income Statement Source'!$C:$C,'1. Income Statement'!$AR25,'Income Statement Source'!U:U)/1000</f>
        <v>20.169270000000001</v>
      </c>
      <c r="T25" s="20">
        <f>SUMIF('Income Statement Source'!$C:$C,'1. Income Statement'!$AR25,'Income Statement Source'!V:V)/1000</f>
        <v>26.325569999999999</v>
      </c>
      <c r="U25" s="20">
        <f>SUMIF('Income Statement Source'!$C:$C,'1. Income Statement'!$AR25,'Income Statement Source'!W:W)/1000</f>
        <v>25.805049999999998</v>
      </c>
      <c r="V25" s="20">
        <f>SUMIF('Income Statement Source'!$C:$C,'1. Income Statement'!$AR25,'Income Statement Source'!X:X)/1000</f>
        <v>27.245720000000002</v>
      </c>
      <c r="W25" s="20">
        <f>SUMIF('Income Statement Source'!$C:$C,'1. Income Statement'!$AR25,'Income Statement Source'!Y:Y)/1000</f>
        <v>32.459939999999996</v>
      </c>
      <c r="X25" s="20">
        <f>SUMIF('Income Statement Source'!$C:$C,'1. Income Statement'!$AR25,'Income Statement Source'!Z:Z)/1000</f>
        <v>27.853060000000003</v>
      </c>
      <c r="Y25" s="20">
        <f>SUMIF('Income Statement Source'!$C:$C,'1. Income Statement'!$AR25,'Income Statement Source'!AA:AA)/1000</f>
        <v>28.974900000000002</v>
      </c>
      <c r="Z25" s="20">
        <f>SUMIF('Income Statement Source'!$C:$C,'1. Income Statement'!$AR25,'Income Statement Source'!AB:AB)/1000</f>
        <v>30.560509999999997</v>
      </c>
      <c r="AA25" s="20">
        <f>SUMIF('Income Statement Source'!$C:$C,'1. Income Statement'!$AR25,'Income Statement Source'!AC:AC)/1000</f>
        <v>25.493310000000001</v>
      </c>
      <c r="AB25" s="20">
        <f>SUMIF('Income Statement Source'!$C:$C,'1. Income Statement'!$AR25,'Income Statement Source'!AD:AD)/1000</f>
        <v>21.989900000000002</v>
      </c>
      <c r="AC25" s="20">
        <f>SUMIF('Income Statement Source'!$C:$C,'1. Income Statement'!$AR25,'Income Statement Source'!AE:AE)/1000</f>
        <v>31.296189999999999</v>
      </c>
      <c r="AD25" s="22">
        <f t="shared" si="155"/>
        <v>313.11529999999999</v>
      </c>
      <c r="AE25" s="20">
        <f>SUMIF('Income Statement Source'!$C:$C,'1. Income Statement'!$AR25,'Income Statement Source'!AG:AG)/1000</f>
        <v>15.637559999999999</v>
      </c>
      <c r="AF25" s="20">
        <f>SUMIF('Income Statement Source'!$C:$C,'1. Income Statement'!$AR25,'Income Statement Source'!AH:AH)/1000</f>
        <v>23.660700000000002</v>
      </c>
      <c r="AG25" s="20">
        <f>SUMIF('Income Statement Source'!$C:$C,'1. Income Statement'!$AR25,'Income Statement Source'!AI:AI)/1000</f>
        <v>31.615069999999999</v>
      </c>
      <c r="AH25" s="20">
        <f>SUMIF('Income Statement Source'!$C:$C,'1. Income Statement'!$AR25,'Income Statement Source'!AJ:AJ)/1000</f>
        <v>28.20431</v>
      </c>
      <c r="AI25" s="20">
        <f>SUMIF('Income Statement Source'!$C:$C,'1. Income Statement'!$AR25,'Income Statement Source'!AK:AK)/1000</f>
        <v>27.135210000000001</v>
      </c>
      <c r="AJ25" s="20">
        <f>SUMIF('Income Statement Source'!$C:$C,'1. Income Statement'!$AR25,'Income Statement Source'!AL:AL)/1000</f>
        <v>39.056710000000002</v>
      </c>
      <c r="AK25" s="20">
        <f>SUMIF('Income Statement Source'!$C:$C,'1. Income Statement'!$AR25,'Income Statement Source'!AM:AM)/1000</f>
        <v>30.743089999999999</v>
      </c>
      <c r="AL25" s="20">
        <f>SUMIF('Income Statement Source'!$C:$C,'1. Income Statement'!$AR25,'Income Statement Source'!AN:AN)/1000</f>
        <v>28.31626</v>
      </c>
      <c r="AM25" s="20">
        <f>SUMIF('Income Statement Source'!$C:$C,'1. Income Statement'!$AR25,'Income Statement Source'!AO:AO)/1000</f>
        <v>37.5884</v>
      </c>
      <c r="AN25" s="20">
        <f>SUMIF('Income Statement Source'!$C:$C,'1. Income Statement'!$AR25,'Income Statement Source'!AP:AP)/1000</f>
        <v>25.357700000000001</v>
      </c>
      <c r="AO25" s="22">
        <f t="shared" si="156"/>
        <v>287.31501000000003</v>
      </c>
      <c r="AP25" s="22">
        <f t="shared" si="157"/>
        <v>340.60110000000003</v>
      </c>
      <c r="AR25" s="34" t="s">
        <v>15</v>
      </c>
    </row>
    <row r="26" spans="2:44" s="34" customFormat="1" hidden="1" outlineLevel="1" x14ac:dyDescent="0.2">
      <c r="B26" s="30" t="str">
        <f t="shared" si="153"/>
        <v>Pipe &amp; Valves</v>
      </c>
      <c r="C26" s="4"/>
      <c r="D26" s="4"/>
      <c r="E26" s="20">
        <f>SUMIF('Income Statement Source'!$C:$C,'1. Income Statement'!$AR26,'Income Statement Source'!G:G)/1000</f>
        <v>7.9671899999999996</v>
      </c>
      <c r="F26" s="20">
        <f>SUMIF('Income Statement Source'!$C:$C,'1. Income Statement'!$AR26,'Income Statement Source'!H:H)/1000</f>
        <v>8.8068899999999992</v>
      </c>
      <c r="G26" s="20">
        <f>SUMIF('Income Statement Source'!$C:$C,'1. Income Statement'!$AR26,'Income Statement Source'!I:I)/1000</f>
        <v>12.743840000000001</v>
      </c>
      <c r="H26" s="20">
        <f>SUMIF('Income Statement Source'!$C:$C,'1. Income Statement'!$AR26,'Income Statement Source'!J:J)/1000</f>
        <v>9.6711900000000011</v>
      </c>
      <c r="I26" s="20">
        <f>SUMIF('Income Statement Source'!$C:$C,'1. Income Statement'!$AR26,'Income Statement Source'!K:K)/1000</f>
        <v>11.5685</v>
      </c>
      <c r="J26" s="20">
        <f>SUMIF('Income Statement Source'!$C:$C,'1. Income Statement'!$AR26,'Income Statement Source'!L:L)/1000</f>
        <v>15.43408</v>
      </c>
      <c r="K26" s="20">
        <f>SUMIF('Income Statement Source'!$C:$C,'1. Income Statement'!$AR26,'Income Statement Source'!M:M)/1000</f>
        <v>12.156750000000001</v>
      </c>
      <c r="L26" s="20">
        <f>SUMIF('Income Statement Source'!$C:$C,'1. Income Statement'!$AR26,'Income Statement Source'!N:N)/1000</f>
        <v>10.3325</v>
      </c>
      <c r="M26" s="20">
        <f>SUMIF('Income Statement Source'!$C:$C,'1. Income Statement'!$AR26,'Income Statement Source'!O:O)/1000</f>
        <v>14.539339999999999</v>
      </c>
      <c r="N26" s="20">
        <f>SUMIF('Income Statement Source'!$C:$C,'1. Income Statement'!$AR26,'Income Statement Source'!P:P)/1000</f>
        <v>11.060180000000001</v>
      </c>
      <c r="O26" s="20">
        <f>SUMIF('Income Statement Source'!$C:$C,'1. Income Statement'!$AR26,'Income Statement Source'!Q:Q)/1000</f>
        <v>9.2613099999999999</v>
      </c>
      <c r="P26" s="20">
        <f>SUMIF('Income Statement Source'!$C:$C,'1. Income Statement'!$AR26,'Income Statement Source'!R:R)/1000</f>
        <v>14.45518</v>
      </c>
      <c r="Q26" s="22">
        <f t="shared" si="154"/>
        <v>137.99695</v>
      </c>
      <c r="R26" s="20">
        <f>SUMIF('Income Statement Source'!$C:$C,'1. Income Statement'!$AR26,'Income Statement Source'!T:T)/1000</f>
        <v>10.53007</v>
      </c>
      <c r="S26" s="20">
        <f>SUMIF('Income Statement Source'!$C:$C,'1. Income Statement'!$AR26,'Income Statement Source'!U:U)/1000</f>
        <v>14.370850000000001</v>
      </c>
      <c r="T26" s="20">
        <f>SUMIF('Income Statement Source'!$C:$C,'1. Income Statement'!$AR26,'Income Statement Source'!V:V)/1000</f>
        <v>19.52075</v>
      </c>
      <c r="U26" s="20">
        <f>SUMIF('Income Statement Source'!$C:$C,'1. Income Statement'!$AR26,'Income Statement Source'!W:W)/1000</f>
        <v>18.57891</v>
      </c>
      <c r="V26" s="20">
        <f>SUMIF('Income Statement Source'!$C:$C,'1. Income Statement'!$AR26,'Income Statement Source'!X:X)/1000</f>
        <v>19.334700000000002</v>
      </c>
      <c r="W26" s="20">
        <f>SUMIF('Income Statement Source'!$C:$C,'1. Income Statement'!$AR26,'Income Statement Source'!Y:Y)/1000</f>
        <v>24.458549999999999</v>
      </c>
      <c r="X26" s="20">
        <f>SUMIF('Income Statement Source'!$C:$C,'1. Income Statement'!$AR26,'Income Statement Source'!Z:Z)/1000</f>
        <v>18.698520000000002</v>
      </c>
      <c r="Y26" s="20">
        <f>SUMIF('Income Statement Source'!$C:$C,'1. Income Statement'!$AR26,'Income Statement Source'!AA:AA)/1000</f>
        <v>19.93018</v>
      </c>
      <c r="Z26" s="20">
        <f>SUMIF('Income Statement Source'!$C:$C,'1. Income Statement'!$AR26,'Income Statement Source'!AB:AB)/1000</f>
        <v>23.223310000000001</v>
      </c>
      <c r="AA26" s="20">
        <f>SUMIF('Income Statement Source'!$C:$C,'1. Income Statement'!$AR26,'Income Statement Source'!AC:AC)/1000</f>
        <v>16.76829</v>
      </c>
      <c r="AB26" s="20">
        <f>SUMIF('Income Statement Source'!$C:$C,'1. Income Statement'!$AR26,'Income Statement Source'!AD:AD)/1000</f>
        <v>14.90274</v>
      </c>
      <c r="AC26" s="20">
        <f>SUMIF('Income Statement Source'!$C:$C,'1. Income Statement'!$AR26,'Income Statement Source'!AE:AE)/1000</f>
        <v>22.127839999999999</v>
      </c>
      <c r="AD26" s="22">
        <f t="shared" si="155"/>
        <v>222.44470999999999</v>
      </c>
      <c r="AE26" s="20">
        <f>SUMIF('Income Statement Source'!$C:$C,'1. Income Statement'!$AR26,'Income Statement Source'!AG:AG)/1000</f>
        <v>8.4188999999999989</v>
      </c>
      <c r="AF26" s="20">
        <f>SUMIF('Income Statement Source'!$C:$C,'1. Income Statement'!$AR26,'Income Statement Source'!AH:AH)/1000</f>
        <v>12.34643</v>
      </c>
      <c r="AG26" s="20">
        <f>SUMIF('Income Statement Source'!$C:$C,'1. Income Statement'!$AR26,'Income Statement Source'!AI:AI)/1000</f>
        <v>13.755940000000001</v>
      </c>
      <c r="AH26" s="20">
        <f>SUMIF('Income Statement Source'!$C:$C,'1. Income Statement'!$AR26,'Income Statement Source'!AJ:AJ)/1000</f>
        <v>15.267910000000001</v>
      </c>
      <c r="AI26" s="20">
        <f>SUMIF('Income Statement Source'!$C:$C,'1. Income Statement'!$AR26,'Income Statement Source'!AK:AK)/1000</f>
        <v>14.836589999999999</v>
      </c>
      <c r="AJ26" s="20">
        <f>SUMIF('Income Statement Source'!$C:$C,'1. Income Statement'!$AR26,'Income Statement Source'!AL:AL)/1000</f>
        <v>17.905639999999998</v>
      </c>
      <c r="AK26" s="20">
        <f>SUMIF('Income Statement Source'!$C:$C,'1. Income Statement'!$AR26,'Income Statement Source'!AM:AM)/1000</f>
        <v>16.298400000000001</v>
      </c>
      <c r="AL26" s="20">
        <f>SUMIF('Income Statement Source'!$C:$C,'1. Income Statement'!$AR26,'Income Statement Source'!AN:AN)/1000</f>
        <v>13.113370000000002</v>
      </c>
      <c r="AM26" s="20">
        <f>SUMIF('Income Statement Source'!$C:$C,'1. Income Statement'!$AR26,'Income Statement Source'!AO:AO)/1000</f>
        <v>18.264500000000002</v>
      </c>
      <c r="AN26" s="20">
        <f>SUMIF('Income Statement Source'!$C:$C,'1. Income Statement'!$AR26,'Income Statement Source'!AP:AP)/1000</f>
        <v>13.09253</v>
      </c>
      <c r="AO26" s="22">
        <f t="shared" si="156"/>
        <v>143.30021000000002</v>
      </c>
      <c r="AP26" s="22">
        <f t="shared" si="157"/>
        <v>180.33079000000001</v>
      </c>
      <c r="AR26" s="34" t="s">
        <v>16</v>
      </c>
    </row>
    <row r="27" spans="2:44" s="34" customFormat="1" hidden="1" outlineLevel="1" x14ac:dyDescent="0.2">
      <c r="B27" s="30" t="str">
        <f t="shared" si="153"/>
        <v>Wire &amp; Cable</v>
      </c>
      <c r="C27" s="4"/>
      <c r="D27" s="4"/>
      <c r="E27" s="20">
        <f>SUMIF('Income Statement Source'!$C:$C,'1. Income Statement'!$AR27,'Income Statement Source'!G:G)/1000</f>
        <v>3.6096200000000001</v>
      </c>
      <c r="F27" s="20">
        <f>SUMIF('Income Statement Source'!$C:$C,'1. Income Statement'!$AR27,'Income Statement Source'!H:H)/1000</f>
        <v>4.3716099999999996</v>
      </c>
      <c r="G27" s="20">
        <f>SUMIF('Income Statement Source'!$C:$C,'1. Income Statement'!$AR27,'Income Statement Source'!I:I)/1000</f>
        <v>6.68513</v>
      </c>
      <c r="H27" s="20">
        <f>SUMIF('Income Statement Source'!$C:$C,'1. Income Statement'!$AR27,'Income Statement Source'!J:J)/1000</f>
        <v>5.4978899999999999</v>
      </c>
      <c r="I27" s="20">
        <f>SUMIF('Income Statement Source'!$C:$C,'1. Income Statement'!$AR27,'Income Statement Source'!K:K)/1000</f>
        <v>5.8976899999999999</v>
      </c>
      <c r="J27" s="20">
        <f>SUMIF('Income Statement Source'!$C:$C,'1. Income Statement'!$AR27,'Income Statement Source'!L:L)/1000</f>
        <v>6.9385500000000002</v>
      </c>
      <c r="K27" s="20">
        <f>SUMIF('Income Statement Source'!$C:$C,'1. Income Statement'!$AR27,'Income Statement Source'!M:M)/1000</f>
        <v>5.7891700000000004</v>
      </c>
      <c r="L27" s="20">
        <f>SUMIF('Income Statement Source'!$C:$C,'1. Income Statement'!$AR27,'Income Statement Source'!N:N)/1000</f>
        <v>5.8780200000000002</v>
      </c>
      <c r="M27" s="20">
        <f>SUMIF('Income Statement Source'!$C:$C,'1. Income Statement'!$AR27,'Income Statement Source'!O:O)/1000</f>
        <v>7.06928</v>
      </c>
      <c r="N27" s="20">
        <f>SUMIF('Income Statement Source'!$C:$C,'1. Income Statement'!$AR27,'Income Statement Source'!P:P)/1000</f>
        <v>5.6594300000000004</v>
      </c>
      <c r="O27" s="20">
        <f>SUMIF('Income Statement Source'!$C:$C,'1. Income Statement'!$AR27,'Income Statement Source'!Q:Q)/1000</f>
        <v>4.3896699999999997</v>
      </c>
      <c r="P27" s="20">
        <f>SUMIF('Income Statement Source'!$C:$C,'1. Income Statement'!$AR27,'Income Statement Source'!R:R)/1000</f>
        <v>6.4723500000000005</v>
      </c>
      <c r="Q27" s="22">
        <f t="shared" si="154"/>
        <v>68.258410000000012</v>
      </c>
      <c r="R27" s="20">
        <f>SUMIF('Income Statement Source'!$C:$C,'1. Income Statement'!$AR27,'Income Statement Source'!T:T)/1000</f>
        <v>3.9005199999999998</v>
      </c>
      <c r="S27" s="20">
        <f>SUMIF('Income Statement Source'!$C:$C,'1. Income Statement'!$AR27,'Income Statement Source'!U:U)/1000</f>
        <v>5.5373999999999999</v>
      </c>
      <c r="T27" s="20">
        <f>SUMIF('Income Statement Source'!$C:$C,'1. Income Statement'!$AR27,'Income Statement Source'!V:V)/1000</f>
        <v>7.3153699999999997</v>
      </c>
      <c r="U27" s="20">
        <f>SUMIF('Income Statement Source'!$C:$C,'1. Income Statement'!$AR27,'Income Statement Source'!W:W)/1000</f>
        <v>6.3195299999999994</v>
      </c>
      <c r="V27" s="20">
        <f>SUMIF('Income Statement Source'!$C:$C,'1. Income Statement'!$AR27,'Income Statement Source'!X:X)/1000</f>
        <v>6.8754900000000001</v>
      </c>
      <c r="W27" s="20">
        <f>SUMIF('Income Statement Source'!$C:$C,'1. Income Statement'!$AR27,'Income Statement Source'!Y:Y)/1000</f>
        <v>8.4700199999999999</v>
      </c>
      <c r="X27" s="20">
        <f>SUMIF('Income Statement Source'!$C:$C,'1. Income Statement'!$AR27,'Income Statement Source'!Z:Z)/1000</f>
        <v>7.0484600000000004</v>
      </c>
      <c r="Y27" s="20">
        <f>SUMIF('Income Statement Source'!$C:$C,'1. Income Statement'!$AR27,'Income Statement Source'!AA:AA)/1000</f>
        <v>7.0827499999999999</v>
      </c>
      <c r="Z27" s="20">
        <f>SUMIF('Income Statement Source'!$C:$C,'1. Income Statement'!$AR27,'Income Statement Source'!AB:AB)/1000</f>
        <v>8.29786</v>
      </c>
      <c r="AA27" s="20">
        <f>SUMIF('Income Statement Source'!$C:$C,'1. Income Statement'!$AR27,'Income Statement Source'!AC:AC)/1000</f>
        <v>5.7045699999999995</v>
      </c>
      <c r="AB27" s="20">
        <f>SUMIF('Income Statement Source'!$C:$C,'1. Income Statement'!$AR27,'Income Statement Source'!AD:AD)/1000</f>
        <v>5.9588299999999998</v>
      </c>
      <c r="AC27" s="20">
        <f>SUMIF('Income Statement Source'!$C:$C,'1. Income Statement'!$AR27,'Income Statement Source'!AE:AE)/1000</f>
        <v>7.2056499999999994</v>
      </c>
      <c r="AD27" s="22">
        <f t="shared" si="155"/>
        <v>79.716450000000009</v>
      </c>
      <c r="AE27" s="20">
        <f>SUMIF('Income Statement Source'!$C:$C,'1. Income Statement'!$AR27,'Income Statement Source'!AG:AG)/1000</f>
        <v>3.9862299999999999</v>
      </c>
      <c r="AF27" s="20">
        <f>SUMIF('Income Statement Source'!$C:$C,'1. Income Statement'!$AR27,'Income Statement Source'!AH:AH)/1000</f>
        <v>5.2044700000000006</v>
      </c>
      <c r="AG27" s="20">
        <f>SUMIF('Income Statement Source'!$C:$C,'1. Income Statement'!$AR27,'Income Statement Source'!AI:AI)/1000</f>
        <v>7.5987600000000004</v>
      </c>
      <c r="AH27" s="20">
        <f>SUMIF('Income Statement Source'!$C:$C,'1. Income Statement'!$AR27,'Income Statement Source'!AJ:AJ)/1000</f>
        <v>6.6301800000000002</v>
      </c>
      <c r="AI27" s="20">
        <f>SUMIF('Income Statement Source'!$C:$C,'1. Income Statement'!$AR27,'Income Statement Source'!AK:AK)/1000</f>
        <v>6.6855900000000004</v>
      </c>
      <c r="AJ27" s="20">
        <f>SUMIF('Income Statement Source'!$C:$C,'1. Income Statement'!$AR27,'Income Statement Source'!AL:AL)/1000</f>
        <v>8.7537900000000004</v>
      </c>
      <c r="AK27" s="20">
        <f>SUMIF('Income Statement Source'!$C:$C,'1. Income Statement'!$AR27,'Income Statement Source'!AM:AM)/1000</f>
        <v>7.4525299999999994</v>
      </c>
      <c r="AL27" s="20">
        <f>SUMIF('Income Statement Source'!$C:$C,'1. Income Statement'!$AR27,'Income Statement Source'!AN:AN)/1000</f>
        <v>7.2325600000000003</v>
      </c>
      <c r="AM27" s="20">
        <f>SUMIF('Income Statement Source'!$C:$C,'1. Income Statement'!$AR27,'Income Statement Source'!AO:AO)/1000</f>
        <v>9.1183899999999998</v>
      </c>
      <c r="AN27" s="20">
        <f>SUMIF('Income Statement Source'!$C:$C,'1. Income Statement'!$AR27,'Income Statement Source'!AP:AP)/1000</f>
        <v>6.3555200000000003</v>
      </c>
      <c r="AO27" s="22">
        <f t="shared" si="156"/>
        <v>69.018019999999993</v>
      </c>
      <c r="AP27" s="22">
        <f t="shared" si="157"/>
        <v>82.182500000000005</v>
      </c>
      <c r="AR27" s="34" t="s">
        <v>17</v>
      </c>
    </row>
    <row r="28" spans="2:44" s="34" customFormat="1" hidden="1" outlineLevel="1" x14ac:dyDescent="0.2">
      <c r="B28" s="30" t="str">
        <f t="shared" si="153"/>
        <v>Equipment Rental</v>
      </c>
      <c r="C28" s="4"/>
      <c r="D28" s="4"/>
      <c r="E28" s="20">
        <f>SUMIF('Income Statement Source'!$C:$C,'1. Income Statement'!$AR28,'Income Statement Source'!G:G)/1000</f>
        <v>2.5184799999999998</v>
      </c>
      <c r="F28" s="20">
        <f>SUMIF('Income Statement Source'!$C:$C,'1. Income Statement'!$AR28,'Income Statement Source'!H:H)/1000</f>
        <v>3.5847899999999999</v>
      </c>
      <c r="G28" s="20">
        <f>SUMIF('Income Statement Source'!$C:$C,'1. Income Statement'!$AR28,'Income Statement Source'!I:I)/1000</f>
        <v>4.5514399999999995</v>
      </c>
      <c r="H28" s="20">
        <f>SUMIF('Income Statement Source'!$C:$C,'1. Income Statement'!$AR28,'Income Statement Source'!J:J)/1000</f>
        <v>3.66865</v>
      </c>
      <c r="I28" s="20">
        <f>SUMIF('Income Statement Source'!$C:$C,'1. Income Statement'!$AR28,'Income Statement Source'!K:K)/1000</f>
        <v>4.0261300000000002</v>
      </c>
      <c r="J28" s="20">
        <f>SUMIF('Income Statement Source'!$C:$C,'1. Income Statement'!$AR28,'Income Statement Source'!L:L)/1000</f>
        <v>5.8151700000000002</v>
      </c>
      <c r="K28" s="20">
        <f>SUMIF('Income Statement Source'!$C:$C,'1. Income Statement'!$AR28,'Income Statement Source'!M:M)/1000</f>
        <v>4.3383900000000004</v>
      </c>
      <c r="L28" s="20">
        <f>SUMIF('Income Statement Source'!$C:$C,'1. Income Statement'!$AR28,'Income Statement Source'!N:N)/1000</f>
        <v>4.1257999999999999</v>
      </c>
      <c r="M28" s="20">
        <f>SUMIF('Income Statement Source'!$C:$C,'1. Income Statement'!$AR28,'Income Statement Source'!O:O)/1000</f>
        <v>4.8658599999999996</v>
      </c>
      <c r="N28" s="20">
        <f>SUMIF('Income Statement Source'!$C:$C,'1. Income Statement'!$AR28,'Income Statement Source'!P:P)/1000</f>
        <v>3.6313</v>
      </c>
      <c r="O28" s="20">
        <f>SUMIF('Income Statement Source'!$C:$C,'1. Income Statement'!$AR28,'Income Statement Source'!Q:Q)/1000</f>
        <v>3.5750600000000001</v>
      </c>
      <c r="P28" s="20">
        <f>SUMIF('Income Statement Source'!$C:$C,'1. Income Statement'!$AR28,'Income Statement Source'!R:R)/1000</f>
        <v>4.7867100000000002</v>
      </c>
      <c r="Q28" s="22">
        <f t="shared" si="154"/>
        <v>49.487780000000001</v>
      </c>
      <c r="R28" s="20">
        <f>SUMIF('Income Statement Source'!$C:$C,'1. Income Statement'!$AR28,'Income Statement Source'!T:T)/1000</f>
        <v>3.6815700000000002</v>
      </c>
      <c r="S28" s="20">
        <f>SUMIF('Income Statement Source'!$C:$C,'1. Income Statement'!$AR28,'Income Statement Source'!U:U)/1000</f>
        <v>4.7085100000000004</v>
      </c>
      <c r="T28" s="20">
        <f>SUMIF('Income Statement Source'!$C:$C,'1. Income Statement'!$AR28,'Income Statement Source'!V:V)/1000</f>
        <v>7.0259399999999994</v>
      </c>
      <c r="U28" s="20">
        <f>SUMIF('Income Statement Source'!$C:$C,'1. Income Statement'!$AR28,'Income Statement Source'!W:W)/1000</f>
        <v>5.9187500000000002</v>
      </c>
      <c r="V28" s="20">
        <f>SUMIF('Income Statement Source'!$C:$C,'1. Income Statement'!$AR28,'Income Statement Source'!X:X)/1000</f>
        <v>7.0408200000000001</v>
      </c>
      <c r="W28" s="20">
        <f>SUMIF('Income Statement Source'!$C:$C,'1. Income Statement'!$AR28,'Income Statement Source'!Y:Y)/1000</f>
        <v>8.5192300000000003</v>
      </c>
      <c r="X28" s="20">
        <f>SUMIF('Income Statement Source'!$C:$C,'1. Income Statement'!$AR28,'Income Statement Source'!Z:Z)/1000</f>
        <v>7.5467700000000004</v>
      </c>
      <c r="Y28" s="20">
        <f>SUMIF('Income Statement Source'!$C:$C,'1. Income Statement'!$AR28,'Income Statement Source'!AA:AA)/1000</f>
        <v>7.5880799999999997</v>
      </c>
      <c r="Z28" s="20">
        <f>SUMIF('Income Statement Source'!$C:$C,'1. Income Statement'!$AR28,'Income Statement Source'!AB:AB)/1000</f>
        <v>8.7548200000000005</v>
      </c>
      <c r="AA28" s="20">
        <f>SUMIF('Income Statement Source'!$C:$C,'1. Income Statement'!$AR28,'Income Statement Source'!AC:AC)/1000</f>
        <v>5.4428299999999998</v>
      </c>
      <c r="AB28" s="20">
        <f>SUMIF('Income Statement Source'!$C:$C,'1. Income Statement'!$AR28,'Income Statement Source'!AD:AD)/1000</f>
        <v>5.2739799999999999</v>
      </c>
      <c r="AC28" s="20">
        <f>SUMIF('Income Statement Source'!$C:$C,'1. Income Statement'!$AR28,'Income Statement Source'!AE:AE)/1000</f>
        <v>7.3941800000000004</v>
      </c>
      <c r="AD28" s="22">
        <f t="shared" si="155"/>
        <v>78.895479999999992</v>
      </c>
      <c r="AE28" s="20">
        <f>SUMIF('Income Statement Source'!$C:$C,'1. Income Statement'!$AR28,'Income Statement Source'!AG:AG)/1000</f>
        <v>3.3490600000000001</v>
      </c>
      <c r="AF28" s="20">
        <f>SUMIF('Income Statement Source'!$C:$C,'1. Income Statement'!$AR28,'Income Statement Source'!AH:AH)/1000</f>
        <v>4.5816400000000002</v>
      </c>
      <c r="AG28" s="20">
        <f>SUMIF('Income Statement Source'!$C:$C,'1. Income Statement'!$AR28,'Income Statement Source'!AI:AI)/1000</f>
        <v>5.9290200000000004</v>
      </c>
      <c r="AH28" s="20">
        <f>SUMIF('Income Statement Source'!$C:$C,'1. Income Statement'!$AR28,'Income Statement Source'!AJ:AJ)/1000</f>
        <v>4.93635</v>
      </c>
      <c r="AI28" s="20">
        <f>SUMIF('Income Statement Source'!$C:$C,'1. Income Statement'!$AR28,'Income Statement Source'!AK:AK)/1000</f>
        <v>5.56752</v>
      </c>
      <c r="AJ28" s="20">
        <f>SUMIF('Income Statement Source'!$C:$C,'1. Income Statement'!$AR28,'Income Statement Source'!AL:AL)/1000</f>
        <v>7.0590200000000003</v>
      </c>
      <c r="AK28" s="20">
        <f>SUMIF('Income Statement Source'!$C:$C,'1. Income Statement'!$AR28,'Income Statement Source'!AM:AM)/1000</f>
        <v>5.6539599999999997</v>
      </c>
      <c r="AL28" s="20">
        <f>SUMIF('Income Statement Source'!$C:$C,'1. Income Statement'!$AR28,'Income Statement Source'!AN:AN)/1000</f>
        <v>5.9573900000000002</v>
      </c>
      <c r="AM28" s="20">
        <f>SUMIF('Income Statement Source'!$C:$C,'1. Income Statement'!$AR28,'Income Statement Source'!AO:AO)/1000</f>
        <v>5.7922600000000006</v>
      </c>
      <c r="AN28" s="20">
        <f>SUMIF('Income Statement Source'!$C:$C,'1. Income Statement'!$AR28,'Income Statement Source'!AP:AP)/1000</f>
        <v>5.5382100000000003</v>
      </c>
      <c r="AO28" s="22">
        <f t="shared" si="156"/>
        <v>54.364430000000006</v>
      </c>
      <c r="AP28" s="22">
        <f t="shared" si="157"/>
        <v>67.032590000000013</v>
      </c>
      <c r="AR28" s="34" t="s">
        <v>18</v>
      </c>
    </row>
    <row r="29" spans="2:44" s="34" customFormat="1" hidden="1" outlineLevel="1" x14ac:dyDescent="0.2">
      <c r="B29" s="30" t="str">
        <f t="shared" si="153"/>
        <v>Job Supplies &amp; Consumables</v>
      </c>
      <c r="C29" s="4"/>
      <c r="D29" s="4"/>
      <c r="E29" s="31">
        <f>SUMIF('Income Statement Source'!$C:$C,'1. Income Statement'!$AR29,'Income Statement Source'!G:G)/1000</f>
        <v>1.57881</v>
      </c>
      <c r="F29" s="31">
        <f>SUMIF('Income Statement Source'!$C:$C,'1. Income Statement'!$AR29,'Income Statement Source'!H:H)/1000</f>
        <v>1.7511099999999999</v>
      </c>
      <c r="G29" s="31">
        <f>SUMIF('Income Statement Source'!$C:$C,'1. Income Statement'!$AR29,'Income Statement Source'!I:I)/1000</f>
        <v>2.3914899999999997</v>
      </c>
      <c r="H29" s="31">
        <f>SUMIF('Income Statement Source'!$C:$C,'1. Income Statement'!$AR29,'Income Statement Source'!J:J)/1000</f>
        <v>2.0725899999999999</v>
      </c>
      <c r="I29" s="31">
        <f>SUMIF('Income Statement Source'!$C:$C,'1. Income Statement'!$AR29,'Income Statement Source'!K:K)/1000</f>
        <v>2.12019</v>
      </c>
      <c r="J29" s="31">
        <f>SUMIF('Income Statement Source'!$C:$C,'1. Income Statement'!$AR29,'Income Statement Source'!L:L)/1000</f>
        <v>2.9964</v>
      </c>
      <c r="K29" s="31">
        <f>SUMIF('Income Statement Source'!$C:$C,'1. Income Statement'!$AR29,'Income Statement Source'!M:M)/1000</f>
        <v>2.2410300000000003</v>
      </c>
      <c r="L29" s="31">
        <f>SUMIF('Income Statement Source'!$C:$C,'1. Income Statement'!$AR29,'Income Statement Source'!N:N)/1000</f>
        <v>2.0353699999999999</v>
      </c>
      <c r="M29" s="31">
        <f>SUMIF('Income Statement Source'!$C:$C,'1. Income Statement'!$AR29,'Income Statement Source'!O:O)/1000</f>
        <v>2.9404400000000002</v>
      </c>
      <c r="N29" s="31">
        <f>SUMIF('Income Statement Source'!$C:$C,'1. Income Statement'!$AR29,'Income Statement Source'!P:P)/1000</f>
        <v>2.0836100000000002</v>
      </c>
      <c r="O29" s="31">
        <f>SUMIF('Income Statement Source'!$C:$C,'1. Income Statement'!$AR29,'Income Statement Source'!Q:Q)/1000</f>
        <v>1.78521</v>
      </c>
      <c r="P29" s="31">
        <f>SUMIF('Income Statement Source'!$C:$C,'1. Income Statement'!$AR29,'Income Statement Source'!R:R)/1000</f>
        <v>2.88374</v>
      </c>
      <c r="Q29" s="32">
        <f t="shared" si="154"/>
        <v>26.879989999999996</v>
      </c>
      <c r="R29" s="31">
        <f>SUMIF('Income Statement Source'!$C:$C,'1. Income Statement'!$AR29,'Income Statement Source'!T:T)/1000</f>
        <v>1.55321</v>
      </c>
      <c r="S29" s="31">
        <f>SUMIF('Income Statement Source'!$C:$C,'1. Income Statement'!$AR29,'Income Statement Source'!U:U)/1000</f>
        <v>1.96974</v>
      </c>
      <c r="T29" s="31">
        <f>SUMIF('Income Statement Source'!$C:$C,'1. Income Statement'!$AR29,'Income Statement Source'!V:V)/1000</f>
        <v>3.0229400000000002</v>
      </c>
      <c r="U29" s="31">
        <f>SUMIF('Income Statement Source'!$C:$C,'1. Income Statement'!$AR29,'Income Statement Source'!W:W)/1000</f>
        <v>2.5250900000000001</v>
      </c>
      <c r="V29" s="31">
        <f>SUMIF('Income Statement Source'!$C:$C,'1. Income Statement'!$AR29,'Income Statement Source'!X:X)/1000</f>
        <v>2.7115999999999998</v>
      </c>
      <c r="W29" s="31">
        <f>SUMIF('Income Statement Source'!$C:$C,'1. Income Statement'!$AR29,'Income Statement Source'!Y:Y)/1000</f>
        <v>3.5038</v>
      </c>
      <c r="X29" s="31">
        <f>SUMIF('Income Statement Source'!$C:$C,'1. Income Statement'!$AR29,'Income Statement Source'!Z:Z)/1000</f>
        <v>3.1927300000000001</v>
      </c>
      <c r="Y29" s="31">
        <f>SUMIF('Income Statement Source'!$C:$C,'1. Income Statement'!$AR29,'Income Statement Source'!AA:AA)/1000</f>
        <v>3.0058400000000001</v>
      </c>
      <c r="Z29" s="31">
        <f>SUMIF('Income Statement Source'!$C:$C,'1. Income Statement'!$AR29,'Income Statement Source'!AB:AB)/1000</f>
        <v>2.9253100000000001</v>
      </c>
      <c r="AA29" s="31">
        <f>SUMIF('Income Statement Source'!$C:$C,'1. Income Statement'!$AR29,'Income Statement Source'!AC:AC)/1000</f>
        <v>2.5011900000000002</v>
      </c>
      <c r="AB29" s="31">
        <f>SUMIF('Income Statement Source'!$C:$C,'1. Income Statement'!$AR29,'Income Statement Source'!AD:AD)/1000</f>
        <v>2.4629299999999996</v>
      </c>
      <c r="AC29" s="31">
        <f>SUMIF('Income Statement Source'!$C:$C,'1. Income Statement'!$AR29,'Income Statement Source'!AE:AE)/1000</f>
        <v>3.1719499999999998</v>
      </c>
      <c r="AD29" s="32">
        <f t="shared" si="155"/>
        <v>32.546329999999998</v>
      </c>
      <c r="AE29" s="31">
        <f>SUMIF('Income Statement Source'!$C:$C,'1. Income Statement'!$AR29,'Income Statement Source'!AG:AG)/1000</f>
        <v>1.65568</v>
      </c>
      <c r="AF29" s="31">
        <f>SUMIF('Income Statement Source'!$C:$C,'1. Income Statement'!$AR29,'Income Statement Source'!AH:AH)/1000</f>
        <v>2.4307699999999999</v>
      </c>
      <c r="AG29" s="31">
        <f>SUMIF('Income Statement Source'!$C:$C,'1. Income Statement'!$AR29,'Income Statement Source'!AI:AI)/1000</f>
        <v>3.3536999999999999</v>
      </c>
      <c r="AH29" s="31">
        <f>SUMIF('Income Statement Source'!$C:$C,'1. Income Statement'!$AR29,'Income Statement Source'!AJ:AJ)/1000</f>
        <v>3.0686</v>
      </c>
      <c r="AI29" s="31">
        <f>SUMIF('Income Statement Source'!$C:$C,'1. Income Statement'!$AR29,'Income Statement Source'!AK:AK)/1000</f>
        <v>2.59056</v>
      </c>
      <c r="AJ29" s="31">
        <f>SUMIF('Income Statement Source'!$C:$C,'1. Income Statement'!$AR29,'Income Statement Source'!AL:AL)/1000</f>
        <v>3.63916</v>
      </c>
      <c r="AK29" s="31">
        <f>SUMIF('Income Statement Source'!$C:$C,'1. Income Statement'!$AR29,'Income Statement Source'!AM:AM)/1000</f>
        <v>3.0856300000000001</v>
      </c>
      <c r="AL29" s="31">
        <f>SUMIF('Income Statement Source'!$C:$C,'1. Income Statement'!$AR29,'Income Statement Source'!AN:AN)/1000</f>
        <v>2.85981</v>
      </c>
      <c r="AM29" s="31">
        <f>SUMIF('Income Statement Source'!$C:$C,'1. Income Statement'!$AR29,'Income Statement Source'!AO:AO)/1000</f>
        <v>3.8018299999999998</v>
      </c>
      <c r="AN29" s="31">
        <f>SUMIF('Income Statement Source'!$C:$C,'1. Income Statement'!$AR29,'Income Statement Source'!AP:AP)/1000</f>
        <v>2.8854799999999998</v>
      </c>
      <c r="AO29" s="32">
        <f t="shared" si="156"/>
        <v>29.371220000000001</v>
      </c>
      <c r="AP29" s="32">
        <f t="shared" si="157"/>
        <v>35.006100000000004</v>
      </c>
      <c r="AR29" s="34" t="s">
        <v>20</v>
      </c>
    </row>
    <row r="30" spans="2:44" collapsed="1" x14ac:dyDescent="0.2">
      <c r="B30" s="27" t="str">
        <f>+B23</f>
        <v>Materials &amp; Equipment</v>
      </c>
      <c r="C30" s="10"/>
      <c r="D30" s="10"/>
      <c r="E30" s="19">
        <f>SUM(E24:E29)</f>
        <v>49.014600000000002</v>
      </c>
      <c r="F30" s="19">
        <f t="shared" ref="F30:AP30" si="158">SUM(F24:F29)</f>
        <v>60.378539999999994</v>
      </c>
      <c r="G30" s="19">
        <f t="shared" si="158"/>
        <v>82.904820000000001</v>
      </c>
      <c r="H30" s="19">
        <f t="shared" si="158"/>
        <v>67.484660000000005</v>
      </c>
      <c r="I30" s="19">
        <f t="shared" si="158"/>
        <v>71.138529999999989</v>
      </c>
      <c r="J30" s="19">
        <f t="shared" si="158"/>
        <v>94.72672</v>
      </c>
      <c r="K30" s="19">
        <f t="shared" si="158"/>
        <v>81.726690000000005</v>
      </c>
      <c r="L30" s="19">
        <f t="shared" si="158"/>
        <v>70.357960000000006</v>
      </c>
      <c r="M30" s="19">
        <f t="shared" si="158"/>
        <v>93.192139999999995</v>
      </c>
      <c r="N30" s="19">
        <f t="shared" si="158"/>
        <v>70.879050000000007</v>
      </c>
      <c r="O30" s="19">
        <f t="shared" si="158"/>
        <v>58.67877</v>
      </c>
      <c r="P30" s="19">
        <f t="shared" si="158"/>
        <v>88.390570000000011</v>
      </c>
      <c r="Q30" s="21">
        <f t="shared" si="158"/>
        <v>888.87305000000003</v>
      </c>
      <c r="R30" s="19">
        <f t="shared" si="158"/>
        <v>63.276530000000001</v>
      </c>
      <c r="S30" s="19">
        <f t="shared" si="158"/>
        <v>82.952240000000018</v>
      </c>
      <c r="T30" s="19">
        <f t="shared" si="158"/>
        <v>115.00371</v>
      </c>
      <c r="U30" s="19">
        <f t="shared" si="158"/>
        <v>101.60424</v>
      </c>
      <c r="V30" s="19">
        <f t="shared" si="158"/>
        <v>112.79057</v>
      </c>
      <c r="W30" s="19">
        <f t="shared" si="158"/>
        <v>131.64042000000001</v>
      </c>
      <c r="X30" s="19">
        <f t="shared" si="158"/>
        <v>112.08534</v>
      </c>
      <c r="Y30" s="19">
        <f t="shared" si="158"/>
        <v>122.62071000000002</v>
      </c>
      <c r="Z30" s="19">
        <f t="shared" si="158"/>
        <v>126.00940999999999</v>
      </c>
      <c r="AA30" s="19">
        <f t="shared" si="158"/>
        <v>100.04835000000001</v>
      </c>
      <c r="AB30" s="19">
        <f t="shared" si="158"/>
        <v>88.137259999999998</v>
      </c>
      <c r="AC30" s="19">
        <f t="shared" si="158"/>
        <v>125.07318000000001</v>
      </c>
      <c r="AD30" s="21">
        <f t="shared" si="158"/>
        <v>1281.2419599999998</v>
      </c>
      <c r="AE30" s="19">
        <f t="shared" si="158"/>
        <v>55.370399999999997</v>
      </c>
      <c r="AF30" s="19">
        <f t="shared" si="158"/>
        <v>74.603409999999997</v>
      </c>
      <c r="AG30" s="19">
        <f t="shared" si="158"/>
        <v>101.72338999999999</v>
      </c>
      <c r="AH30" s="19">
        <f t="shared" si="158"/>
        <v>91.445240000000013</v>
      </c>
      <c r="AI30" s="19">
        <f t="shared" si="158"/>
        <v>89.543340000000001</v>
      </c>
      <c r="AJ30" s="19">
        <f t="shared" si="158"/>
        <v>120.21947000000002</v>
      </c>
      <c r="AK30" s="19">
        <f t="shared" si="158"/>
        <v>101.34159</v>
      </c>
      <c r="AL30" s="19">
        <f t="shared" si="158"/>
        <v>95.354640000000003</v>
      </c>
      <c r="AM30" s="19">
        <f t="shared" si="158"/>
        <v>121.17269999999999</v>
      </c>
      <c r="AN30" s="19">
        <f t="shared" si="158"/>
        <v>88.716420000000014</v>
      </c>
      <c r="AO30" s="21">
        <f t="shared" si="158"/>
        <v>939.49060000000009</v>
      </c>
      <c r="AP30" s="21">
        <f t="shared" si="158"/>
        <v>1152.7010400000001</v>
      </c>
    </row>
    <row r="31" spans="2:44" x14ac:dyDescent="0.2">
      <c r="B31" s="28"/>
      <c r="C31" s="10"/>
      <c r="D31" s="10"/>
      <c r="E31" s="45">
        <f t="shared" ref="E31:AP31" si="159">IFERROR(E30/E$19,0)</f>
        <v>0.25800414178589487</v>
      </c>
      <c r="F31" s="45">
        <f t="shared" si="159"/>
        <v>0.26565737887591739</v>
      </c>
      <c r="G31" s="45">
        <f t="shared" si="159"/>
        <v>0.26950791463616935</v>
      </c>
      <c r="H31" s="45">
        <f t="shared" si="159"/>
        <v>0.26091733949346485</v>
      </c>
      <c r="I31" s="45">
        <f t="shared" si="159"/>
        <v>0.26175330282719644</v>
      </c>
      <c r="J31" s="45">
        <f t="shared" si="159"/>
        <v>0.25723125782185385</v>
      </c>
      <c r="K31" s="45">
        <f t="shared" si="159"/>
        <v>0.2701739216299926</v>
      </c>
      <c r="L31" s="45">
        <f t="shared" si="159"/>
        <v>0.25379591179780847</v>
      </c>
      <c r="M31" s="45">
        <f t="shared" si="159"/>
        <v>0.26304652135808826</v>
      </c>
      <c r="N31" s="45">
        <f t="shared" si="159"/>
        <v>0.2653105279009127</v>
      </c>
      <c r="O31" s="45">
        <f t="shared" si="159"/>
        <v>0.26045631055636281</v>
      </c>
      <c r="P31" s="45">
        <f t="shared" si="159"/>
        <v>0.26066835655190518</v>
      </c>
      <c r="Q31" s="46">
        <f t="shared" si="159"/>
        <v>0.26227517104118614</v>
      </c>
      <c r="R31" s="45">
        <f t="shared" si="159"/>
        <v>0.31246559690053471</v>
      </c>
      <c r="S31" s="45">
        <f t="shared" si="159"/>
        <v>0.32125789965204399</v>
      </c>
      <c r="T31" s="45">
        <f t="shared" si="159"/>
        <v>0.32590478593592215</v>
      </c>
      <c r="U31" s="45">
        <f t="shared" si="159"/>
        <v>0.31781150616692805</v>
      </c>
      <c r="V31" s="45">
        <f t="shared" si="159"/>
        <v>0.33169547938606386</v>
      </c>
      <c r="W31" s="45">
        <f t="shared" si="159"/>
        <v>0.30079050481163877</v>
      </c>
      <c r="X31" s="45">
        <f t="shared" si="159"/>
        <v>0.30203066332857126</v>
      </c>
      <c r="Y31" s="45">
        <f t="shared" si="159"/>
        <v>0.32176547405604422</v>
      </c>
      <c r="Z31" s="45">
        <f t="shared" si="159"/>
        <v>0.31652509631754816</v>
      </c>
      <c r="AA31" s="45">
        <f t="shared" si="159"/>
        <v>0.32770967058198569</v>
      </c>
      <c r="AB31" s="45">
        <f t="shared" si="159"/>
        <v>0.30112139604410393</v>
      </c>
      <c r="AC31" s="45">
        <f t="shared" si="159"/>
        <v>0.32036327508421392</v>
      </c>
      <c r="AD31" s="46">
        <f t="shared" si="159"/>
        <v>0.31638088595174957</v>
      </c>
      <c r="AE31" s="45">
        <f t="shared" si="159"/>
        <v>0.2606314456039695</v>
      </c>
      <c r="AF31" s="45">
        <f t="shared" si="159"/>
        <v>0.26402799616405387</v>
      </c>
      <c r="AG31" s="45">
        <f t="shared" si="159"/>
        <v>0.26653634979261842</v>
      </c>
      <c r="AH31" s="45">
        <f t="shared" si="159"/>
        <v>0.26207077121713035</v>
      </c>
      <c r="AI31" s="45">
        <f t="shared" si="159"/>
        <v>0.25901676806338814</v>
      </c>
      <c r="AJ31" s="45">
        <f t="shared" si="159"/>
        <v>0.25449407785309192</v>
      </c>
      <c r="AK31" s="45">
        <f t="shared" si="159"/>
        <v>0.26318830882583238</v>
      </c>
      <c r="AL31" s="45">
        <f t="shared" si="159"/>
        <v>0.26940835971744548</v>
      </c>
      <c r="AM31" s="45">
        <f t="shared" si="159"/>
        <v>0.27713593698539907</v>
      </c>
      <c r="AN31" s="45">
        <f t="shared" si="159"/>
        <v>0.26227477442187991</v>
      </c>
      <c r="AO31" s="46">
        <f t="shared" si="159"/>
        <v>0.26403807532905449</v>
      </c>
      <c r="AP31" s="46">
        <f t="shared" si="159"/>
        <v>0.27178200860794416</v>
      </c>
    </row>
    <row r="32" spans="2:44" hidden="1" outlineLevel="1" x14ac:dyDescent="0.2">
      <c r="B32" s="29" t="s">
        <v>91</v>
      </c>
      <c r="Q32" s="17"/>
      <c r="AD32" s="17"/>
      <c r="AO32" s="17"/>
      <c r="AP32" s="17"/>
    </row>
    <row r="33" spans="2:44" hidden="1" outlineLevel="1" x14ac:dyDescent="0.2">
      <c r="B33" s="30" t="str">
        <f>+AR33</f>
        <v>Sprinkler Subcontractor Labor</v>
      </c>
      <c r="E33" s="20">
        <f>SUMIF('Income Statement Source'!$C:$C,'1. Income Statement'!$AR33,'Income Statement Source'!G:G)/1000</f>
        <v>68.645579999999995</v>
      </c>
      <c r="F33" s="20">
        <f>SUMIF('Income Statement Source'!$C:$C,'1. Income Statement'!$AR33,'Income Statement Source'!H:H)/1000</f>
        <v>87.779169999999993</v>
      </c>
      <c r="G33" s="20">
        <f>SUMIF('Income Statement Source'!$C:$C,'1. Income Statement'!$AR33,'Income Statement Source'!I:I)/1000</f>
        <v>9.7035599999999995</v>
      </c>
      <c r="H33" s="20">
        <f>SUMIF('Income Statement Source'!$C:$C,'1. Income Statement'!$AR33,'Income Statement Source'!J:J)/1000</f>
        <v>53.700160000000004</v>
      </c>
      <c r="I33" s="20">
        <f>SUMIF('Income Statement Source'!$C:$C,'1. Income Statement'!$AR33,'Income Statement Source'!K:K)/1000</f>
        <v>60.771239999999999</v>
      </c>
      <c r="J33" s="20">
        <f>SUMIF('Income Statement Source'!$C:$C,'1. Income Statement'!$AR33,'Income Statement Source'!L:L)/1000</f>
        <v>148.81246999999999</v>
      </c>
      <c r="K33" s="20">
        <f>SUMIF('Income Statement Source'!$C:$C,'1. Income Statement'!$AR33,'Income Statement Source'!M:M)/1000</f>
        <v>9.9296900000000008</v>
      </c>
      <c r="L33" s="20">
        <f>SUMIF('Income Statement Source'!$C:$C,'1. Income Statement'!$AR33,'Income Statement Source'!N:N)/1000</f>
        <v>61.478739999999995</v>
      </c>
      <c r="M33" s="20">
        <f>SUMIF('Income Statement Source'!$C:$C,'1. Income Statement'!$AR33,'Income Statement Source'!O:O)/1000</f>
        <v>153.63807</v>
      </c>
      <c r="N33" s="20">
        <f>SUMIF('Income Statement Source'!$C:$C,'1. Income Statement'!$AR33,'Income Statement Source'!P:P)/1000</f>
        <v>8.6542499999999993</v>
      </c>
      <c r="O33" s="20">
        <f>SUMIF('Income Statement Source'!$C:$C,'1. Income Statement'!$AR33,'Income Statement Source'!Q:Q)/1000</f>
        <v>51.544899999999998</v>
      </c>
      <c r="P33" s="20">
        <f>SUMIF('Income Statement Source'!$C:$C,'1. Income Statement'!$AR33,'Income Statement Source'!R:R)/1000</f>
        <v>70.200149999999994</v>
      </c>
      <c r="Q33" s="22">
        <f>SUM(E33:P33)</f>
        <v>784.85798000000011</v>
      </c>
      <c r="R33" s="20">
        <f>SUMIF('Income Statement Source'!$C:$C,'1. Income Statement'!$AR33,'Income Statement Source'!T:T)/1000</f>
        <v>63.853499999999997</v>
      </c>
      <c r="S33" s="20">
        <f>SUMIF('Income Statement Source'!$C:$C,'1. Income Statement'!$AR33,'Income Statement Source'!U:U)/1000</f>
        <v>79.892859999999999</v>
      </c>
      <c r="T33" s="20">
        <f>SUMIF('Income Statement Source'!$C:$C,'1. Income Statement'!$AR33,'Income Statement Source'!V:V)/1000</f>
        <v>191.93298999999999</v>
      </c>
      <c r="U33" s="20">
        <f>SUMIF('Income Statement Source'!$C:$C,'1. Income Statement'!$AR33,'Income Statement Source'!W:W)/1000</f>
        <v>14.94238</v>
      </c>
      <c r="V33" s="20">
        <f>SUMIF('Income Statement Source'!$C:$C,'1. Income Statement'!$AR33,'Income Statement Source'!X:X)/1000</f>
        <v>102.26975</v>
      </c>
      <c r="W33" s="20">
        <f>SUMIF('Income Statement Source'!$C:$C,'1. Income Statement'!$AR33,'Income Statement Source'!Y:Y)/1000</f>
        <v>130.93172999999999</v>
      </c>
      <c r="X33" s="20">
        <f>SUMIF('Income Statement Source'!$C:$C,'1. Income Statement'!$AR33,'Income Statement Source'!Z:Z)/1000</f>
        <v>207.77417000000003</v>
      </c>
      <c r="Y33" s="20">
        <f>SUMIF('Income Statement Source'!$C:$C,'1. Income Statement'!$AR33,'Income Statement Source'!AA:AA)/1000</f>
        <v>17.119019999999999</v>
      </c>
      <c r="Z33" s="20">
        <f>SUMIF('Income Statement Source'!$C:$C,'1. Income Statement'!$AR33,'Income Statement Source'!AB:AB)/1000</f>
        <v>118.43041000000001</v>
      </c>
      <c r="AA33" s="20">
        <f>SUMIF('Income Statement Source'!$C:$C,'1. Income Statement'!$AR33,'Income Statement Source'!AC:AC)/1000</f>
        <v>87.045690000000008</v>
      </c>
      <c r="AB33" s="20">
        <f>SUMIF('Income Statement Source'!$C:$C,'1. Income Statement'!$AR33,'Income Statement Source'!AD:AD)/1000</f>
        <v>159.36507</v>
      </c>
      <c r="AC33" s="20">
        <f>SUMIF('Income Statement Source'!$C:$C,'1. Income Statement'!$AR33,'Income Statement Source'!AE:AE)/1000</f>
        <v>17.59675</v>
      </c>
      <c r="AD33" s="22">
        <f>SUM(R33:AC33)</f>
        <v>1191.1543200000001</v>
      </c>
      <c r="AE33" s="20">
        <f>SUMIF('Income Statement Source'!$C:$C,'1. Income Statement'!$AR33,'Income Statement Source'!AG:AG)/1000</f>
        <v>49.127040000000001</v>
      </c>
      <c r="AF33" s="20">
        <f>SUMIF('Income Statement Source'!$C:$C,'1. Income Statement'!$AR33,'Income Statement Source'!AH:AH)/1000</f>
        <v>65.794800000000009</v>
      </c>
      <c r="AG33" s="20">
        <f>SUMIF('Income Statement Source'!$C:$C,'1. Income Statement'!$AR33,'Income Statement Source'!AI:AI)/1000</f>
        <v>89.679100000000005</v>
      </c>
      <c r="AH33" s="20">
        <f>SUMIF('Income Statement Source'!$C:$C,'1. Income Statement'!$AR33,'Income Statement Source'!AJ:AJ)/1000</f>
        <v>150.91857000000002</v>
      </c>
      <c r="AI33" s="20">
        <f>SUMIF('Income Statement Source'!$C:$C,'1. Income Statement'!$AR33,'Income Statement Source'!AK:AK)/1000</f>
        <v>11.57816</v>
      </c>
      <c r="AJ33" s="20">
        <f>SUMIF('Income Statement Source'!$C:$C,'1. Income Statement'!$AR33,'Income Statement Source'!AL:AL)/1000</f>
        <v>101.82188000000001</v>
      </c>
      <c r="AK33" s="20">
        <f>SUMIF('Income Statement Source'!$C:$C,'1. Income Statement'!$AR33,'Income Statement Source'!AM:AM)/1000</f>
        <v>80.430949999999996</v>
      </c>
      <c r="AL33" s="20">
        <f>SUMIF('Income Statement Source'!$C:$C,'1. Income Statement'!$AR33,'Income Statement Source'!AN:AN)/1000</f>
        <v>145.96460999999999</v>
      </c>
      <c r="AM33" s="20">
        <f>SUMIF('Income Statement Source'!$C:$C,'1. Income Statement'!$AR33,'Income Statement Source'!AO:AO)/1000</f>
        <v>14.04965</v>
      </c>
      <c r="AN33" s="20">
        <f>SUMIF('Income Statement Source'!$C:$C,'1. Income Statement'!$AR33,'Income Statement Source'!AP:AP)/1000</f>
        <v>73.115839999999992</v>
      </c>
      <c r="AO33" s="22">
        <f>SUM(AE33:AN33)</f>
        <v>782.48060000000009</v>
      </c>
      <c r="AP33" s="22">
        <f>SUM(AO33,AB33:AC33)</f>
        <v>959.4424200000002</v>
      </c>
      <c r="AR33" s="4" t="s">
        <v>12</v>
      </c>
    </row>
    <row r="34" spans="2:44" hidden="1" outlineLevel="1" x14ac:dyDescent="0.2">
      <c r="B34" s="30" t="str">
        <f>+AR34</f>
        <v>Subcontractor - Other</v>
      </c>
      <c r="E34" s="31">
        <f>SUMIF('Income Statement Source'!$C:$C,'1. Income Statement'!$AR34,'Income Statement Source'!G:G)/1000</f>
        <v>0.94555999999999996</v>
      </c>
      <c r="F34" s="31">
        <f>SUMIF('Income Statement Source'!$C:$C,'1. Income Statement'!$AR34,'Income Statement Source'!H:H)/1000</f>
        <v>1.1138399999999999</v>
      </c>
      <c r="G34" s="31">
        <f>SUMIF('Income Statement Source'!$C:$C,'1. Income Statement'!$AR34,'Income Statement Source'!I:I)/1000</f>
        <v>1.66517</v>
      </c>
      <c r="H34" s="31">
        <f>SUMIF('Income Statement Source'!$C:$C,'1. Income Statement'!$AR34,'Income Statement Source'!J:J)/1000</f>
        <v>1.4635100000000001</v>
      </c>
      <c r="I34" s="31">
        <f>SUMIF('Income Statement Source'!$C:$C,'1. Income Statement'!$AR34,'Income Statement Source'!K:K)/1000</f>
        <v>1.3703299999999998</v>
      </c>
      <c r="J34" s="31">
        <f>SUMIF('Income Statement Source'!$C:$C,'1. Income Statement'!$AR34,'Income Statement Source'!L:L)/1000</f>
        <v>2.1140700000000003</v>
      </c>
      <c r="K34" s="31">
        <f>SUMIF('Income Statement Source'!$C:$C,'1. Income Statement'!$AR34,'Income Statement Source'!M:M)/1000</f>
        <v>1.4732100000000001</v>
      </c>
      <c r="L34" s="31">
        <f>SUMIF('Income Statement Source'!$C:$C,'1. Income Statement'!$AR34,'Income Statement Source'!N:N)/1000</f>
        <v>1.3715899999999999</v>
      </c>
      <c r="M34" s="31">
        <f>SUMIF('Income Statement Source'!$C:$C,'1. Income Statement'!$AR34,'Income Statement Source'!O:O)/1000</f>
        <v>1.96726</v>
      </c>
      <c r="N34" s="31">
        <f>SUMIF('Income Statement Source'!$C:$C,'1. Income Statement'!$AR34,'Income Statement Source'!P:P)/1000</f>
        <v>1.371</v>
      </c>
      <c r="O34" s="31">
        <f>SUMIF('Income Statement Source'!$C:$C,'1. Income Statement'!$AR34,'Income Statement Source'!Q:Q)/1000</f>
        <v>1.1138399999999999</v>
      </c>
      <c r="P34" s="31">
        <f>SUMIF('Income Statement Source'!$C:$C,'1. Income Statement'!$AR34,'Income Statement Source'!R:R)/1000</f>
        <v>1.8870100000000001</v>
      </c>
      <c r="Q34" s="32">
        <f>SUM(E34:P34)</f>
        <v>17.856389999999998</v>
      </c>
      <c r="R34" s="31">
        <f>SUMIF('Income Statement Source'!$C:$C,'1. Income Statement'!$AR34,'Income Statement Source'!T:T)/1000</f>
        <v>0.95702999999999994</v>
      </c>
      <c r="S34" s="31">
        <f>SUMIF('Income Statement Source'!$C:$C,'1. Income Statement'!$AR34,'Income Statement Source'!U:U)/1000</f>
        <v>1.2168399999999999</v>
      </c>
      <c r="T34" s="31">
        <f>SUMIF('Income Statement Source'!$C:$C,'1. Income Statement'!$AR34,'Income Statement Source'!V:V)/1000</f>
        <v>1.7644200000000001</v>
      </c>
      <c r="U34" s="31">
        <f>SUMIF('Income Statement Source'!$C:$C,'1. Income Statement'!$AR34,'Income Statement Source'!W:W)/1000</f>
        <v>1.41398</v>
      </c>
      <c r="V34" s="31">
        <f>SUMIF('Income Statement Source'!$C:$C,'1. Income Statement'!$AR34,'Income Statement Source'!X:X)/1000</f>
        <v>1.6474300000000002</v>
      </c>
      <c r="W34" s="31">
        <f>SUMIF('Income Statement Source'!$C:$C,'1. Income Statement'!$AR34,'Income Statement Source'!Y:Y)/1000</f>
        <v>2.2589899999999998</v>
      </c>
      <c r="X34" s="31">
        <f>SUMIF('Income Statement Source'!$C:$C,'1. Income Statement'!$AR34,'Income Statement Source'!Z:Z)/1000</f>
        <v>1.74329</v>
      </c>
      <c r="Y34" s="31">
        <f>SUMIF('Income Statement Source'!$C:$C,'1. Income Statement'!$AR34,'Income Statement Source'!AA:AA)/1000</f>
        <v>1.6478299999999999</v>
      </c>
      <c r="Z34" s="31">
        <f>SUMIF('Income Statement Source'!$C:$C,'1. Income Statement'!$AR34,'Income Statement Source'!AB:AB)/1000</f>
        <v>1.97218</v>
      </c>
      <c r="AA34" s="31">
        <f>SUMIF('Income Statement Source'!$C:$C,'1. Income Statement'!$AR34,'Income Statement Source'!AC:AC)/1000</f>
        <v>1.3564000000000001</v>
      </c>
      <c r="AB34" s="31">
        <f>SUMIF('Income Statement Source'!$C:$C,'1. Income Statement'!$AR34,'Income Statement Source'!AD:AD)/1000</f>
        <v>1.3244</v>
      </c>
      <c r="AC34" s="31">
        <f>SUMIF('Income Statement Source'!$C:$C,'1. Income Statement'!$AR34,'Income Statement Source'!AE:AE)/1000</f>
        <v>1.7822200000000001</v>
      </c>
      <c r="AD34" s="32">
        <f>SUM(R34:AC34)</f>
        <v>19.08501</v>
      </c>
      <c r="AE34" s="31">
        <f>SUMIF('Income Statement Source'!$C:$C,'1. Income Statement'!$AR34,'Income Statement Source'!AG:AG)/1000</f>
        <v>1.1556999999999999</v>
      </c>
      <c r="AF34" s="31">
        <f>SUMIF('Income Statement Source'!$C:$C,'1. Income Statement'!$AR34,'Income Statement Source'!AH:AH)/1000</f>
        <v>1.43743</v>
      </c>
      <c r="AG34" s="31">
        <f>SUMIF('Income Statement Source'!$C:$C,'1. Income Statement'!$AR34,'Income Statement Source'!AI:AI)/1000</f>
        <v>1.77278</v>
      </c>
      <c r="AH34" s="31">
        <f>SUMIF('Income Statement Source'!$C:$C,'1. Income Statement'!$AR34,'Income Statement Source'!AJ:AJ)/1000</f>
        <v>1.5956600000000001</v>
      </c>
      <c r="AI34" s="31">
        <f>SUMIF('Income Statement Source'!$C:$C,'1. Income Statement'!$AR34,'Income Statement Source'!AK:AK)/1000</f>
        <v>1.83216</v>
      </c>
      <c r="AJ34" s="31">
        <f>SUMIF('Income Statement Source'!$C:$C,'1. Income Statement'!$AR34,'Income Statement Source'!AL:AL)/1000</f>
        <v>2.1887699999999999</v>
      </c>
      <c r="AK34" s="31">
        <f>SUMIF('Income Statement Source'!$C:$C,'1. Income Statement'!$AR34,'Income Statement Source'!AM:AM)/1000</f>
        <v>1.9872799999999999</v>
      </c>
      <c r="AL34" s="31">
        <f>SUMIF('Income Statement Source'!$C:$C,'1. Income Statement'!$AR34,'Income Statement Source'!AN:AN)/1000</f>
        <v>1.7018800000000001</v>
      </c>
      <c r="AM34" s="31">
        <f>SUMIF('Income Statement Source'!$C:$C,'1. Income Statement'!$AR34,'Income Statement Source'!AO:AO)/1000</f>
        <v>2.0442999999999998</v>
      </c>
      <c r="AN34" s="31">
        <f>SUMIF('Income Statement Source'!$C:$C,'1. Income Statement'!$AR34,'Income Statement Source'!AP:AP)/1000</f>
        <v>1.4618100000000001</v>
      </c>
      <c r="AO34" s="32">
        <f>SUM(AE34:AN34)</f>
        <v>17.177769999999999</v>
      </c>
      <c r="AP34" s="32">
        <f>SUM(AO34,AB34:AC34)</f>
        <v>20.284389999999998</v>
      </c>
      <c r="AR34" s="4" t="s">
        <v>21</v>
      </c>
    </row>
    <row r="35" spans="2:44" s="34" customFormat="1" collapsed="1" x14ac:dyDescent="0.2">
      <c r="B35" s="33" t="str">
        <f>+B32</f>
        <v>Subcontract</v>
      </c>
      <c r="E35" s="20">
        <f>SUM(E33:E34)</f>
        <v>69.591139999999996</v>
      </c>
      <c r="F35" s="20">
        <f t="shared" ref="F35:AP35" si="160">SUM(F33:F34)</f>
        <v>88.89300999999999</v>
      </c>
      <c r="G35" s="20">
        <f t="shared" si="160"/>
        <v>11.368729999999999</v>
      </c>
      <c r="H35" s="20">
        <f t="shared" si="160"/>
        <v>55.163670000000003</v>
      </c>
      <c r="I35" s="20">
        <f t="shared" si="160"/>
        <v>62.141570000000002</v>
      </c>
      <c r="J35" s="20">
        <f t="shared" si="160"/>
        <v>150.92653999999999</v>
      </c>
      <c r="K35" s="20">
        <f t="shared" si="160"/>
        <v>11.402900000000001</v>
      </c>
      <c r="L35" s="20">
        <f t="shared" si="160"/>
        <v>62.850329999999992</v>
      </c>
      <c r="M35" s="20">
        <f t="shared" si="160"/>
        <v>155.60533000000001</v>
      </c>
      <c r="N35" s="20">
        <f t="shared" si="160"/>
        <v>10.02525</v>
      </c>
      <c r="O35" s="20">
        <f t="shared" si="160"/>
        <v>52.658740000000002</v>
      </c>
      <c r="P35" s="20">
        <f t="shared" si="160"/>
        <v>72.087159999999997</v>
      </c>
      <c r="Q35" s="22">
        <f t="shared" si="160"/>
        <v>802.71437000000014</v>
      </c>
      <c r="R35" s="20">
        <f t="shared" si="160"/>
        <v>64.81053</v>
      </c>
      <c r="S35" s="20">
        <f t="shared" si="160"/>
        <v>81.109700000000004</v>
      </c>
      <c r="T35" s="20">
        <f t="shared" si="160"/>
        <v>193.69740999999999</v>
      </c>
      <c r="U35" s="20">
        <f t="shared" si="160"/>
        <v>16.356359999999999</v>
      </c>
      <c r="V35" s="20">
        <f t="shared" si="160"/>
        <v>103.91718</v>
      </c>
      <c r="W35" s="20">
        <f t="shared" si="160"/>
        <v>133.19072</v>
      </c>
      <c r="X35" s="20">
        <f t="shared" si="160"/>
        <v>209.51746000000003</v>
      </c>
      <c r="Y35" s="20">
        <f t="shared" si="160"/>
        <v>18.766849999999998</v>
      </c>
      <c r="Z35" s="20">
        <f t="shared" si="160"/>
        <v>120.40259</v>
      </c>
      <c r="AA35" s="20">
        <f t="shared" si="160"/>
        <v>88.402090000000001</v>
      </c>
      <c r="AB35" s="20">
        <f t="shared" si="160"/>
        <v>160.68947</v>
      </c>
      <c r="AC35" s="20">
        <f t="shared" si="160"/>
        <v>19.378969999999999</v>
      </c>
      <c r="AD35" s="22">
        <f t="shared" si="160"/>
        <v>1210.2393300000001</v>
      </c>
      <c r="AE35" s="20">
        <f t="shared" si="160"/>
        <v>50.282740000000004</v>
      </c>
      <c r="AF35" s="20">
        <f t="shared" si="160"/>
        <v>67.232230000000015</v>
      </c>
      <c r="AG35" s="20">
        <f t="shared" si="160"/>
        <v>91.451880000000003</v>
      </c>
      <c r="AH35" s="20">
        <f t="shared" si="160"/>
        <v>152.51423000000003</v>
      </c>
      <c r="AI35" s="20">
        <f t="shared" si="160"/>
        <v>13.41032</v>
      </c>
      <c r="AJ35" s="20">
        <f t="shared" si="160"/>
        <v>104.01065000000001</v>
      </c>
      <c r="AK35" s="20">
        <f t="shared" si="160"/>
        <v>82.418229999999994</v>
      </c>
      <c r="AL35" s="20">
        <f t="shared" si="160"/>
        <v>147.66648999999998</v>
      </c>
      <c r="AM35" s="20">
        <f t="shared" si="160"/>
        <v>16.09395</v>
      </c>
      <c r="AN35" s="20">
        <f t="shared" si="160"/>
        <v>74.577649999999991</v>
      </c>
      <c r="AO35" s="22">
        <f t="shared" si="160"/>
        <v>799.6583700000001</v>
      </c>
      <c r="AP35" s="22">
        <f t="shared" si="160"/>
        <v>979.72681000000023</v>
      </c>
    </row>
    <row r="36" spans="2:44" s="34" customFormat="1" x14ac:dyDescent="0.2">
      <c r="B36" s="35"/>
      <c r="E36" s="51">
        <f>IFERROR(E35/E$19,0)</f>
        <v>0.36631539075300135</v>
      </c>
      <c r="F36" s="51">
        <f t="shared" ref="F36" si="161">IFERROR(F35/F$19,0)</f>
        <v>0.39111717568842691</v>
      </c>
      <c r="G36" s="51">
        <f t="shared" ref="G36" si="162">IFERROR(G35/G$19,0)</f>
        <v>3.6957594436145658E-2</v>
      </c>
      <c r="H36" s="51">
        <f t="shared" ref="H36" si="163">IFERROR(H35/H$19,0)</f>
        <v>0.21328044051930412</v>
      </c>
      <c r="I36" s="51">
        <f t="shared" ref="I36" si="164">IFERROR(I35/I$19,0)</f>
        <v>0.22864910464648946</v>
      </c>
      <c r="J36" s="51">
        <f t="shared" ref="J36" si="165">IFERROR(J35/J$19,0)</f>
        <v>0.4098423731223918</v>
      </c>
      <c r="K36" s="51">
        <f t="shared" ref="K36" si="166">IFERROR(K35/K$19,0)</f>
        <v>3.769596212638298E-2</v>
      </c>
      <c r="L36" s="51">
        <f t="shared" ref="L36" si="167">IFERROR(L35/L$19,0)</f>
        <v>0.22671431646317133</v>
      </c>
      <c r="M36" s="51">
        <f t="shared" ref="M36" si="168">IFERROR(M35/M$19,0)</f>
        <v>0.43921559008385663</v>
      </c>
      <c r="N36" s="51">
        <f t="shared" ref="N36" si="169">IFERROR(N35/N$19,0)</f>
        <v>3.7525959643062719E-2</v>
      </c>
      <c r="O36" s="51">
        <f t="shared" ref="O36" si="170">IFERROR(O35/O$19,0)</f>
        <v>0.23373532095077598</v>
      </c>
      <c r="P36" s="51">
        <f t="shared" ref="P36" si="171">IFERROR(P35/P$19,0)</f>
        <v>0.21258875834485777</v>
      </c>
      <c r="Q36" s="52">
        <f t="shared" ref="Q36" si="172">IFERROR(Q35/Q$19,0)</f>
        <v>0.23685277519547701</v>
      </c>
      <c r="R36" s="51">
        <f t="shared" ref="R36" si="173">IFERROR(R35/R$19,0)</f>
        <v>0.32004063658184184</v>
      </c>
      <c r="S36" s="51">
        <f t="shared" ref="S36" si="174">IFERROR(S35/S$19,0)</f>
        <v>0.31412210042076488</v>
      </c>
      <c r="T36" s="51">
        <f t="shared" ref="T36" si="175">IFERROR(T35/T$19,0)</f>
        <v>0.5489119693824881</v>
      </c>
      <c r="U36" s="51">
        <f t="shared" ref="U36" si="176">IFERROR(U35/U$19,0)</f>
        <v>5.1161638599023972E-2</v>
      </c>
      <c r="V36" s="51">
        <f t="shared" ref="V36" si="177">IFERROR(V35/V$19,0)</f>
        <v>0.30560053767391981</v>
      </c>
      <c r="W36" s="51">
        <f t="shared" ref="W36" si="178">IFERROR(W35/W$19,0)</f>
        <v>0.30433284780636244</v>
      </c>
      <c r="X36" s="51">
        <f t="shared" ref="X36" si="179">IFERROR(X35/X$19,0)</f>
        <v>0.56457604020933871</v>
      </c>
      <c r="Y36" s="51">
        <f t="shared" ref="Y36" si="180">IFERROR(Y35/Y$19,0)</f>
        <v>4.9245550664228512E-2</v>
      </c>
      <c r="Z36" s="51">
        <f t="shared" ref="Z36" si="181">IFERROR(Z35/Z$19,0)</f>
        <v>0.30244123352876795</v>
      </c>
      <c r="AA36" s="51">
        <f t="shared" ref="AA36" si="182">IFERROR(AA35/AA$19,0)</f>
        <v>0.2895621946054987</v>
      </c>
      <c r="AB36" s="51">
        <f t="shared" ref="AB36" si="183">IFERROR(AB35/AB$19,0)</f>
        <v>0.54899638967659259</v>
      </c>
      <c r="AC36" s="51">
        <f t="shared" ref="AC36" si="184">IFERROR(AC35/AC$19,0)</f>
        <v>4.9637422642957736E-2</v>
      </c>
      <c r="AD36" s="52">
        <f t="shared" ref="AD36" si="185">IFERROR(AD35/AD$19,0)</f>
        <v>0.29884799545516905</v>
      </c>
      <c r="AE36" s="51">
        <f t="shared" ref="AE36" si="186">IFERROR(AE35/AE$19,0)</f>
        <v>0.23668355683051856</v>
      </c>
      <c r="AF36" s="51">
        <f t="shared" ref="AF36" si="187">IFERROR(AF35/AF$19,0)</f>
        <v>0.23794074512868502</v>
      </c>
      <c r="AG36" s="51">
        <f t="shared" ref="AG36" si="188">IFERROR(AG35/AG$19,0)</f>
        <v>0.23962286625399104</v>
      </c>
      <c r="AH36" s="51">
        <f t="shared" ref="AH36" si="189">IFERROR(AH35/AH$19,0)</f>
        <v>0.43708695912096468</v>
      </c>
      <c r="AI36" s="51">
        <f t="shared" ref="AI36" si="190">IFERROR(AI35/AI$19,0)</f>
        <v>3.879124617303549E-2</v>
      </c>
      <c r="AJ36" s="51">
        <f t="shared" ref="AJ36" si="191">IFERROR(AJ35/AJ$19,0)</f>
        <v>0.22018142700721186</v>
      </c>
      <c r="AK36" s="51">
        <f t="shared" ref="AK36" si="192">IFERROR(AK35/AK$19,0)</f>
        <v>0.21404355872172995</v>
      </c>
      <c r="AL36" s="51">
        <f t="shared" ref="AL36" si="193">IFERROR(AL35/AL$19,0)</f>
        <v>0.41720661790692681</v>
      </c>
      <c r="AM36" s="51">
        <f t="shared" ref="AM36" si="194">IFERROR(AM35/AM$19,0)</f>
        <v>3.6808719398397194E-2</v>
      </c>
      <c r="AN36" s="51">
        <f t="shared" ref="AN36" si="195">IFERROR(AN35/AN$19,0)</f>
        <v>0.2204759426796517</v>
      </c>
      <c r="AO36" s="52">
        <f t="shared" ref="AO36" si="196">IFERROR(AO35/AO$19,0)</f>
        <v>0.22473908406914231</v>
      </c>
      <c r="AP36" s="52">
        <f t="shared" ref="AP36" si="197">IFERROR(AP35/AP$19,0)</f>
        <v>0.23099842115944799</v>
      </c>
    </row>
    <row r="37" spans="2:44" x14ac:dyDescent="0.2">
      <c r="B37" s="27" t="str">
        <f>+AR37</f>
        <v>Alarm Installation Labor - Direct</v>
      </c>
      <c r="C37" s="10"/>
      <c r="D37" s="10"/>
      <c r="E37" s="19">
        <f>SUMIF('Income Statement Source'!$C:$C,'1. Income Statement'!$AR37,'Income Statement Source'!G:G)/1000</f>
        <v>21.05397</v>
      </c>
      <c r="F37" s="19">
        <f>SUMIF('Income Statement Source'!$C:$C,'1. Income Statement'!$AR37,'Income Statement Source'!H:H)/1000</f>
        <v>27.31484</v>
      </c>
      <c r="G37" s="19">
        <f>SUMIF('Income Statement Source'!$C:$C,'1. Income Statement'!$AR37,'Income Statement Source'!I:I)/1000</f>
        <v>37.694489999999995</v>
      </c>
      <c r="H37" s="19">
        <f>SUMIF('Income Statement Source'!$C:$C,'1. Income Statement'!$AR37,'Income Statement Source'!J:J)/1000</f>
        <v>31.0596</v>
      </c>
      <c r="I37" s="19">
        <f>SUMIF('Income Statement Source'!$C:$C,'1. Income Statement'!$AR37,'Income Statement Source'!K:K)/1000</f>
        <v>48.393149999999999</v>
      </c>
      <c r="J37" s="19">
        <f>SUMIF('Income Statement Source'!$C:$C,'1. Income Statement'!$AR37,'Income Statement Source'!L:L)/1000</f>
        <v>45.936230000000002</v>
      </c>
      <c r="K37" s="19">
        <f>SUMIF('Income Statement Source'!$C:$C,'1. Income Statement'!$AR37,'Income Statement Source'!M:M)/1000</f>
        <v>37.84084</v>
      </c>
      <c r="L37" s="19">
        <f>SUMIF('Income Statement Source'!$C:$C,'1. Income Statement'!$AR37,'Income Statement Source'!N:N)/1000</f>
        <v>34.823039999999999</v>
      </c>
      <c r="M37" s="19">
        <f>SUMIF('Income Statement Source'!$C:$C,'1. Income Statement'!$AR37,'Income Statement Source'!O:O)/1000</f>
        <v>42.671720000000001</v>
      </c>
      <c r="N37" s="19">
        <f>SUMIF('Income Statement Source'!$C:$C,'1. Income Statement'!$AR37,'Income Statement Source'!P:P)/1000</f>
        <v>47.041429999999998</v>
      </c>
      <c r="O37" s="19">
        <f>SUMIF('Income Statement Source'!$C:$C,'1. Income Statement'!$AR37,'Income Statement Source'!Q:Q)/1000</f>
        <v>26.52543</v>
      </c>
      <c r="P37" s="19">
        <f>SUMIF('Income Statement Source'!$C:$C,'1. Income Statement'!$AR37,'Income Statement Source'!R:R)/1000</f>
        <v>38.843989999999998</v>
      </c>
      <c r="Q37" s="21">
        <f>SUM(E37:P37)</f>
        <v>439.19873000000001</v>
      </c>
      <c r="R37" s="19">
        <f>SUMIF('Income Statement Source'!$C:$C,'1. Income Statement'!$AR37,'Income Statement Source'!T:T)/1000</f>
        <v>25.377610000000001</v>
      </c>
      <c r="S37" s="19">
        <f>SUMIF('Income Statement Source'!$C:$C,'1. Income Statement'!$AR37,'Income Statement Source'!U:U)/1000</f>
        <v>29.567880000000002</v>
      </c>
      <c r="T37" s="19">
        <f>SUMIF('Income Statement Source'!$C:$C,'1. Income Statement'!$AR37,'Income Statement Source'!V:V)/1000</f>
        <v>40.663809999999998</v>
      </c>
      <c r="U37" s="19">
        <f>SUMIF('Income Statement Source'!$C:$C,'1. Income Statement'!$AR37,'Income Statement Source'!W:W)/1000</f>
        <v>39.720790000000001</v>
      </c>
      <c r="V37" s="19">
        <f>SUMIF('Income Statement Source'!$C:$C,'1. Income Statement'!$AR37,'Income Statement Source'!X:X)/1000</f>
        <v>63.530010000000004</v>
      </c>
      <c r="W37" s="19">
        <f>SUMIF('Income Statement Source'!$C:$C,'1. Income Statement'!$AR37,'Income Statement Source'!Y:Y)/1000</f>
        <v>54.450150000000001</v>
      </c>
      <c r="X37" s="19">
        <f>SUMIF('Income Statement Source'!$C:$C,'1. Income Statement'!$AR37,'Income Statement Source'!Z:Z)/1000</f>
        <v>44.87415</v>
      </c>
      <c r="Y37" s="19">
        <f>SUMIF('Income Statement Source'!$C:$C,'1. Income Statement'!$AR37,'Income Statement Source'!AA:AA)/1000</f>
        <v>46.302599999999998</v>
      </c>
      <c r="Z37" s="19">
        <f>SUMIF('Income Statement Source'!$C:$C,'1. Income Statement'!$AR37,'Income Statement Source'!AB:AB)/1000</f>
        <v>48.778649999999999</v>
      </c>
      <c r="AA37" s="19">
        <f>SUMIF('Income Statement Source'!$C:$C,'1. Income Statement'!$AR37,'Income Statement Source'!AC:AC)/1000</f>
        <v>53.270820000000001</v>
      </c>
      <c r="AB37" s="19">
        <f>SUMIF('Income Statement Source'!$C:$C,'1. Income Statement'!$AR37,'Income Statement Source'!AD:AD)/1000</f>
        <v>34.4557</v>
      </c>
      <c r="AC37" s="19">
        <f>SUMIF('Income Statement Source'!$C:$C,'1. Income Statement'!$AR37,'Income Statement Source'!AE:AE)/1000</f>
        <v>47.264290000000003</v>
      </c>
      <c r="AD37" s="21">
        <f>SUM(R37:AC37)</f>
        <v>528.25646000000006</v>
      </c>
      <c r="AE37" s="19">
        <f>SUMIF('Income Statement Source'!$C:$C,'1. Income Statement'!$AR37,'Income Statement Source'!AG:AG)/1000</f>
        <v>24.63062</v>
      </c>
      <c r="AF37" s="19">
        <f>SUMIF('Income Statement Source'!$C:$C,'1. Income Statement'!$AR37,'Income Statement Source'!AH:AH)/1000</f>
        <v>33.170540000000003</v>
      </c>
      <c r="AG37" s="19">
        <f>SUMIF('Income Statement Source'!$C:$C,'1. Income Statement'!$AR37,'Income Statement Source'!AI:AI)/1000</f>
        <v>44.058959999999999</v>
      </c>
      <c r="AH37" s="19">
        <f>SUMIF('Income Statement Source'!$C:$C,'1. Income Statement'!$AR37,'Income Statement Source'!AJ:AJ)/1000</f>
        <v>43.44829</v>
      </c>
      <c r="AI37" s="19">
        <f>SUMIF('Income Statement Source'!$C:$C,'1. Income Statement'!$AR37,'Income Statement Source'!AK:AK)/1000</f>
        <v>61.5291</v>
      </c>
      <c r="AJ37" s="19">
        <f>SUMIF('Income Statement Source'!$C:$C,'1. Income Statement'!$AR37,'Income Statement Source'!AL:AL)/1000</f>
        <v>59.257280000000002</v>
      </c>
      <c r="AK37" s="19">
        <f>SUMIF('Income Statement Source'!$C:$C,'1. Income Statement'!$AR37,'Income Statement Source'!AM:AM)/1000</f>
        <v>45.535779999999995</v>
      </c>
      <c r="AL37" s="19">
        <f>SUMIF('Income Statement Source'!$C:$C,'1. Income Statement'!$AR37,'Income Statement Source'!AN:AN)/1000</f>
        <v>42.80865</v>
      </c>
      <c r="AM37" s="19">
        <f>SUMIF('Income Statement Source'!$C:$C,'1. Income Statement'!$AR37,'Income Statement Source'!AO:AO)/1000</f>
        <v>52.65681</v>
      </c>
      <c r="AN37" s="19">
        <f>SUMIF('Income Statement Source'!$C:$C,'1. Income Statement'!$AR37,'Income Statement Source'!AP:AP)/1000</f>
        <v>59.975569999999998</v>
      </c>
      <c r="AO37" s="21">
        <f>SUM(AE37:AN37)</f>
        <v>467.07159999999999</v>
      </c>
      <c r="AP37" s="21">
        <f>SUM(AO37,AB37:AC37)</f>
        <v>548.79158999999993</v>
      </c>
      <c r="AR37" s="4" t="s">
        <v>13</v>
      </c>
    </row>
    <row r="38" spans="2:44" x14ac:dyDescent="0.2">
      <c r="B38" s="28"/>
      <c r="C38" s="10"/>
      <c r="D38" s="10"/>
      <c r="E38" s="45">
        <f>IFERROR(E37/E$19,0)</f>
        <v>0.1108243556213042</v>
      </c>
      <c r="F38" s="45">
        <f t="shared" ref="F38" si="198">IFERROR(F37/F$19,0)</f>
        <v>0.12018158767693064</v>
      </c>
      <c r="G38" s="45">
        <f t="shared" ref="G38" si="199">IFERROR(G37/G$19,0)</f>
        <v>0.12253766901820591</v>
      </c>
      <c r="H38" s="45">
        <f t="shared" ref="H38" si="200">IFERROR(H37/H$19,0)</f>
        <v>0.12008637515149695</v>
      </c>
      <c r="I38" s="45">
        <f t="shared" ref="I38" si="201">IFERROR(I37/I$19,0)</f>
        <v>0.17806197073107841</v>
      </c>
      <c r="J38" s="45">
        <f t="shared" ref="J38" si="202">IFERROR(J37/J$19,0)</f>
        <v>0.12474024459512562</v>
      </c>
      <c r="K38" s="45">
        <f t="shared" ref="K38" si="203">IFERROR(K37/K$19,0)</f>
        <v>0.12509509611331485</v>
      </c>
      <c r="L38" s="45">
        <f t="shared" ref="L38" si="204">IFERROR(L37/L$19,0)</f>
        <v>0.12561400569845338</v>
      </c>
      <c r="M38" s="45">
        <f t="shared" ref="M38" si="205">IFERROR(M37/M$19,0)</f>
        <v>0.12044628985198068</v>
      </c>
      <c r="N38" s="45">
        <f t="shared" ref="N38" si="206">IFERROR(N37/N$19,0)</f>
        <v>0.17608287112360888</v>
      </c>
      <c r="O38" s="45">
        <f t="shared" ref="O38" si="207">IFERROR(O37/O$19,0)</f>
        <v>0.11773790816884988</v>
      </c>
      <c r="P38" s="45">
        <f t="shared" ref="P38" si="208">IFERROR(P37/P$19,0)</f>
        <v>0.11455293291149313</v>
      </c>
      <c r="Q38" s="46">
        <f t="shared" ref="Q38" si="209">IFERROR(Q37/Q$19,0)</f>
        <v>0.12959209645496814</v>
      </c>
      <c r="R38" s="45">
        <f t="shared" ref="R38" si="210">IFERROR(R37/R$19,0)</f>
        <v>0.12531708133424793</v>
      </c>
      <c r="S38" s="45">
        <f t="shared" ref="S38" si="211">IFERROR(S37/S$19,0)</f>
        <v>0.1145106512610591</v>
      </c>
      <c r="T38" s="45">
        <f t="shared" ref="T38" si="212">IFERROR(T37/T$19,0)</f>
        <v>0.11523567625243578</v>
      </c>
      <c r="U38" s="45">
        <f t="shared" ref="U38" si="213">IFERROR(U37/U$19,0)</f>
        <v>0.12424406792512059</v>
      </c>
      <c r="V38" s="45">
        <f t="shared" ref="V38" si="214">IFERROR(V37/V$19,0)</f>
        <v>0.18682960040322016</v>
      </c>
      <c r="W38" s="45">
        <f t="shared" ref="W38" si="215">IFERROR(W37/W$19,0)</f>
        <v>0.12441534374905104</v>
      </c>
      <c r="X38" s="45">
        <f t="shared" ref="X38" si="216">IFERROR(X37/X$19,0)</f>
        <v>0.12092008902150633</v>
      </c>
      <c r="Y38" s="45">
        <f t="shared" ref="Y38" si="217">IFERROR(Y37/Y$19,0)</f>
        <v>0.12150131930427895</v>
      </c>
      <c r="Z38" s="45">
        <f t="shared" ref="Z38" si="218">IFERROR(Z37/Z$19,0)</f>
        <v>0.12252788811160986</v>
      </c>
      <c r="AA38" s="45">
        <f t="shared" ref="AA38" si="219">IFERROR(AA37/AA$19,0)</f>
        <v>0.17448926317957519</v>
      </c>
      <c r="AB38" s="45">
        <f t="shared" ref="AB38" si="220">IFERROR(AB37/AB$19,0)</f>
        <v>0.11771807389606656</v>
      </c>
      <c r="AC38" s="45">
        <f t="shared" ref="AC38" si="221">IFERROR(AC37/AC$19,0)</f>
        <v>0.12106306674964258</v>
      </c>
      <c r="AD38" s="46">
        <f t="shared" ref="AD38" si="222">IFERROR(AD37/AD$19,0)</f>
        <v>0.13044393802442669</v>
      </c>
      <c r="AE38" s="45">
        <f t="shared" ref="AE38" si="223">IFERROR(AE37/AE$19,0)</f>
        <v>0.11593765074339438</v>
      </c>
      <c r="AF38" s="45">
        <f t="shared" ref="AF38" si="224">IFERROR(AF37/AF$19,0)</f>
        <v>0.11739344364928622</v>
      </c>
      <c r="AG38" s="45">
        <f t="shared" ref="AG38" si="225">IFERROR(AG37/AG$19,0)</f>
        <v>0.1154436002777629</v>
      </c>
      <c r="AH38" s="45">
        <f t="shared" ref="AH38" si="226">IFERROR(AH37/AH$19,0)</f>
        <v>0.12451743653759924</v>
      </c>
      <c r="AI38" s="45">
        <f t="shared" ref="AI38" si="227">IFERROR(AI37/AI$19,0)</f>
        <v>0.17798161899979403</v>
      </c>
      <c r="AJ38" s="45">
        <f t="shared" ref="AJ38" si="228">IFERROR(AJ37/AJ$19,0)</f>
        <v>0.12544246642979265</v>
      </c>
      <c r="AK38" s="45">
        <f t="shared" ref="AK38" si="229">IFERROR(AK37/AK$19,0)</f>
        <v>0.1182583076628772</v>
      </c>
      <c r="AL38" s="45">
        <f t="shared" ref="AL38" si="230">IFERROR(AL37/AL$19,0)</f>
        <v>0.12094857867659321</v>
      </c>
      <c r="AM38" s="45">
        <f t="shared" ref="AM38" si="231">IFERROR(AM37/AM$19,0)</f>
        <v>0.1204321961796026</v>
      </c>
      <c r="AN38" s="45">
        <f t="shared" ref="AN38" si="232">IFERROR(AN37/AN$19,0)</f>
        <v>0.1773074149359686</v>
      </c>
      <c r="AO38" s="46">
        <f t="shared" ref="AO38" si="233">IFERROR(AO37/AO$19,0)</f>
        <v>0.13126761066567563</v>
      </c>
      <c r="AP38" s="46">
        <f t="shared" ref="AP38" si="234">IFERROR(AP37/AP$19,0)</f>
        <v>0.12939320384177611</v>
      </c>
    </row>
    <row r="39" spans="2:44" x14ac:dyDescent="0.2">
      <c r="B39" s="29" t="str">
        <f>+AR39</f>
        <v>Vehicle Fuel - Job Related</v>
      </c>
      <c r="E39" s="20">
        <f>SUMIF('Income Statement Source'!$C:$C,'1. Income Statement'!$AR39,'Income Statement Source'!G:G)/1000</f>
        <v>1.7326600000000001</v>
      </c>
      <c r="F39" s="20">
        <f>SUMIF('Income Statement Source'!$C:$C,'1. Income Statement'!$AR39,'Income Statement Source'!H:H)/1000</f>
        <v>2.2981799999999999</v>
      </c>
      <c r="G39" s="20">
        <f>SUMIF('Income Statement Source'!$C:$C,'1. Income Statement'!$AR39,'Income Statement Source'!I:I)/1000</f>
        <v>3.2370900000000002</v>
      </c>
      <c r="H39" s="20">
        <f>SUMIF('Income Statement Source'!$C:$C,'1. Income Statement'!$AR39,'Income Statement Source'!J:J)/1000</f>
        <v>2.4494000000000002</v>
      </c>
      <c r="I39" s="20">
        <f>SUMIF('Income Statement Source'!$C:$C,'1. Income Statement'!$AR39,'Income Statement Source'!K:K)/1000</f>
        <v>2.8177300000000001</v>
      </c>
      <c r="J39" s="20">
        <f>SUMIF('Income Statement Source'!$C:$C,'1. Income Statement'!$AR39,'Income Statement Source'!L:L)/1000</f>
        <v>3.887</v>
      </c>
      <c r="K39" s="20">
        <f>SUMIF('Income Statement Source'!$C:$C,'1. Income Statement'!$AR39,'Income Statement Source'!M:M)/1000</f>
        <v>3.1091899999999999</v>
      </c>
      <c r="L39" s="20">
        <f>SUMIF('Income Statement Source'!$C:$C,'1. Income Statement'!$AR39,'Income Statement Source'!N:N)/1000</f>
        <v>2.6560900000000003</v>
      </c>
      <c r="M39" s="20">
        <f>SUMIF('Income Statement Source'!$C:$C,'1. Income Statement'!$AR39,'Income Statement Source'!O:O)/1000</f>
        <v>3.3178400000000003</v>
      </c>
      <c r="N39" s="20">
        <f>SUMIF('Income Statement Source'!$C:$C,'1. Income Statement'!$AR39,'Income Statement Source'!P:P)/1000</f>
        <v>2.7219899999999999</v>
      </c>
      <c r="O39" s="20">
        <f>SUMIF('Income Statement Source'!$C:$C,'1. Income Statement'!$AR39,'Income Statement Source'!Q:Q)/1000</f>
        <v>2.3516300000000001</v>
      </c>
      <c r="P39" s="20">
        <f>SUMIF('Income Statement Source'!$C:$C,'1. Income Statement'!$AR39,'Income Statement Source'!R:R)/1000</f>
        <v>3.5063899999999997</v>
      </c>
      <c r="Q39" s="22">
        <f>SUM(E39:P39)</f>
        <v>34.085189999999997</v>
      </c>
      <c r="R39" s="20">
        <f>SUMIF('Income Statement Source'!$C:$C,'1. Income Statement'!$AR39,'Income Statement Source'!T:T)/1000</f>
        <v>1.9855499999999999</v>
      </c>
      <c r="S39" s="20">
        <f>SUMIF('Income Statement Source'!$C:$C,'1. Income Statement'!$AR39,'Income Statement Source'!U:U)/1000</f>
        <v>2.5338499999999997</v>
      </c>
      <c r="T39" s="20">
        <f>SUMIF('Income Statement Source'!$C:$C,'1. Income Statement'!$AR39,'Income Statement Source'!V:V)/1000</f>
        <v>3.5707900000000001</v>
      </c>
      <c r="U39" s="20">
        <f>SUMIF('Income Statement Source'!$C:$C,'1. Income Statement'!$AR39,'Income Statement Source'!W:W)/1000</f>
        <v>3.2108699999999999</v>
      </c>
      <c r="V39" s="20">
        <f>SUMIF('Income Statement Source'!$C:$C,'1. Income Statement'!$AR39,'Income Statement Source'!X:X)/1000</f>
        <v>3.18892</v>
      </c>
      <c r="W39" s="20">
        <f>SUMIF('Income Statement Source'!$C:$C,'1. Income Statement'!$AR39,'Income Statement Source'!Y:Y)/1000</f>
        <v>4.5047299999999995</v>
      </c>
      <c r="X39" s="20">
        <f>SUMIF('Income Statement Source'!$C:$C,'1. Income Statement'!$AR39,'Income Statement Source'!Z:Z)/1000</f>
        <v>3.5646499999999999</v>
      </c>
      <c r="Y39" s="20">
        <f>SUMIF('Income Statement Source'!$C:$C,'1. Income Statement'!$AR39,'Income Statement Source'!AA:AA)/1000</f>
        <v>4.0759099999999995</v>
      </c>
      <c r="Z39" s="20">
        <f>SUMIF('Income Statement Source'!$C:$C,'1. Income Statement'!$AR39,'Income Statement Source'!AB:AB)/1000</f>
        <v>4.2693599999999998</v>
      </c>
      <c r="AA39" s="20">
        <f>SUMIF('Income Statement Source'!$C:$C,'1. Income Statement'!$AR39,'Income Statement Source'!AC:AC)/1000</f>
        <v>3.2722099999999998</v>
      </c>
      <c r="AB39" s="20">
        <f>SUMIF('Income Statement Source'!$C:$C,'1. Income Statement'!$AR39,'Income Statement Source'!AD:AD)/1000</f>
        <v>2.7210900000000002</v>
      </c>
      <c r="AC39" s="20">
        <f>SUMIF('Income Statement Source'!$C:$C,'1. Income Statement'!$AR39,'Income Statement Source'!AE:AE)/1000</f>
        <v>4.0519600000000002</v>
      </c>
      <c r="AD39" s="22">
        <f>SUM(R39:AC39)</f>
        <v>40.949890000000003</v>
      </c>
      <c r="AE39" s="20">
        <f>SUMIF('Income Statement Source'!$C:$C,'1. Income Statement'!$AR39,'Income Statement Source'!AG:AG)/1000</f>
        <v>2.2647699999999999</v>
      </c>
      <c r="AF39" s="20">
        <f>SUMIF('Income Statement Source'!$C:$C,'1. Income Statement'!$AR39,'Income Statement Source'!AH:AH)/1000</f>
        <v>2.6579200000000003</v>
      </c>
      <c r="AG39" s="20">
        <f>SUMIF('Income Statement Source'!$C:$C,'1. Income Statement'!$AR39,'Income Statement Source'!AI:AI)/1000</f>
        <v>3.7126100000000002</v>
      </c>
      <c r="AH39" s="20">
        <f>SUMIF('Income Statement Source'!$C:$C,'1. Income Statement'!$AR39,'Income Statement Source'!AJ:AJ)/1000</f>
        <v>3.4766699999999999</v>
      </c>
      <c r="AI39" s="20">
        <f>SUMIF('Income Statement Source'!$C:$C,'1. Income Statement'!$AR39,'Income Statement Source'!AK:AK)/1000</f>
        <v>3.6762600000000001</v>
      </c>
      <c r="AJ39" s="20">
        <f>SUMIF('Income Statement Source'!$C:$C,'1. Income Statement'!$AR39,'Income Statement Source'!AL:AL)/1000</f>
        <v>4.9378199999999994</v>
      </c>
      <c r="AK39" s="20">
        <f>SUMIF('Income Statement Source'!$C:$C,'1. Income Statement'!$AR39,'Income Statement Source'!AM:AM)/1000</f>
        <v>3.6450800000000001</v>
      </c>
      <c r="AL39" s="20">
        <f>SUMIF('Income Statement Source'!$C:$C,'1. Income Statement'!$AR39,'Income Statement Source'!AN:AN)/1000</f>
        <v>3.6374299999999997</v>
      </c>
      <c r="AM39" s="20">
        <f>SUMIF('Income Statement Source'!$C:$C,'1. Income Statement'!$AR39,'Income Statement Source'!AO:AO)/1000</f>
        <v>4.1511400000000007</v>
      </c>
      <c r="AN39" s="20">
        <f>SUMIF('Income Statement Source'!$C:$C,'1. Income Statement'!$AR39,'Income Statement Source'!AP:AP)/1000</f>
        <v>3.4891000000000001</v>
      </c>
      <c r="AO39" s="22">
        <f>SUM(AE39:AN39)</f>
        <v>35.648800000000001</v>
      </c>
      <c r="AP39" s="22">
        <f>SUM(AO39,AB39:AC39)</f>
        <v>42.421849999999999</v>
      </c>
      <c r="AR39" s="4" t="s">
        <v>19</v>
      </c>
    </row>
    <row r="40" spans="2:44" x14ac:dyDescent="0.2">
      <c r="B40" s="25"/>
      <c r="E40" s="47">
        <f>IFERROR(E39/E$19,0)</f>
        <v>9.1204142501774693E-3</v>
      </c>
      <c r="F40" s="47">
        <f t="shared" ref="F40" si="235">IFERROR(F39/F$19,0)</f>
        <v>1.0111679994002105E-2</v>
      </c>
      <c r="G40" s="47">
        <f t="shared" ref="G40" si="236">IFERROR(G39/G$19,0)</f>
        <v>1.0523168319882939E-2</v>
      </c>
      <c r="H40" s="47">
        <f t="shared" ref="H40" si="237">IFERROR(H39/H$19,0)</f>
        <v>9.4701659807620402E-3</v>
      </c>
      <c r="I40" s="47">
        <f t="shared" ref="I40" si="238">IFERROR(I39/I$19,0)</f>
        <v>1.0367801161695025E-2</v>
      </c>
      <c r="J40" s="47">
        <f t="shared" ref="J40" si="239">IFERROR(J39/J$19,0)</f>
        <v>1.0555183364878947E-2</v>
      </c>
      <c r="K40" s="47">
        <f t="shared" ref="K40" si="240">IFERROR(K39/K$19,0)</f>
        <v>1.0278429915524006E-2</v>
      </c>
      <c r="L40" s="47">
        <f t="shared" ref="L40" si="241">IFERROR(L39/L$19,0)</f>
        <v>9.5810734615819036E-3</v>
      </c>
      <c r="M40" s="47">
        <f t="shared" ref="M40" si="242">IFERROR(M39/M$19,0)</f>
        <v>9.3650201661075669E-3</v>
      </c>
      <c r="N40" s="47">
        <f t="shared" ref="N40" si="243">IFERROR(N39/N$19,0)</f>
        <v>1.0188801963923124E-2</v>
      </c>
      <c r="O40" s="47">
        <f t="shared" ref="O40" si="244">IFERROR(O39/O$19,0)</f>
        <v>1.0438134159827472E-2</v>
      </c>
      <c r="P40" s="47">
        <f t="shared" ref="P40" si="245">IFERROR(P39/P$19,0)</f>
        <v>1.0340525224919747E-2</v>
      </c>
      <c r="Q40" s="48">
        <f t="shared" ref="Q40" si="246">IFERROR(Q39/Q$19,0)</f>
        <v>1.0057340626112273E-2</v>
      </c>
      <c r="R40" s="47">
        <f t="shared" ref="R40" si="247">IFERROR(R39/R$19,0)</f>
        <v>9.80483705294612E-3</v>
      </c>
      <c r="S40" s="47">
        <f t="shared" ref="S40" si="248">IFERROR(S39/S$19,0)</f>
        <v>9.8131084710109256E-3</v>
      </c>
      <c r="T40" s="47">
        <f t="shared" ref="T40" si="249">IFERROR(T39/T$19,0)</f>
        <v>1.0119130509547315E-2</v>
      </c>
      <c r="U40" s="47">
        <f t="shared" ref="U40" si="250">IFERROR(U39/U$19,0)</f>
        <v>1.0043394161564559E-2</v>
      </c>
      <c r="V40" s="47">
        <f t="shared" ref="V40" si="251">IFERROR(V39/V$19,0)</f>
        <v>9.3780033926932609E-3</v>
      </c>
      <c r="W40" s="47">
        <f t="shared" ref="W40" si="252">IFERROR(W39/W$19,0)</f>
        <v>1.029303925602891E-2</v>
      </c>
      <c r="X40" s="47">
        <f t="shared" ref="X40" si="253">IFERROR(X39/X$19,0)</f>
        <v>9.6054810025485177E-3</v>
      </c>
      <c r="Y40" s="47">
        <f t="shared" ref="Y40" si="254">IFERROR(Y39/Y$19,0)</f>
        <v>1.069547805880239E-2</v>
      </c>
      <c r="Z40" s="47">
        <f t="shared" ref="Z40" si="255">IFERROR(Z39/Z$19,0)</f>
        <v>1.0724275157024286E-2</v>
      </c>
      <c r="AA40" s="47">
        <f t="shared" ref="AA40" si="256">IFERROR(AA39/AA$19,0)</f>
        <v>1.071816637830688E-2</v>
      </c>
      <c r="AB40" s="47">
        <f t="shared" ref="AB40" si="257">IFERROR(AB39/AB$19,0)</f>
        <v>9.2966177932199256E-3</v>
      </c>
      <c r="AC40" s="47">
        <f t="shared" ref="AC40" si="258">IFERROR(AC39/AC$19,0)</f>
        <v>1.0378717292630055E-2</v>
      </c>
      <c r="AD40" s="48">
        <f t="shared" ref="AD40" si="259">IFERROR(AD39/AD$19,0)</f>
        <v>1.0111878070108391E-2</v>
      </c>
      <c r="AE40" s="47">
        <f t="shared" ref="AE40" si="260">IFERROR(AE39/AE$19,0)</f>
        <v>1.0660393984159444E-2</v>
      </c>
      <c r="AF40" s="47">
        <f t="shared" ref="AF40" si="261">IFERROR(AF39/AF$19,0)</f>
        <v>9.4066114613844346E-3</v>
      </c>
      <c r="AG40" s="47">
        <f t="shared" ref="AG40" si="262">IFERROR(AG39/AG$19,0)</f>
        <v>9.7278071208949414E-3</v>
      </c>
      <c r="AH40" s="47">
        <f t="shared" ref="AH40" si="263">IFERROR(AH39/AH$19,0)</f>
        <v>9.9637071122287008E-3</v>
      </c>
      <c r="AI40" s="47">
        <f t="shared" ref="AI40" si="264">IFERROR(AI39/AI$19,0)</f>
        <v>1.0634101696013476E-2</v>
      </c>
      <c r="AJ40" s="47">
        <f t="shared" ref="AJ40" si="265">IFERROR(AJ39/AJ$19,0)</f>
        <v>1.0452932020949303E-2</v>
      </c>
      <c r="AK40" s="47">
        <f t="shared" ref="AK40" si="266">IFERROR(AK39/AK$19,0)</f>
        <v>9.46642381212753E-3</v>
      </c>
      <c r="AL40" s="47">
        <f t="shared" ref="AL40" si="267">IFERROR(AL39/AL$19,0)</f>
        <v>1.0276941425053124E-2</v>
      </c>
      <c r="AM40" s="47">
        <f t="shared" ref="AM40" si="268">IFERROR(AM39/AM$19,0)</f>
        <v>9.4941358363523284E-3</v>
      </c>
      <c r="AN40" s="47">
        <f t="shared" ref="AN40" si="269">IFERROR(AN39/AN$19,0)</f>
        <v>1.031492158312273E-2</v>
      </c>
      <c r="AO40" s="48">
        <f t="shared" ref="AO40" si="270">IFERROR(AO39/AO$19,0)</f>
        <v>1.0018876761289999E-2</v>
      </c>
      <c r="AP40" s="48">
        <f t="shared" ref="AP40" si="271">IFERROR(AP39/AP$19,0)</f>
        <v>1.0002155981281074E-2</v>
      </c>
    </row>
    <row r="41" spans="2:44" x14ac:dyDescent="0.2">
      <c r="B41" s="12" t="str">
        <f>+B22</f>
        <v>Cost of Goods Sold</v>
      </c>
      <c r="C41" s="13"/>
      <c r="D41" s="13"/>
      <c r="E41" s="42">
        <f>SUM(E35,E30,E37,E39)</f>
        <v>141.39237</v>
      </c>
      <c r="F41" s="42">
        <f t="shared" ref="F41:AP41" si="272">SUM(F35,F30,F37,F39)</f>
        <v>178.88457</v>
      </c>
      <c r="G41" s="42">
        <f t="shared" si="272"/>
        <v>135.20513</v>
      </c>
      <c r="H41" s="42">
        <f t="shared" si="272"/>
        <v>156.15733</v>
      </c>
      <c r="I41" s="42">
        <f t="shared" si="272"/>
        <v>184.49098000000001</v>
      </c>
      <c r="J41" s="42">
        <f t="shared" si="272"/>
        <v>295.47649000000001</v>
      </c>
      <c r="K41" s="42">
        <f t="shared" si="272"/>
        <v>134.07962000000003</v>
      </c>
      <c r="L41" s="42">
        <f t="shared" si="272"/>
        <v>170.68742</v>
      </c>
      <c r="M41" s="42">
        <f t="shared" si="272"/>
        <v>294.78703000000002</v>
      </c>
      <c r="N41" s="42">
        <f t="shared" si="272"/>
        <v>130.66772</v>
      </c>
      <c r="O41" s="42">
        <f t="shared" si="272"/>
        <v>140.21457000000001</v>
      </c>
      <c r="P41" s="42">
        <f t="shared" si="272"/>
        <v>202.82811000000001</v>
      </c>
      <c r="Q41" s="43">
        <f t="shared" si="272"/>
        <v>2164.8713400000001</v>
      </c>
      <c r="R41" s="42">
        <f t="shared" si="272"/>
        <v>155.45022</v>
      </c>
      <c r="S41" s="42">
        <f t="shared" si="272"/>
        <v>196.16367000000002</v>
      </c>
      <c r="T41" s="42">
        <f t="shared" si="272"/>
        <v>352.93572</v>
      </c>
      <c r="U41" s="42">
        <f t="shared" si="272"/>
        <v>160.89225999999999</v>
      </c>
      <c r="V41" s="42">
        <f t="shared" si="272"/>
        <v>283.42667999999998</v>
      </c>
      <c r="W41" s="42">
        <f t="shared" si="272"/>
        <v>323.78602000000001</v>
      </c>
      <c r="X41" s="42">
        <f t="shared" si="272"/>
        <v>370.04159999999996</v>
      </c>
      <c r="Y41" s="42">
        <f t="shared" si="272"/>
        <v>191.76606999999998</v>
      </c>
      <c r="Z41" s="42">
        <f t="shared" si="272"/>
        <v>299.46001000000001</v>
      </c>
      <c r="AA41" s="42">
        <f t="shared" si="272"/>
        <v>244.99347000000003</v>
      </c>
      <c r="AB41" s="42">
        <f t="shared" si="272"/>
        <v>286.00351999999998</v>
      </c>
      <c r="AC41" s="42">
        <f t="shared" si="272"/>
        <v>195.76840000000004</v>
      </c>
      <c r="AD41" s="43">
        <f t="shared" si="272"/>
        <v>3060.6876399999996</v>
      </c>
      <c r="AE41" s="42">
        <f t="shared" si="272"/>
        <v>132.54853</v>
      </c>
      <c r="AF41" s="42">
        <f t="shared" si="272"/>
        <v>177.66410000000002</v>
      </c>
      <c r="AG41" s="42">
        <f t="shared" si="272"/>
        <v>240.94684000000004</v>
      </c>
      <c r="AH41" s="42">
        <f t="shared" si="272"/>
        <v>290.88443000000007</v>
      </c>
      <c r="AI41" s="42">
        <f t="shared" si="272"/>
        <v>168.15902</v>
      </c>
      <c r="AJ41" s="42">
        <f t="shared" si="272"/>
        <v>288.42522000000002</v>
      </c>
      <c r="AK41" s="42">
        <f t="shared" si="272"/>
        <v>232.94067999999999</v>
      </c>
      <c r="AL41" s="42">
        <f t="shared" si="272"/>
        <v>289.46720999999997</v>
      </c>
      <c r="AM41" s="42">
        <f t="shared" si="272"/>
        <v>194.0746</v>
      </c>
      <c r="AN41" s="42">
        <f t="shared" si="272"/>
        <v>226.75874000000002</v>
      </c>
      <c r="AO41" s="43">
        <f t="shared" si="272"/>
        <v>2241.8693700000003</v>
      </c>
      <c r="AP41" s="43">
        <f t="shared" si="272"/>
        <v>2723.6412900000005</v>
      </c>
    </row>
    <row r="42" spans="2:44" x14ac:dyDescent="0.2">
      <c r="B42" s="14"/>
      <c r="C42" s="15"/>
      <c r="D42" s="15"/>
      <c r="E42" s="49">
        <f>IFERROR(E41/E$19,0)</f>
        <v>0.74426430241037789</v>
      </c>
      <c r="F42" s="49">
        <f t="shared" ref="F42" si="273">IFERROR(F41/F$19,0)</f>
        <v>0.78706782223527705</v>
      </c>
      <c r="G42" s="49">
        <f t="shared" ref="G42" si="274">IFERROR(G41/G$19,0)</f>
        <v>0.43952634641040383</v>
      </c>
      <c r="H42" s="49">
        <f t="shared" ref="H42" si="275">IFERROR(H41/H$19,0)</f>
        <v>0.60375432114502792</v>
      </c>
      <c r="I42" s="49">
        <f t="shared" ref="I42" si="276">IFERROR(I41/I$19,0)</f>
        <v>0.67883217936645945</v>
      </c>
      <c r="J42" s="49">
        <f t="shared" ref="J42" si="277">IFERROR(J41/J$19,0)</f>
        <v>0.80236905890425025</v>
      </c>
      <c r="K42" s="49">
        <f t="shared" ref="K42" si="278">IFERROR(K41/K$19,0)</f>
        <v>0.44324340978521454</v>
      </c>
      <c r="L42" s="49">
        <f t="shared" ref="L42" si="279">IFERROR(L41/L$19,0)</f>
        <v>0.61570530742101504</v>
      </c>
      <c r="M42" s="49">
        <f t="shared" ref="M42" si="280">IFERROR(M41/M$19,0)</f>
        <v>0.83207342146003316</v>
      </c>
      <c r="N42" s="49">
        <f t="shared" ref="N42" si="281">IFERROR(N41/N$19,0)</f>
        <v>0.48910816063150742</v>
      </c>
      <c r="O42" s="49">
        <f t="shared" ref="O42" si="282">IFERROR(O41/O$19,0)</f>
        <v>0.62236767383581615</v>
      </c>
      <c r="P42" s="49">
        <f t="shared" ref="P42" si="283">IFERROR(P41/P$19,0)</f>
        <v>0.59815057303317587</v>
      </c>
      <c r="Q42" s="50">
        <f t="shared" ref="Q42" si="284">IFERROR(Q41/Q$19,0)</f>
        <v>0.63877738331774359</v>
      </c>
      <c r="R42" s="49">
        <f t="shared" ref="R42" si="285">IFERROR(R41/R$19,0)</f>
        <v>0.76762815186957067</v>
      </c>
      <c r="S42" s="49">
        <f t="shared" ref="S42" si="286">IFERROR(S41/S$19,0)</f>
        <v>0.75970375980487892</v>
      </c>
      <c r="T42" s="49">
        <f t="shared" ref="T42" si="287">IFERROR(T41/T$19,0)</f>
        <v>1.0001715620803935</v>
      </c>
      <c r="U42" s="49">
        <f t="shared" ref="U42" si="288">IFERROR(U41/U$19,0)</f>
        <v>0.50326060685263718</v>
      </c>
      <c r="V42" s="49">
        <f t="shared" ref="V42" si="289">IFERROR(V41/V$19,0)</f>
        <v>0.83350362085589702</v>
      </c>
      <c r="W42" s="49">
        <f t="shared" ref="W42" si="290">IFERROR(W41/W$19,0)</f>
        <v>0.73983173562308124</v>
      </c>
      <c r="X42" s="49">
        <f t="shared" ref="X42" si="291">IFERROR(X41/X$19,0)</f>
        <v>0.99713227356196465</v>
      </c>
      <c r="Y42" s="49">
        <f t="shared" ref="Y42" si="292">IFERROR(Y41/Y$19,0)</f>
        <v>0.50320782208335402</v>
      </c>
      <c r="Z42" s="49">
        <f t="shared" ref="Z42" si="293">IFERROR(Z41/Z$19,0)</f>
        <v>0.75221849311495037</v>
      </c>
      <c r="AA42" s="49">
        <f t="shared" ref="AA42" si="294">IFERROR(AA41/AA$19,0)</f>
        <v>0.8024792947453665</v>
      </c>
      <c r="AB42" s="49">
        <f t="shared" ref="AB42" si="295">IFERROR(AB41/AB$19,0)</f>
        <v>0.97713247740998288</v>
      </c>
      <c r="AC42" s="49">
        <f t="shared" ref="AC42" si="296">IFERROR(AC41/AC$19,0)</f>
        <v>0.50144248176944439</v>
      </c>
      <c r="AD42" s="50">
        <f t="shared" ref="AD42" si="297">IFERROR(AD41/AD$19,0)</f>
        <v>0.75578469750145361</v>
      </c>
      <c r="AE42" s="49">
        <f t="shared" ref="AE42" si="298">IFERROR(AE41/AE$19,0)</f>
        <v>0.62391304716204188</v>
      </c>
      <c r="AF42" s="49">
        <f t="shared" ref="AF42" si="299">IFERROR(AF41/AF$19,0)</f>
        <v>0.62876879640340955</v>
      </c>
      <c r="AG42" s="49">
        <f t="shared" ref="AG42" si="300">IFERROR(AG41/AG$19,0)</f>
        <v>0.63133062344526747</v>
      </c>
      <c r="AH42" s="49">
        <f t="shared" ref="AH42" si="301">IFERROR(AH41/AH$19,0)</f>
        <v>0.83363887398792302</v>
      </c>
      <c r="AI42" s="49">
        <f t="shared" ref="AI42" si="302">IFERROR(AI41/AI$19,0)</f>
        <v>0.48642373493223112</v>
      </c>
      <c r="AJ42" s="49">
        <f t="shared" ref="AJ42" si="303">IFERROR(AJ41/AJ$19,0)</f>
        <v>0.6105709033110458</v>
      </c>
      <c r="AK42" s="49">
        <f t="shared" ref="AK42" si="304">IFERROR(AK41/AK$19,0)</f>
        <v>0.60495659902256704</v>
      </c>
      <c r="AL42" s="49">
        <f t="shared" ref="AL42" si="305">IFERROR(AL41/AL$19,0)</f>
        <v>0.81784049772601852</v>
      </c>
      <c r="AM42" s="49">
        <f t="shared" ref="AM42" si="306">IFERROR(AM41/AM$19,0)</f>
        <v>0.4438709883997512</v>
      </c>
      <c r="AN42" s="49">
        <f t="shared" ref="AN42" si="307">IFERROR(AN41/AN$19,0)</f>
        <v>0.67037305362062294</v>
      </c>
      <c r="AO42" s="50">
        <f t="shared" ref="AO42" si="308">IFERROR(AO41/AO$19,0)</f>
        <v>0.63006364682516247</v>
      </c>
      <c r="AP42" s="50">
        <f t="shared" ref="AP42" si="309">IFERROR(AP41/AP$19,0)</f>
        <v>0.64217578959044941</v>
      </c>
    </row>
    <row r="43" spans="2:44" x14ac:dyDescent="0.2">
      <c r="B43" s="25"/>
      <c r="Q43" s="17"/>
      <c r="AD43" s="17"/>
      <c r="AO43" s="17"/>
      <c r="AP43" s="17"/>
    </row>
    <row r="44" spans="2:44" x14ac:dyDescent="0.2">
      <c r="B44" s="12" t="s">
        <v>23</v>
      </c>
      <c r="C44" s="13"/>
      <c r="D44" s="13"/>
      <c r="E44" s="42">
        <f t="shared" ref="E44:AP44" si="310">+E19-E41</f>
        <v>48.583650000000006</v>
      </c>
      <c r="F44" s="42">
        <f t="shared" si="310"/>
        <v>48.395170000000007</v>
      </c>
      <c r="G44" s="42">
        <f t="shared" si="310"/>
        <v>172.41040000000004</v>
      </c>
      <c r="H44" s="42">
        <f t="shared" si="310"/>
        <v>102.48649999999998</v>
      </c>
      <c r="I44" s="42">
        <f t="shared" si="310"/>
        <v>87.286029999999954</v>
      </c>
      <c r="J44" s="42">
        <f t="shared" si="310"/>
        <v>72.77860000000004</v>
      </c>
      <c r="K44" s="42">
        <f t="shared" si="310"/>
        <v>168.41696999999999</v>
      </c>
      <c r="L44" s="42">
        <f t="shared" si="310"/>
        <v>106.53516999999997</v>
      </c>
      <c r="M44" s="42">
        <f t="shared" si="310"/>
        <v>59.493039999999951</v>
      </c>
      <c r="N44" s="42">
        <f t="shared" si="310"/>
        <v>136.48733999999999</v>
      </c>
      <c r="O44" s="42">
        <f t="shared" si="310"/>
        <v>85.077610000000021</v>
      </c>
      <c r="P44" s="42">
        <f t="shared" si="310"/>
        <v>136.26394999999994</v>
      </c>
      <c r="Q44" s="43">
        <f t="shared" si="310"/>
        <v>1224.21443</v>
      </c>
      <c r="R44" s="42">
        <f t="shared" si="310"/>
        <v>47.056970000000007</v>
      </c>
      <c r="S44" s="42">
        <f t="shared" si="310"/>
        <v>62.047069999999962</v>
      </c>
      <c r="T44" s="42">
        <f t="shared" si="310"/>
        <v>-6.0540000000003147E-2</v>
      </c>
      <c r="U44" s="42">
        <f t="shared" si="310"/>
        <v>158.80743000000004</v>
      </c>
      <c r="V44" s="42">
        <f t="shared" si="310"/>
        <v>56.615850000000023</v>
      </c>
      <c r="W44" s="42">
        <f t="shared" si="310"/>
        <v>113.86216999999999</v>
      </c>
      <c r="X44" s="42">
        <f t="shared" si="310"/>
        <v>1.064230000000066</v>
      </c>
      <c r="Y44" s="42">
        <f t="shared" si="310"/>
        <v>189.32115000000002</v>
      </c>
      <c r="Z44" s="42">
        <f t="shared" si="310"/>
        <v>98.642420000000016</v>
      </c>
      <c r="AA44" s="42">
        <f t="shared" si="310"/>
        <v>60.302219999999949</v>
      </c>
      <c r="AB44" s="42">
        <f t="shared" si="310"/>
        <v>6.6932500000000346</v>
      </c>
      <c r="AC44" s="42">
        <f t="shared" si="310"/>
        <v>194.64207999999996</v>
      </c>
      <c r="AD44" s="43">
        <f t="shared" si="310"/>
        <v>988.99430000000029</v>
      </c>
      <c r="AE44" s="42">
        <f t="shared" si="310"/>
        <v>79.898590000000041</v>
      </c>
      <c r="AF44" s="42">
        <f t="shared" si="310"/>
        <v>104.89460999999994</v>
      </c>
      <c r="AG44" s="42">
        <f t="shared" si="310"/>
        <v>140.70237999999998</v>
      </c>
      <c r="AH44" s="42">
        <f t="shared" si="310"/>
        <v>58.048949999999934</v>
      </c>
      <c r="AI44" s="42">
        <f t="shared" si="310"/>
        <v>177.54578000000004</v>
      </c>
      <c r="AJ44" s="42">
        <f t="shared" si="310"/>
        <v>183.96089999999992</v>
      </c>
      <c r="AK44" s="42">
        <f t="shared" si="310"/>
        <v>152.11286000000001</v>
      </c>
      <c r="AL44" s="42">
        <f t="shared" si="310"/>
        <v>64.473700000000065</v>
      </c>
      <c r="AM44" s="42">
        <f t="shared" si="310"/>
        <v>243.15739999999997</v>
      </c>
      <c r="AN44" s="42">
        <f t="shared" si="310"/>
        <v>111.49879999999999</v>
      </c>
      <c r="AO44" s="43">
        <f t="shared" si="310"/>
        <v>1316.2939699999993</v>
      </c>
      <c r="AP44" s="43">
        <f t="shared" si="310"/>
        <v>1517.6292999999987</v>
      </c>
    </row>
    <row r="45" spans="2:44" x14ac:dyDescent="0.2">
      <c r="B45" s="14"/>
      <c r="C45" s="15"/>
      <c r="D45" s="15"/>
      <c r="E45" s="49">
        <f>IFERROR(E44/E$19,0)</f>
        <v>0.25573569758962211</v>
      </c>
      <c r="F45" s="49">
        <f t="shared" ref="F45" si="311">IFERROR(F44/F$19,0)</f>
        <v>0.21293217776472292</v>
      </c>
      <c r="G45" s="49">
        <f t="shared" ref="G45" si="312">IFERROR(G44/G$19,0)</f>
        <v>0.56047365358959611</v>
      </c>
      <c r="H45" s="49">
        <f t="shared" ref="H45" si="313">IFERROR(H44/H$19,0)</f>
        <v>0.39624567885497203</v>
      </c>
      <c r="I45" s="49">
        <f t="shared" ref="I45" si="314">IFERROR(I44/I$19,0)</f>
        <v>0.3211678206335406</v>
      </c>
      <c r="J45" s="49">
        <f t="shared" ref="J45" si="315">IFERROR(J44/J$19,0)</f>
        <v>0.19763094109574977</v>
      </c>
      <c r="K45" s="49">
        <f t="shared" ref="K45" si="316">IFERROR(K44/K$19,0)</f>
        <v>0.55675659021478552</v>
      </c>
      <c r="L45" s="49">
        <f t="shared" ref="L45" si="317">IFERROR(L44/L$19,0)</f>
        <v>0.38429469257898491</v>
      </c>
      <c r="M45" s="49">
        <f t="shared" ref="M45" si="318">IFERROR(M44/M$19,0)</f>
        <v>0.16792657853996687</v>
      </c>
      <c r="N45" s="49">
        <f t="shared" ref="N45" si="319">IFERROR(N44/N$19,0)</f>
        <v>0.51089183936849258</v>
      </c>
      <c r="O45" s="49">
        <f t="shared" ref="O45" si="320">IFERROR(O44/O$19,0)</f>
        <v>0.3776323261641838</v>
      </c>
      <c r="P45" s="49">
        <f t="shared" ref="P45" si="321">IFERROR(P44/P$19,0)</f>
        <v>0.40184942696682419</v>
      </c>
      <c r="Q45" s="50">
        <f t="shared" ref="Q45" si="322">IFERROR(Q44/Q$19,0)</f>
        <v>0.36122261668225647</v>
      </c>
      <c r="R45" s="49">
        <f t="shared" ref="R45" si="323">IFERROR(R44/R$19,0)</f>
        <v>0.23237184813042938</v>
      </c>
      <c r="S45" s="49">
        <f t="shared" ref="S45" si="324">IFERROR(S44/S$19,0)</f>
        <v>0.24029624019512111</v>
      </c>
      <c r="T45" s="49">
        <f t="shared" ref="T45" si="325">IFERROR(T44/T$19,0)</f>
        <v>-1.7156208039342168E-4</v>
      </c>
      <c r="U45" s="49">
        <f t="shared" ref="U45" si="326">IFERROR(U44/U$19,0)</f>
        <v>0.49673939314736282</v>
      </c>
      <c r="V45" s="49">
        <f t="shared" ref="V45" si="327">IFERROR(V44/V$19,0)</f>
        <v>0.16649637914410301</v>
      </c>
      <c r="W45" s="49">
        <f t="shared" ref="W45" si="328">IFERROR(W44/W$19,0)</f>
        <v>0.26016826437691881</v>
      </c>
      <c r="X45" s="49">
        <f t="shared" ref="X45" si="329">IFERROR(X44/X$19,0)</f>
        <v>2.8677264380353872E-3</v>
      </c>
      <c r="Y45" s="49">
        <f t="shared" ref="Y45" si="330">IFERROR(Y44/Y$19,0)</f>
        <v>0.49679217791664598</v>
      </c>
      <c r="Z45" s="49">
        <f t="shared" ref="Z45" si="331">IFERROR(Z44/Z$19,0)</f>
        <v>0.24778150688504968</v>
      </c>
      <c r="AA45" s="49">
        <f t="shared" ref="AA45" si="332">IFERROR(AA44/AA$19,0)</f>
        <v>0.19752070525463347</v>
      </c>
      <c r="AB45" s="49">
        <f t="shared" ref="AB45" si="333">IFERROR(AB44/AB$19,0)</f>
        <v>2.2867522590017082E-2</v>
      </c>
      <c r="AC45" s="49">
        <f t="shared" ref="AC45" si="334">IFERROR(AC44/AC$19,0)</f>
        <v>0.49855751823055561</v>
      </c>
      <c r="AD45" s="50">
        <f t="shared" ref="AD45" si="335">IFERROR(AD44/AD$19,0)</f>
        <v>0.24421530249854642</v>
      </c>
      <c r="AE45" s="49">
        <f t="shared" ref="AE45" si="336">IFERROR(AE44/AE$19,0)</f>
        <v>0.37608695283795812</v>
      </c>
      <c r="AF45" s="49">
        <f t="shared" ref="AF45" si="337">IFERROR(AF44/AF$19,0)</f>
        <v>0.37123120359659045</v>
      </c>
      <c r="AG45" s="49">
        <f t="shared" ref="AG45" si="338">IFERROR(AG44/AG$19,0)</f>
        <v>0.36866937655473259</v>
      </c>
      <c r="AH45" s="49">
        <f t="shared" ref="AH45" si="339">IFERROR(AH44/AH$19,0)</f>
        <v>0.16636112601207695</v>
      </c>
      <c r="AI45" s="49">
        <f t="shared" ref="AI45" si="340">IFERROR(AI44/AI$19,0)</f>
        <v>0.51357626506776888</v>
      </c>
      <c r="AJ45" s="49">
        <f t="shared" ref="AJ45" si="341">IFERROR(AJ44/AJ$19,0)</f>
        <v>0.38942909668895426</v>
      </c>
      <c r="AK45" s="49">
        <f t="shared" ref="AK45" si="342">IFERROR(AK44/AK$19,0)</f>
        <v>0.39504340097743296</v>
      </c>
      <c r="AL45" s="49">
        <f t="shared" ref="AL45" si="343">IFERROR(AL44/AL$19,0)</f>
        <v>0.18215950227398145</v>
      </c>
      <c r="AM45" s="49">
        <f t="shared" ref="AM45" si="344">IFERROR(AM44/AM$19,0)</f>
        <v>0.55612901160024875</v>
      </c>
      <c r="AN45" s="49">
        <f t="shared" ref="AN45" si="345">IFERROR(AN44/AN$19,0)</f>
        <v>0.32962694637937706</v>
      </c>
      <c r="AO45" s="50">
        <f t="shared" ref="AO45" si="346">IFERROR(AO44/AO$19,0)</f>
        <v>0.36993635317483753</v>
      </c>
      <c r="AP45" s="50">
        <f t="shared" ref="AP45" si="347">IFERROR(AP44/AP$19,0)</f>
        <v>0.35782421040955065</v>
      </c>
    </row>
    <row r="46" spans="2:44" x14ac:dyDescent="0.2">
      <c r="B46" s="25"/>
      <c r="Q46" s="17"/>
      <c r="AD46" s="17"/>
      <c r="AO46" s="17"/>
      <c r="AP46" s="17"/>
    </row>
    <row r="47" spans="2:44" x14ac:dyDescent="0.2">
      <c r="B47" s="26" t="s">
        <v>70</v>
      </c>
      <c r="Q47" s="17"/>
      <c r="AD47" s="17"/>
      <c r="AO47" s="17"/>
      <c r="AP47" s="17"/>
    </row>
    <row r="48" spans="2:44" hidden="1" outlineLevel="1" x14ac:dyDescent="0.2">
      <c r="B48" s="29" t="s">
        <v>94</v>
      </c>
      <c r="Q48" s="17"/>
      <c r="AD48" s="17"/>
      <c r="AO48" s="17"/>
      <c r="AP48" s="17"/>
    </row>
    <row r="49" spans="2:44" hidden="1" outlineLevel="1" x14ac:dyDescent="0.2">
      <c r="B49" s="30" t="str">
        <f t="shared" ref="B49:B55" si="348">+AR49</f>
        <v>Officer Salaries</v>
      </c>
      <c r="E49" s="20">
        <f>SUMIF('Income Statement Source'!$C:$C,'1. Income Statement'!$AR49,'Income Statement Source'!G:G)/1000</f>
        <v>14.566360000000001</v>
      </c>
      <c r="F49" s="20">
        <f>SUMIF('Income Statement Source'!$C:$C,'1. Income Statement'!$AR49,'Income Statement Source'!H:H)/1000</f>
        <v>14.841040000000001</v>
      </c>
      <c r="G49" s="20">
        <f>SUMIF('Income Statement Source'!$C:$C,'1. Income Statement'!$AR49,'Income Statement Source'!I:I)/1000</f>
        <v>14.63945</v>
      </c>
      <c r="H49" s="20">
        <f>SUMIF('Income Statement Source'!$C:$C,'1. Income Statement'!$AR49,'Income Statement Source'!J:J)/1000</f>
        <v>14.88982</v>
      </c>
      <c r="I49" s="20">
        <f>SUMIF('Income Statement Source'!$C:$C,'1. Income Statement'!$AR49,'Income Statement Source'!K:K)/1000</f>
        <v>22.240500000000001</v>
      </c>
      <c r="J49" s="20">
        <f>SUMIF('Income Statement Source'!$C:$C,'1. Income Statement'!$AR49,'Income Statement Source'!L:L)/1000</f>
        <v>14.523370000000002</v>
      </c>
      <c r="K49" s="20">
        <f>SUMIF('Income Statement Source'!$C:$C,'1. Income Statement'!$AR49,'Income Statement Source'!M:M)/1000</f>
        <v>14.647969999999999</v>
      </c>
      <c r="L49" s="20">
        <f>SUMIF('Income Statement Source'!$C:$C,'1. Income Statement'!$AR49,'Income Statement Source'!N:N)/1000</f>
        <v>15.039729999999999</v>
      </c>
      <c r="M49" s="20">
        <f>SUMIF('Income Statement Source'!$C:$C,'1. Income Statement'!$AR49,'Income Statement Source'!O:O)/1000</f>
        <v>14.89935</v>
      </c>
      <c r="N49" s="20">
        <f>SUMIF('Income Statement Source'!$C:$C,'1. Income Statement'!$AR49,'Income Statement Source'!P:P)/1000</f>
        <v>21.52403</v>
      </c>
      <c r="O49" s="20">
        <f>SUMIF('Income Statement Source'!$C:$C,'1. Income Statement'!$AR49,'Income Statement Source'!Q:Q)/1000</f>
        <v>14.90499</v>
      </c>
      <c r="P49" s="20">
        <f>SUMIF('Income Statement Source'!$C:$C,'1. Income Statement'!$AR49,'Income Statement Source'!R:R)/1000</f>
        <v>15.06362</v>
      </c>
      <c r="Q49" s="22">
        <f t="shared" ref="Q49:Q55" si="349">SUM(E49:P49)</f>
        <v>191.78023000000002</v>
      </c>
      <c r="R49" s="20">
        <f>SUMIF('Income Statement Source'!$C:$C,'1. Income Statement'!$AR49,'Income Statement Source'!T:T)/1000</f>
        <v>14.66461</v>
      </c>
      <c r="S49" s="20">
        <f>SUMIF('Income Statement Source'!$C:$C,'1. Income Statement'!$AR49,'Income Statement Source'!U:U)/1000</f>
        <v>14.34938</v>
      </c>
      <c r="T49" s="20">
        <f>SUMIF('Income Statement Source'!$C:$C,'1. Income Statement'!$AR49,'Income Statement Source'!V:V)/1000</f>
        <v>14.422840000000001</v>
      </c>
      <c r="U49" s="20">
        <f>SUMIF('Income Statement Source'!$C:$C,'1. Income Statement'!$AR49,'Income Statement Source'!W:W)/1000</f>
        <v>14.97625</v>
      </c>
      <c r="V49" s="20">
        <f>SUMIF('Income Statement Source'!$C:$C,'1. Income Statement'!$AR49,'Income Statement Source'!X:X)/1000</f>
        <v>22.597169999999998</v>
      </c>
      <c r="W49" s="20">
        <f>SUMIF('Income Statement Source'!$C:$C,'1. Income Statement'!$AR49,'Income Statement Source'!Y:Y)/1000</f>
        <v>14.674440000000001</v>
      </c>
      <c r="X49" s="20">
        <f>SUMIF('Income Statement Source'!$C:$C,'1. Income Statement'!$AR49,'Income Statement Source'!Z:Z)/1000</f>
        <v>15.05092</v>
      </c>
      <c r="Y49" s="20">
        <f>SUMIF('Income Statement Source'!$C:$C,'1. Income Statement'!$AR49,'Income Statement Source'!AA:AA)/1000</f>
        <v>14.398020000000001</v>
      </c>
      <c r="Z49" s="20">
        <f>SUMIF('Income Statement Source'!$C:$C,'1. Income Statement'!$AR49,'Income Statement Source'!AB:AB)/1000</f>
        <v>14.37866</v>
      </c>
      <c r="AA49" s="20">
        <f>SUMIF('Income Statement Source'!$C:$C,'1. Income Statement'!$AR49,'Income Statement Source'!AC:AC)/1000</f>
        <v>21.945209999999999</v>
      </c>
      <c r="AB49" s="20">
        <f>SUMIF('Income Statement Source'!$C:$C,'1. Income Statement'!$AR49,'Income Statement Source'!AD:AD)/1000</f>
        <v>14.38593</v>
      </c>
      <c r="AC49" s="20">
        <f>SUMIF('Income Statement Source'!$C:$C,'1. Income Statement'!$AR49,'Income Statement Source'!AE:AE)/1000</f>
        <v>14.51441</v>
      </c>
      <c r="AD49" s="22">
        <f t="shared" ref="AD49:AD55" si="350">SUM(R49:AC49)</f>
        <v>190.35784000000001</v>
      </c>
      <c r="AE49" s="20">
        <f>SUMIF('Income Statement Source'!$C:$C,'1. Income Statement'!$AR49,'Income Statement Source'!AG:AG)/1000</f>
        <v>14.74103</v>
      </c>
      <c r="AF49" s="20">
        <f>SUMIF('Income Statement Source'!$C:$C,'1. Income Statement'!$AR49,'Income Statement Source'!AH:AH)/1000</f>
        <v>14.78242</v>
      </c>
      <c r="AG49" s="20">
        <f>SUMIF('Income Statement Source'!$C:$C,'1. Income Statement'!$AR49,'Income Statement Source'!AI:AI)/1000</f>
        <v>14.466839999999999</v>
      </c>
      <c r="AH49" s="20">
        <f>SUMIF('Income Statement Source'!$C:$C,'1. Income Statement'!$AR49,'Income Statement Source'!AJ:AJ)/1000</f>
        <v>14.596780000000001</v>
      </c>
      <c r="AI49" s="20">
        <f>SUMIF('Income Statement Source'!$C:$C,'1. Income Statement'!$AR49,'Income Statement Source'!AK:AK)/1000</f>
        <v>22.599720000000001</v>
      </c>
      <c r="AJ49" s="20">
        <f>SUMIF('Income Statement Source'!$C:$C,'1. Income Statement'!$AR49,'Income Statement Source'!AL:AL)/1000</f>
        <v>14.36219</v>
      </c>
      <c r="AK49" s="20">
        <f>SUMIF('Income Statement Source'!$C:$C,'1. Income Statement'!$AR49,'Income Statement Source'!AM:AM)/1000</f>
        <v>14.34703</v>
      </c>
      <c r="AL49" s="20">
        <f>SUMIF('Income Statement Source'!$C:$C,'1. Income Statement'!$AR49,'Income Statement Source'!AN:AN)/1000</f>
        <v>14.4056</v>
      </c>
      <c r="AM49" s="20">
        <f>SUMIF('Income Statement Source'!$C:$C,'1. Income Statement'!$AR49,'Income Statement Source'!AO:AO)/1000</f>
        <v>14.37448</v>
      </c>
      <c r="AN49" s="20">
        <f>SUMIF('Income Statement Source'!$C:$C,'1. Income Statement'!$AR49,'Income Statement Source'!AP:AP)/1000</f>
        <v>21.84806</v>
      </c>
      <c r="AO49" s="22">
        <f t="shared" ref="AO49:AO55" si="351">SUM(AE49:AN49)</f>
        <v>160.52415000000002</v>
      </c>
      <c r="AP49" s="22">
        <f t="shared" ref="AP49:AP55" si="352">SUM(AO49,AB49:AC49)</f>
        <v>189.42449000000002</v>
      </c>
      <c r="AR49" s="53" t="s">
        <v>26</v>
      </c>
    </row>
    <row r="50" spans="2:44" hidden="1" outlineLevel="1" x14ac:dyDescent="0.2">
      <c r="B50" s="30" t="str">
        <f t="shared" si="348"/>
        <v>Office Salaries</v>
      </c>
      <c r="E50" s="20">
        <f>SUMIF('Income Statement Source'!$C:$C,'1. Income Statement'!$AR50,'Income Statement Source'!G:G)/1000</f>
        <v>10.490069999999999</v>
      </c>
      <c r="F50" s="20">
        <f>SUMIF('Income Statement Source'!$C:$C,'1. Income Statement'!$AR50,'Income Statement Source'!H:H)/1000</f>
        <v>10.399469999999999</v>
      </c>
      <c r="G50" s="20">
        <f>SUMIF('Income Statement Source'!$C:$C,'1. Income Statement'!$AR50,'Income Statement Source'!I:I)/1000</f>
        <v>10.378270000000001</v>
      </c>
      <c r="H50" s="20">
        <f>SUMIF('Income Statement Source'!$C:$C,'1. Income Statement'!$AR50,'Income Statement Source'!J:J)/1000</f>
        <v>10.65348</v>
      </c>
      <c r="I50" s="20">
        <f>SUMIF('Income Statement Source'!$C:$C,'1. Income Statement'!$AR50,'Income Statement Source'!K:K)/1000</f>
        <v>15.478459999999998</v>
      </c>
      <c r="J50" s="20">
        <f>SUMIF('Income Statement Source'!$C:$C,'1. Income Statement'!$AR50,'Income Statement Source'!L:L)/1000</f>
        <v>10.261959999999998</v>
      </c>
      <c r="K50" s="20">
        <f>SUMIF('Income Statement Source'!$C:$C,'1. Income Statement'!$AR50,'Income Statement Source'!M:M)/1000</f>
        <v>10.44299</v>
      </c>
      <c r="L50" s="20">
        <f>SUMIF('Income Statement Source'!$C:$C,'1. Income Statement'!$AR50,'Income Statement Source'!N:N)/1000</f>
        <v>10.30673</v>
      </c>
      <c r="M50" s="20">
        <f>SUMIF('Income Statement Source'!$C:$C,'1. Income Statement'!$AR50,'Income Statement Source'!O:O)/1000</f>
        <v>10.377799999999999</v>
      </c>
      <c r="N50" s="20">
        <f>SUMIF('Income Statement Source'!$C:$C,'1. Income Statement'!$AR50,'Income Statement Source'!P:P)/1000</f>
        <v>15.50783</v>
      </c>
      <c r="O50" s="20">
        <f>SUMIF('Income Statement Source'!$C:$C,'1. Income Statement'!$AR50,'Income Statement Source'!Q:Q)/1000</f>
        <v>10.39142</v>
      </c>
      <c r="P50" s="20">
        <f>SUMIF('Income Statement Source'!$C:$C,'1. Income Statement'!$AR50,'Income Statement Source'!R:R)/1000</f>
        <v>10.666969999999999</v>
      </c>
      <c r="Q50" s="22">
        <f t="shared" si="349"/>
        <v>135.35544999999999</v>
      </c>
      <c r="R50" s="20">
        <f>SUMIF('Income Statement Source'!$C:$C,'1. Income Statement'!$AR50,'Income Statement Source'!T:T)/1000</f>
        <v>10.583620000000002</v>
      </c>
      <c r="S50" s="20">
        <f>SUMIF('Income Statement Source'!$C:$C,'1. Income Statement'!$AR50,'Income Statement Source'!U:U)/1000</f>
        <v>10.358799999999999</v>
      </c>
      <c r="T50" s="20">
        <f>SUMIF('Income Statement Source'!$C:$C,'1. Income Statement'!$AR50,'Income Statement Source'!V:V)/1000</f>
        <v>10.701879999999999</v>
      </c>
      <c r="U50" s="20">
        <f>SUMIF('Income Statement Source'!$C:$C,'1. Income Statement'!$AR50,'Income Statement Source'!W:W)/1000</f>
        <v>10.62355</v>
      </c>
      <c r="V50" s="20">
        <f>SUMIF('Income Statement Source'!$C:$C,'1. Income Statement'!$AR50,'Income Statement Source'!X:X)/1000</f>
        <v>16.069610000000001</v>
      </c>
      <c r="W50" s="20">
        <f>SUMIF('Income Statement Source'!$C:$C,'1. Income Statement'!$AR50,'Income Statement Source'!Y:Y)/1000</f>
        <v>10.35528</v>
      </c>
      <c r="X50" s="20">
        <f>SUMIF('Income Statement Source'!$C:$C,'1. Income Statement'!$AR50,'Income Statement Source'!Z:Z)/1000</f>
        <v>10.25305</v>
      </c>
      <c r="Y50" s="20">
        <f>SUMIF('Income Statement Source'!$C:$C,'1. Income Statement'!$AR50,'Income Statement Source'!AA:AA)/1000</f>
        <v>10.58769</v>
      </c>
      <c r="Z50" s="20">
        <f>SUMIF('Income Statement Source'!$C:$C,'1. Income Statement'!$AR50,'Income Statement Source'!AB:AB)/1000</f>
        <v>10.35999</v>
      </c>
      <c r="AA50" s="20">
        <f>SUMIF('Income Statement Source'!$C:$C,'1. Income Statement'!$AR50,'Income Statement Source'!AC:AC)/1000</f>
        <v>15.906090000000001</v>
      </c>
      <c r="AB50" s="20">
        <f>SUMIF('Income Statement Source'!$C:$C,'1. Income Statement'!$AR50,'Income Statement Source'!AD:AD)/1000</f>
        <v>10.40049</v>
      </c>
      <c r="AC50" s="20">
        <f>SUMIF('Income Statement Source'!$C:$C,'1. Income Statement'!$AR50,'Income Statement Source'!AE:AE)/1000</f>
        <v>10.29393</v>
      </c>
      <c r="AD50" s="22">
        <f t="shared" si="350"/>
        <v>136.49397999999999</v>
      </c>
      <c r="AE50" s="20">
        <f>SUMIF('Income Statement Source'!$C:$C,'1. Income Statement'!$AR50,'Income Statement Source'!AG:AG)/1000</f>
        <v>10.2689</v>
      </c>
      <c r="AF50" s="20">
        <f>SUMIF('Income Statement Source'!$C:$C,'1. Income Statement'!$AR50,'Income Statement Source'!AH:AH)/1000</f>
        <v>10.34273</v>
      </c>
      <c r="AG50" s="20">
        <f>SUMIF('Income Statement Source'!$C:$C,'1. Income Statement'!$AR50,'Income Statement Source'!AI:AI)/1000</f>
        <v>10.55627</v>
      </c>
      <c r="AH50" s="20">
        <f>SUMIF('Income Statement Source'!$C:$C,'1. Income Statement'!$AR50,'Income Statement Source'!AJ:AJ)/1000</f>
        <v>10.677940000000001</v>
      </c>
      <c r="AI50" s="20">
        <f>SUMIF('Income Statement Source'!$C:$C,'1. Income Statement'!$AR50,'Income Statement Source'!AK:AK)/1000</f>
        <v>15.376940000000001</v>
      </c>
      <c r="AJ50" s="20">
        <f>SUMIF('Income Statement Source'!$C:$C,'1. Income Statement'!$AR50,'Income Statement Source'!AL:AL)/1000</f>
        <v>10.37989</v>
      </c>
      <c r="AK50" s="20">
        <f>SUMIF('Income Statement Source'!$C:$C,'1. Income Statement'!$AR50,'Income Statement Source'!AM:AM)/1000</f>
        <v>10.47105</v>
      </c>
      <c r="AL50" s="20">
        <f>SUMIF('Income Statement Source'!$C:$C,'1. Income Statement'!$AR50,'Income Statement Source'!AN:AN)/1000</f>
        <v>10.52717</v>
      </c>
      <c r="AM50" s="20">
        <f>SUMIF('Income Statement Source'!$C:$C,'1. Income Statement'!$AR50,'Income Statement Source'!AO:AO)/1000</f>
        <v>10.23864</v>
      </c>
      <c r="AN50" s="20">
        <f>SUMIF('Income Statement Source'!$C:$C,'1. Income Statement'!$AR50,'Income Statement Source'!AP:AP)/1000</f>
        <v>15.930429999999999</v>
      </c>
      <c r="AO50" s="22">
        <f t="shared" si="351"/>
        <v>114.76996000000001</v>
      </c>
      <c r="AP50" s="22">
        <f t="shared" si="352"/>
        <v>135.46438000000001</v>
      </c>
      <c r="AR50" s="53" t="s">
        <v>27</v>
      </c>
    </row>
    <row r="51" spans="2:44" hidden="1" outlineLevel="1" x14ac:dyDescent="0.2">
      <c r="B51" s="30" t="str">
        <f t="shared" si="348"/>
        <v>Project Manager Salaries</v>
      </c>
      <c r="E51" s="20">
        <f>SUMIF('Income Statement Source'!$C:$C,'1. Income Statement'!$AR51,'Income Statement Source'!G:G)/1000</f>
        <v>8.3378700000000006</v>
      </c>
      <c r="F51" s="20">
        <f>SUMIF('Income Statement Source'!$C:$C,'1. Income Statement'!$AR51,'Income Statement Source'!H:H)/1000</f>
        <v>8.3825699999999994</v>
      </c>
      <c r="G51" s="20">
        <f>SUMIF('Income Statement Source'!$C:$C,'1. Income Statement'!$AR51,'Income Statement Source'!I:I)/1000</f>
        <v>8.2644300000000008</v>
      </c>
      <c r="H51" s="20">
        <f>SUMIF('Income Statement Source'!$C:$C,'1. Income Statement'!$AR51,'Income Statement Source'!J:J)/1000</f>
        <v>8.303370000000001</v>
      </c>
      <c r="I51" s="20">
        <f>SUMIF('Income Statement Source'!$C:$C,'1. Income Statement'!$AR51,'Income Statement Source'!K:K)/1000</f>
        <v>12.61894</v>
      </c>
      <c r="J51" s="20">
        <f>SUMIF('Income Statement Source'!$C:$C,'1. Income Statement'!$AR51,'Income Statement Source'!L:L)/1000</f>
        <v>8.3984199999999998</v>
      </c>
      <c r="K51" s="20">
        <f>SUMIF('Income Statement Source'!$C:$C,'1. Income Statement'!$AR51,'Income Statement Source'!M:M)/1000</f>
        <v>8.2328600000000005</v>
      </c>
      <c r="L51" s="20">
        <f>SUMIF('Income Statement Source'!$C:$C,'1. Income Statement'!$AR51,'Income Statement Source'!N:N)/1000</f>
        <v>8.3010800000000007</v>
      </c>
      <c r="M51" s="20">
        <f>SUMIF('Income Statement Source'!$C:$C,'1. Income Statement'!$AR51,'Income Statement Source'!O:O)/1000</f>
        <v>8.3152500000000007</v>
      </c>
      <c r="N51" s="20">
        <f>SUMIF('Income Statement Source'!$C:$C,'1. Income Statement'!$AR51,'Income Statement Source'!P:P)/1000</f>
        <v>12.692350000000001</v>
      </c>
      <c r="O51" s="20">
        <f>SUMIF('Income Statement Source'!$C:$C,'1. Income Statement'!$AR51,'Income Statement Source'!Q:Q)/1000</f>
        <v>8.4483099999999993</v>
      </c>
      <c r="P51" s="20">
        <f>SUMIF('Income Statement Source'!$C:$C,'1. Income Statement'!$AR51,'Income Statement Source'!R:R)/1000</f>
        <v>8.4352900000000002</v>
      </c>
      <c r="Q51" s="22">
        <f t="shared" si="349"/>
        <v>108.73074000000001</v>
      </c>
      <c r="R51" s="20">
        <f>SUMIF('Income Statement Source'!$C:$C,'1. Income Statement'!$AR51,'Income Statement Source'!T:T)/1000</f>
        <v>8.2014200000000006</v>
      </c>
      <c r="S51" s="20">
        <f>SUMIF('Income Statement Source'!$C:$C,'1. Income Statement'!$AR51,'Income Statement Source'!U:U)/1000</f>
        <v>8.3699899999999996</v>
      </c>
      <c r="T51" s="20">
        <f>SUMIF('Income Statement Source'!$C:$C,'1. Income Statement'!$AR51,'Income Statement Source'!V:V)/1000</f>
        <v>8.4596100000000014</v>
      </c>
      <c r="U51" s="20">
        <f>SUMIF('Income Statement Source'!$C:$C,'1. Income Statement'!$AR51,'Income Statement Source'!W:W)/1000</f>
        <v>8.2037099999999992</v>
      </c>
      <c r="V51" s="20">
        <f>SUMIF('Income Statement Source'!$C:$C,'1. Income Statement'!$AR51,'Income Statement Source'!X:X)/1000</f>
        <v>12.885809999999999</v>
      </c>
      <c r="W51" s="20">
        <f>SUMIF('Income Statement Source'!$C:$C,'1. Income Statement'!$AR51,'Income Statement Source'!Y:Y)/1000</f>
        <v>8.4592999999999989</v>
      </c>
      <c r="X51" s="20">
        <f>SUMIF('Income Statement Source'!$C:$C,'1. Income Statement'!$AR51,'Income Statement Source'!Z:Z)/1000</f>
        <v>8.4639400000000009</v>
      </c>
      <c r="Y51" s="20">
        <f>SUMIF('Income Statement Source'!$C:$C,'1. Income Statement'!$AR51,'Income Statement Source'!AA:AA)/1000</f>
        <v>8.55762</v>
      </c>
      <c r="Z51" s="20">
        <f>SUMIF('Income Statement Source'!$C:$C,'1. Income Statement'!$AR51,'Income Statement Source'!AB:AB)/1000</f>
        <v>8.2210099999999997</v>
      </c>
      <c r="AA51" s="20">
        <f>SUMIF('Income Statement Source'!$C:$C,'1. Income Statement'!$AR51,'Income Statement Source'!AC:AC)/1000</f>
        <v>12.44303</v>
      </c>
      <c r="AB51" s="20">
        <f>SUMIF('Income Statement Source'!$C:$C,'1. Income Statement'!$AR51,'Income Statement Source'!AD:AD)/1000</f>
        <v>8.5754199999999994</v>
      </c>
      <c r="AC51" s="20">
        <f>SUMIF('Income Statement Source'!$C:$C,'1. Income Statement'!$AR51,'Income Statement Source'!AE:AE)/1000</f>
        <v>8.2289899999999996</v>
      </c>
      <c r="AD51" s="22">
        <f t="shared" si="350"/>
        <v>109.06984999999997</v>
      </c>
      <c r="AE51" s="20">
        <f>SUMIF('Income Statement Source'!$C:$C,'1. Income Statement'!$AR51,'Income Statement Source'!AG:AG)/1000</f>
        <v>8.468729999999999</v>
      </c>
      <c r="AF51" s="20">
        <f>SUMIF('Income Statement Source'!$C:$C,'1. Income Statement'!$AR51,'Income Statement Source'!AH:AH)/1000</f>
        <v>8.5902999999999992</v>
      </c>
      <c r="AG51" s="20">
        <f>SUMIF('Income Statement Source'!$C:$C,'1. Income Statement'!$AR51,'Income Statement Source'!AI:AI)/1000</f>
        <v>8.60684</v>
      </c>
      <c r="AH51" s="20">
        <f>SUMIF('Income Statement Source'!$C:$C,'1. Income Statement'!$AR51,'Income Statement Source'!AJ:AJ)/1000</f>
        <v>8.234770000000001</v>
      </c>
      <c r="AI51" s="20">
        <f>SUMIF('Income Statement Source'!$C:$C,'1. Income Statement'!$AR51,'Income Statement Source'!AK:AK)/1000</f>
        <v>12.28917</v>
      </c>
      <c r="AJ51" s="20">
        <f>SUMIF('Income Statement Source'!$C:$C,'1. Income Statement'!$AR51,'Income Statement Source'!AL:AL)/1000</f>
        <v>8.3134699999999988</v>
      </c>
      <c r="AK51" s="20">
        <f>SUMIF('Income Statement Source'!$C:$C,'1. Income Statement'!$AR51,'Income Statement Source'!AM:AM)/1000</f>
        <v>8.2890300000000003</v>
      </c>
      <c r="AL51" s="20">
        <f>SUMIF('Income Statement Source'!$C:$C,'1. Income Statement'!$AR51,'Income Statement Source'!AN:AN)/1000</f>
        <v>8.5781600000000005</v>
      </c>
      <c r="AM51" s="20">
        <f>SUMIF('Income Statement Source'!$C:$C,'1. Income Statement'!$AR51,'Income Statement Source'!AO:AO)/1000</f>
        <v>8.2265400000000017</v>
      </c>
      <c r="AN51" s="20">
        <f>SUMIF('Income Statement Source'!$C:$C,'1. Income Statement'!$AR51,'Income Statement Source'!AP:AP)/1000</f>
        <v>12.884930000000001</v>
      </c>
      <c r="AO51" s="22">
        <f t="shared" si="351"/>
        <v>92.48193999999998</v>
      </c>
      <c r="AP51" s="22">
        <f t="shared" si="352"/>
        <v>109.28634999999997</v>
      </c>
      <c r="AR51" s="53" t="s">
        <v>28</v>
      </c>
    </row>
    <row r="52" spans="2:44" hidden="1" outlineLevel="1" x14ac:dyDescent="0.2">
      <c r="B52" s="30" t="str">
        <f t="shared" si="348"/>
        <v>Field Supervisor Salaries</v>
      </c>
      <c r="E52" s="20">
        <f>SUMIF('Income Statement Source'!$C:$C,'1. Income Statement'!$AR52,'Income Statement Source'!G:G)/1000</f>
        <v>8.3623799999999999</v>
      </c>
      <c r="F52" s="20">
        <f>SUMIF('Income Statement Source'!$C:$C,'1. Income Statement'!$AR52,'Income Statement Source'!H:H)/1000</f>
        <v>8.6070100000000007</v>
      </c>
      <c r="G52" s="20">
        <f>SUMIF('Income Statement Source'!$C:$C,'1. Income Statement'!$AR52,'Income Statement Source'!I:I)/1000</f>
        <v>8.2427799999999998</v>
      </c>
      <c r="H52" s="20">
        <f>SUMIF('Income Statement Source'!$C:$C,'1. Income Statement'!$AR52,'Income Statement Source'!J:J)/1000</f>
        <v>8.3178300000000007</v>
      </c>
      <c r="I52" s="20">
        <f>SUMIF('Income Statement Source'!$C:$C,'1. Income Statement'!$AR52,'Income Statement Source'!K:K)/1000</f>
        <v>12.74375</v>
      </c>
      <c r="J52" s="20">
        <f>SUMIF('Income Statement Source'!$C:$C,'1. Income Statement'!$AR52,'Income Statement Source'!L:L)/1000</f>
        <v>8.2957299999999989</v>
      </c>
      <c r="K52" s="20">
        <f>SUMIF('Income Statement Source'!$C:$C,'1. Income Statement'!$AR52,'Income Statement Source'!M:M)/1000</f>
        <v>8.4423700000000004</v>
      </c>
      <c r="L52" s="20">
        <f>SUMIF('Income Statement Source'!$C:$C,'1. Income Statement'!$AR52,'Income Statement Source'!N:N)/1000</f>
        <v>8.5379900000000006</v>
      </c>
      <c r="M52" s="20">
        <f>SUMIF('Income Statement Source'!$C:$C,'1. Income Statement'!$AR52,'Income Statement Source'!O:O)/1000</f>
        <v>8.58169</v>
      </c>
      <c r="N52" s="20">
        <f>SUMIF('Income Statement Source'!$C:$C,'1. Income Statement'!$AR52,'Income Statement Source'!P:P)/1000</f>
        <v>12.61825</v>
      </c>
      <c r="O52" s="20">
        <f>SUMIF('Income Statement Source'!$C:$C,'1. Income Statement'!$AR52,'Income Statement Source'!Q:Q)/1000</f>
        <v>8.2699800000000003</v>
      </c>
      <c r="P52" s="20">
        <f>SUMIF('Income Statement Source'!$C:$C,'1. Income Statement'!$AR52,'Income Statement Source'!R:R)/1000</f>
        <v>8.2135099999999994</v>
      </c>
      <c r="Q52" s="22">
        <f t="shared" si="349"/>
        <v>109.23326999999999</v>
      </c>
      <c r="R52" s="20">
        <f>SUMIF('Income Statement Source'!$C:$C,'1. Income Statement'!$AR52,'Income Statement Source'!T:T)/1000</f>
        <v>8.4138099999999998</v>
      </c>
      <c r="S52" s="20">
        <f>SUMIF('Income Statement Source'!$C:$C,'1. Income Statement'!$AR52,'Income Statement Source'!U:U)/1000</f>
        <v>8.1922900000000016</v>
      </c>
      <c r="T52" s="20">
        <f>SUMIF('Income Statement Source'!$C:$C,'1. Income Statement'!$AR52,'Income Statement Source'!V:V)/1000</f>
        <v>8.5841100000000008</v>
      </c>
      <c r="U52" s="20">
        <f>SUMIF('Income Statement Source'!$C:$C,'1. Income Statement'!$AR52,'Income Statement Source'!W:W)/1000</f>
        <v>8.4917600000000011</v>
      </c>
      <c r="V52" s="20">
        <f>SUMIF('Income Statement Source'!$C:$C,'1. Income Statement'!$AR52,'Income Statement Source'!X:X)/1000</f>
        <v>12.28891</v>
      </c>
      <c r="W52" s="20">
        <f>SUMIF('Income Statement Source'!$C:$C,'1. Income Statement'!$AR52,'Income Statement Source'!Y:Y)/1000</f>
        <v>8.4952699999999997</v>
      </c>
      <c r="X52" s="20">
        <f>SUMIF('Income Statement Source'!$C:$C,'1. Income Statement'!$AR52,'Income Statement Source'!Z:Z)/1000</f>
        <v>8.2792999999999992</v>
      </c>
      <c r="Y52" s="20">
        <f>SUMIF('Income Statement Source'!$C:$C,'1. Income Statement'!$AR52,'Income Statement Source'!AA:AA)/1000</f>
        <v>8.4012199999999986</v>
      </c>
      <c r="Z52" s="20">
        <f>SUMIF('Income Statement Source'!$C:$C,'1. Income Statement'!$AR52,'Income Statement Source'!AB:AB)/1000</f>
        <v>8.4312900000000006</v>
      </c>
      <c r="AA52" s="20">
        <f>SUMIF('Income Statement Source'!$C:$C,'1. Income Statement'!$AR52,'Income Statement Source'!AC:AC)/1000</f>
        <v>12.36018</v>
      </c>
      <c r="AB52" s="20">
        <f>SUMIF('Income Statement Source'!$C:$C,'1. Income Statement'!$AR52,'Income Statement Source'!AD:AD)/1000</f>
        <v>8.3188399999999998</v>
      </c>
      <c r="AC52" s="20">
        <f>SUMIF('Income Statement Source'!$C:$C,'1. Income Statement'!$AR52,'Income Statement Source'!AE:AE)/1000</f>
        <v>8.3256399999999999</v>
      </c>
      <c r="AD52" s="22">
        <f t="shared" si="350"/>
        <v>108.58261999999999</v>
      </c>
      <c r="AE52" s="20">
        <f>SUMIF('Income Statement Source'!$C:$C,'1. Income Statement'!$AR52,'Income Statement Source'!AG:AG)/1000</f>
        <v>8.4861399999999989</v>
      </c>
      <c r="AF52" s="20">
        <f>SUMIF('Income Statement Source'!$C:$C,'1. Income Statement'!$AR52,'Income Statement Source'!AH:AH)/1000</f>
        <v>8.3563799999999997</v>
      </c>
      <c r="AG52" s="20">
        <f>SUMIF('Income Statement Source'!$C:$C,'1. Income Statement'!$AR52,'Income Statement Source'!AI:AI)/1000</f>
        <v>8.3123199999999997</v>
      </c>
      <c r="AH52" s="20">
        <f>SUMIF('Income Statement Source'!$C:$C,'1. Income Statement'!$AR52,'Income Statement Source'!AJ:AJ)/1000</f>
        <v>8.2539599999999993</v>
      </c>
      <c r="AI52" s="20">
        <f>SUMIF('Income Statement Source'!$C:$C,'1. Income Statement'!$AR52,'Income Statement Source'!AK:AK)/1000</f>
        <v>12.64359</v>
      </c>
      <c r="AJ52" s="20">
        <f>SUMIF('Income Statement Source'!$C:$C,'1. Income Statement'!$AR52,'Income Statement Source'!AL:AL)/1000</f>
        <v>8.412700000000001</v>
      </c>
      <c r="AK52" s="20">
        <f>SUMIF('Income Statement Source'!$C:$C,'1. Income Statement'!$AR52,'Income Statement Source'!AM:AM)/1000</f>
        <v>8.2700899999999997</v>
      </c>
      <c r="AL52" s="20">
        <f>SUMIF('Income Statement Source'!$C:$C,'1. Income Statement'!$AR52,'Income Statement Source'!AN:AN)/1000</f>
        <v>8.3414400000000004</v>
      </c>
      <c r="AM52" s="20">
        <f>SUMIF('Income Statement Source'!$C:$C,'1. Income Statement'!$AR52,'Income Statement Source'!AO:AO)/1000</f>
        <v>8.4278899999999997</v>
      </c>
      <c r="AN52" s="20">
        <f>SUMIF('Income Statement Source'!$C:$C,'1. Income Statement'!$AR52,'Income Statement Source'!AP:AP)/1000</f>
        <v>12.84699</v>
      </c>
      <c r="AO52" s="22">
        <f t="shared" si="351"/>
        <v>92.351500000000016</v>
      </c>
      <c r="AP52" s="22">
        <f t="shared" si="352"/>
        <v>108.99598</v>
      </c>
      <c r="AR52" s="53" t="s">
        <v>29</v>
      </c>
    </row>
    <row r="53" spans="2:44" hidden="1" outlineLevel="1" x14ac:dyDescent="0.2">
      <c r="B53" s="30" t="str">
        <f t="shared" si="348"/>
        <v>Bonus Expense</v>
      </c>
      <c r="E53" s="20">
        <f>SUMIF('Income Statement Source'!$C:$C,'1. Income Statement'!$AR53,'Income Statement Source'!G:G)/1000</f>
        <v>0</v>
      </c>
      <c r="F53" s="20">
        <f>SUMIF('Income Statement Source'!$C:$C,'1. Income Statement'!$AR53,'Income Statement Source'!H:H)/1000</f>
        <v>0</v>
      </c>
      <c r="G53" s="20">
        <f>SUMIF('Income Statement Source'!$C:$C,'1. Income Statement'!$AR53,'Income Statement Source'!I:I)/1000</f>
        <v>0</v>
      </c>
      <c r="H53" s="20">
        <f>SUMIF('Income Statement Source'!$C:$C,'1. Income Statement'!$AR53,'Income Statement Source'!J:J)/1000</f>
        <v>0</v>
      </c>
      <c r="I53" s="20">
        <f>SUMIF('Income Statement Source'!$C:$C,'1. Income Statement'!$AR53,'Income Statement Source'!K:K)/1000</f>
        <v>0</v>
      </c>
      <c r="J53" s="20">
        <f>SUMIF('Income Statement Source'!$C:$C,'1. Income Statement'!$AR53,'Income Statement Source'!L:L)/1000</f>
        <v>0</v>
      </c>
      <c r="K53" s="20">
        <f>SUMIF('Income Statement Source'!$C:$C,'1. Income Statement'!$AR53,'Income Statement Source'!M:M)/1000</f>
        <v>0</v>
      </c>
      <c r="L53" s="20">
        <f>SUMIF('Income Statement Source'!$C:$C,'1. Income Statement'!$AR53,'Income Statement Source'!N:N)/1000</f>
        <v>0</v>
      </c>
      <c r="M53" s="20">
        <f>SUMIF('Income Statement Source'!$C:$C,'1. Income Statement'!$AR53,'Income Statement Source'!O:O)/1000</f>
        <v>0</v>
      </c>
      <c r="N53" s="20">
        <f>SUMIF('Income Statement Source'!$C:$C,'1. Income Statement'!$AR53,'Income Statement Source'!P:P)/1000</f>
        <v>0</v>
      </c>
      <c r="O53" s="20">
        <f>SUMIF('Income Statement Source'!$C:$C,'1. Income Statement'!$AR53,'Income Statement Source'!Q:Q)/1000</f>
        <v>0</v>
      </c>
      <c r="P53" s="20">
        <f>SUMIF('Income Statement Source'!$C:$C,'1. Income Statement'!$AR53,'Income Statement Source'!R:R)/1000</f>
        <v>34.364870000000003</v>
      </c>
      <c r="Q53" s="22">
        <f t="shared" si="349"/>
        <v>34.364870000000003</v>
      </c>
      <c r="R53" s="20">
        <f>SUMIF('Income Statement Source'!$C:$C,'1. Income Statement'!$AR53,'Income Statement Source'!T:T)/1000</f>
        <v>0</v>
      </c>
      <c r="S53" s="20">
        <f>SUMIF('Income Statement Source'!$C:$C,'1. Income Statement'!$AR53,'Income Statement Source'!U:U)/1000</f>
        <v>0</v>
      </c>
      <c r="T53" s="20">
        <f>SUMIF('Income Statement Source'!$C:$C,'1. Income Statement'!$AR53,'Income Statement Source'!V:V)/1000</f>
        <v>0</v>
      </c>
      <c r="U53" s="20">
        <f>SUMIF('Income Statement Source'!$C:$C,'1. Income Statement'!$AR53,'Income Statement Source'!W:W)/1000</f>
        <v>0</v>
      </c>
      <c r="V53" s="20">
        <f>SUMIF('Income Statement Source'!$C:$C,'1. Income Statement'!$AR53,'Income Statement Source'!X:X)/1000</f>
        <v>0</v>
      </c>
      <c r="W53" s="20">
        <f>SUMIF('Income Statement Source'!$C:$C,'1. Income Statement'!$AR53,'Income Statement Source'!Y:Y)/1000</f>
        <v>0</v>
      </c>
      <c r="X53" s="20">
        <f>SUMIF('Income Statement Source'!$C:$C,'1. Income Statement'!$AR53,'Income Statement Source'!Z:Z)/1000</f>
        <v>0</v>
      </c>
      <c r="Y53" s="20">
        <f>SUMIF('Income Statement Source'!$C:$C,'1. Income Statement'!$AR53,'Income Statement Source'!AA:AA)/1000</f>
        <v>0</v>
      </c>
      <c r="Z53" s="20">
        <f>SUMIF('Income Statement Source'!$C:$C,'1. Income Statement'!$AR53,'Income Statement Source'!AB:AB)/1000</f>
        <v>0</v>
      </c>
      <c r="AA53" s="20">
        <f>SUMIF('Income Statement Source'!$C:$C,'1. Income Statement'!$AR53,'Income Statement Source'!AC:AC)/1000</f>
        <v>0</v>
      </c>
      <c r="AB53" s="20">
        <f>SUMIF('Income Statement Source'!$C:$C,'1. Income Statement'!$AR53,'Income Statement Source'!AD:AD)/1000</f>
        <v>0</v>
      </c>
      <c r="AC53" s="20">
        <f>SUMIF('Income Statement Source'!$C:$C,'1. Income Statement'!$AR53,'Income Statement Source'!AE:AE)/1000</f>
        <v>36.219059999999999</v>
      </c>
      <c r="AD53" s="22">
        <f t="shared" si="350"/>
        <v>36.219059999999999</v>
      </c>
      <c r="AE53" s="20">
        <f>SUMIF('Income Statement Source'!$C:$C,'1. Income Statement'!$AR53,'Income Statement Source'!AG:AG)/1000</f>
        <v>0</v>
      </c>
      <c r="AF53" s="20">
        <f>SUMIF('Income Statement Source'!$C:$C,'1. Income Statement'!$AR53,'Income Statement Source'!AH:AH)/1000</f>
        <v>3.1308400000000001</v>
      </c>
      <c r="AG53" s="20">
        <f>SUMIF('Income Statement Source'!$C:$C,'1. Income Statement'!$AR53,'Income Statement Source'!AI:AI)/1000</f>
        <v>2.8624399999999999</v>
      </c>
      <c r="AH53" s="20">
        <f>SUMIF('Income Statement Source'!$C:$C,'1. Income Statement'!$AR53,'Income Statement Source'!AJ:AJ)/1000</f>
        <v>2.9048400000000001</v>
      </c>
      <c r="AI53" s="20">
        <f>SUMIF('Income Statement Source'!$C:$C,'1. Income Statement'!$AR53,'Income Statement Source'!AK:AK)/1000</f>
        <v>3.01274</v>
      </c>
      <c r="AJ53" s="20">
        <f>SUMIF('Income Statement Source'!$C:$C,'1. Income Statement'!$AR53,'Income Statement Source'!AL:AL)/1000</f>
        <v>3.1123799999999999</v>
      </c>
      <c r="AK53" s="20">
        <f>SUMIF('Income Statement Source'!$C:$C,'1. Income Statement'!$AR53,'Income Statement Source'!AM:AM)/1000</f>
        <v>3.02305</v>
      </c>
      <c r="AL53" s="20">
        <f>SUMIF('Income Statement Source'!$C:$C,'1. Income Statement'!$AR53,'Income Statement Source'!AN:AN)/1000</f>
        <v>3.0858400000000001</v>
      </c>
      <c r="AM53" s="20">
        <f>SUMIF('Income Statement Source'!$C:$C,'1. Income Statement'!$AR53,'Income Statement Source'!AO:AO)/1000</f>
        <v>3.1328800000000001</v>
      </c>
      <c r="AN53" s="20">
        <f>SUMIF('Income Statement Source'!$C:$C,'1. Income Statement'!$AR53,'Income Statement Source'!AP:AP)/1000</f>
        <v>3.2218400000000003</v>
      </c>
      <c r="AO53" s="22">
        <f t="shared" si="351"/>
        <v>27.48685</v>
      </c>
      <c r="AP53" s="22">
        <f t="shared" si="352"/>
        <v>63.705910000000003</v>
      </c>
      <c r="AR53" s="53" t="s">
        <v>30</v>
      </c>
    </row>
    <row r="54" spans="2:44" hidden="1" outlineLevel="1" x14ac:dyDescent="0.2">
      <c r="B54" s="30" t="str">
        <f t="shared" si="348"/>
        <v>Payroll Taxes</v>
      </c>
      <c r="E54" s="20">
        <f>SUMIF('Income Statement Source'!$C:$C,'1. Income Statement'!$AR54,'Income Statement Source'!G:G)/1000</f>
        <v>3.9977900000000002</v>
      </c>
      <c r="F54" s="20">
        <f>SUMIF('Income Statement Source'!$C:$C,'1. Income Statement'!$AR54,'Income Statement Source'!H:H)/1000</f>
        <v>3.9849999999999999</v>
      </c>
      <c r="G54" s="20">
        <f>SUMIF('Income Statement Source'!$C:$C,'1. Income Statement'!$AR54,'Income Statement Source'!I:I)/1000</f>
        <v>3.9874899999999998</v>
      </c>
      <c r="H54" s="20">
        <f>SUMIF('Income Statement Source'!$C:$C,'1. Income Statement'!$AR54,'Income Statement Source'!J:J)/1000</f>
        <v>4.0049299999999999</v>
      </c>
      <c r="I54" s="20">
        <f>SUMIF('Income Statement Source'!$C:$C,'1. Income Statement'!$AR54,'Income Statement Source'!K:K)/1000</f>
        <v>9.0066399999999991</v>
      </c>
      <c r="J54" s="20">
        <f>SUMIF('Income Statement Source'!$C:$C,'1. Income Statement'!$AR54,'Income Statement Source'!L:L)/1000</f>
        <v>4.0552900000000003</v>
      </c>
      <c r="K54" s="20">
        <f>SUMIF('Income Statement Source'!$C:$C,'1. Income Statement'!$AR54,'Income Statement Source'!M:M)/1000</f>
        <v>4.0849700000000002</v>
      </c>
      <c r="L54" s="20">
        <f>SUMIF('Income Statement Source'!$C:$C,'1. Income Statement'!$AR54,'Income Statement Source'!N:N)/1000</f>
        <v>4.0007099999999998</v>
      </c>
      <c r="M54" s="20">
        <f>SUMIF('Income Statement Source'!$C:$C,'1. Income Statement'!$AR54,'Income Statement Source'!O:O)/1000</f>
        <v>4.0730000000000004</v>
      </c>
      <c r="N54" s="20">
        <f>SUMIF('Income Statement Source'!$C:$C,'1. Income Statement'!$AR54,'Income Statement Source'!P:P)/1000</f>
        <v>8.9223400000000002</v>
      </c>
      <c r="O54" s="20">
        <f>SUMIF('Income Statement Source'!$C:$C,'1. Income Statement'!$AR54,'Income Statement Source'!Q:Q)/1000</f>
        <v>3.9014199999999999</v>
      </c>
      <c r="P54" s="20">
        <f>SUMIF('Income Statement Source'!$C:$C,'1. Income Statement'!$AR54,'Income Statement Source'!R:R)/1000</f>
        <v>3.9807600000000001</v>
      </c>
      <c r="Q54" s="22">
        <f t="shared" si="349"/>
        <v>58.000339999999994</v>
      </c>
      <c r="R54" s="20">
        <f>SUMIF('Income Statement Source'!$C:$C,'1. Income Statement'!$AR54,'Income Statement Source'!T:T)/1000</f>
        <v>4.08378</v>
      </c>
      <c r="S54" s="20">
        <f>SUMIF('Income Statement Source'!$C:$C,'1. Income Statement'!$AR54,'Income Statement Source'!U:U)/1000</f>
        <v>3.9788999999999999</v>
      </c>
      <c r="T54" s="20">
        <f>SUMIF('Income Statement Source'!$C:$C,'1. Income Statement'!$AR54,'Income Statement Source'!V:V)/1000</f>
        <v>3.9434200000000001</v>
      </c>
      <c r="U54" s="20">
        <f>SUMIF('Income Statement Source'!$C:$C,'1. Income Statement'!$AR54,'Income Statement Source'!W:W)/1000</f>
        <v>4.0386600000000001</v>
      </c>
      <c r="V54" s="20">
        <f>SUMIF('Income Statement Source'!$C:$C,'1. Income Statement'!$AR54,'Income Statement Source'!X:X)/1000</f>
        <v>9.0802199999999988</v>
      </c>
      <c r="W54" s="20">
        <f>SUMIF('Income Statement Source'!$C:$C,'1. Income Statement'!$AR54,'Income Statement Source'!Y:Y)/1000</f>
        <v>4.0585100000000001</v>
      </c>
      <c r="X54" s="20">
        <f>SUMIF('Income Statement Source'!$C:$C,'1. Income Statement'!$AR54,'Income Statement Source'!Z:Z)/1000</f>
        <v>4.0833899999999996</v>
      </c>
      <c r="Y54" s="20">
        <f>SUMIF('Income Statement Source'!$C:$C,'1. Income Statement'!$AR54,'Income Statement Source'!AA:AA)/1000</f>
        <v>3.9284299999999996</v>
      </c>
      <c r="Z54" s="20">
        <f>SUMIF('Income Statement Source'!$C:$C,'1. Income Statement'!$AR54,'Income Statement Source'!AB:AB)/1000</f>
        <v>4.0032399999999999</v>
      </c>
      <c r="AA54" s="20">
        <f>SUMIF('Income Statement Source'!$C:$C,'1. Income Statement'!$AR54,'Income Statement Source'!AC:AC)/1000</f>
        <v>9.091940000000001</v>
      </c>
      <c r="AB54" s="20">
        <f>SUMIF('Income Statement Source'!$C:$C,'1. Income Statement'!$AR54,'Income Statement Source'!AD:AD)/1000</f>
        <v>4.0678000000000001</v>
      </c>
      <c r="AC54" s="20">
        <f>SUMIF('Income Statement Source'!$C:$C,'1. Income Statement'!$AR54,'Income Statement Source'!AE:AE)/1000</f>
        <v>3.9795199999999999</v>
      </c>
      <c r="AD54" s="22">
        <f t="shared" si="350"/>
        <v>58.337809999999998</v>
      </c>
      <c r="AE54" s="20">
        <f>SUMIF('Income Statement Source'!$C:$C,'1. Income Statement'!$AR54,'Income Statement Source'!AG:AG)/1000</f>
        <v>4.0523199999999999</v>
      </c>
      <c r="AF54" s="20">
        <f>SUMIF('Income Statement Source'!$C:$C,'1. Income Statement'!$AR54,'Income Statement Source'!AH:AH)/1000</f>
        <v>3.96692</v>
      </c>
      <c r="AG54" s="20">
        <f>SUMIF('Income Statement Source'!$C:$C,'1. Income Statement'!$AR54,'Income Statement Source'!AI:AI)/1000</f>
        <v>4.0781599999999996</v>
      </c>
      <c r="AH54" s="20">
        <f>SUMIF('Income Statement Source'!$C:$C,'1. Income Statement'!$AR54,'Income Statement Source'!AJ:AJ)/1000</f>
        <v>3.9301300000000001</v>
      </c>
      <c r="AI54" s="20">
        <f>SUMIF('Income Statement Source'!$C:$C,'1. Income Statement'!$AR54,'Income Statement Source'!AK:AK)/1000</f>
        <v>8.9093700000000009</v>
      </c>
      <c r="AJ54" s="20">
        <f>SUMIF('Income Statement Source'!$C:$C,'1. Income Statement'!$AR54,'Income Statement Source'!AL:AL)/1000</f>
        <v>4.0232999999999999</v>
      </c>
      <c r="AK54" s="20">
        <f>SUMIF('Income Statement Source'!$C:$C,'1. Income Statement'!$AR54,'Income Statement Source'!AM:AM)/1000</f>
        <v>3.8913500000000001</v>
      </c>
      <c r="AL54" s="20">
        <f>SUMIF('Income Statement Source'!$C:$C,'1. Income Statement'!$AR54,'Income Statement Source'!AN:AN)/1000</f>
        <v>4.0449200000000003</v>
      </c>
      <c r="AM54" s="20">
        <f>SUMIF('Income Statement Source'!$C:$C,'1. Income Statement'!$AR54,'Income Statement Source'!AO:AO)/1000</f>
        <v>4.0752899999999999</v>
      </c>
      <c r="AN54" s="20">
        <f>SUMIF('Income Statement Source'!$C:$C,'1. Income Statement'!$AR54,'Income Statement Source'!AP:AP)/1000</f>
        <v>8.8747800000000012</v>
      </c>
      <c r="AO54" s="22">
        <f t="shared" si="351"/>
        <v>49.846540000000005</v>
      </c>
      <c r="AP54" s="22">
        <f t="shared" si="352"/>
        <v>57.893860000000004</v>
      </c>
      <c r="AR54" s="53" t="s">
        <v>31</v>
      </c>
    </row>
    <row r="55" spans="2:44" hidden="1" outlineLevel="1" x14ac:dyDescent="0.2">
      <c r="B55" s="30" t="str">
        <f t="shared" si="348"/>
        <v>Health Insurance</v>
      </c>
      <c r="E55" s="31">
        <f>SUMIF('Income Statement Source'!$C:$C,'1. Income Statement'!$AR55,'Income Statement Source'!G:G)/1000</f>
        <v>4.2218500000000008</v>
      </c>
      <c r="F55" s="31">
        <f>SUMIF('Income Statement Source'!$C:$C,'1. Income Statement'!$AR55,'Income Statement Source'!H:H)/1000</f>
        <v>4.1500699999999995</v>
      </c>
      <c r="G55" s="31">
        <f>SUMIF('Income Statement Source'!$C:$C,'1. Income Statement'!$AR55,'Income Statement Source'!I:I)/1000</f>
        <v>4.15733</v>
      </c>
      <c r="H55" s="31">
        <f>SUMIF('Income Statement Source'!$C:$C,'1. Income Statement'!$AR55,'Income Statement Source'!J:J)/1000</f>
        <v>4.2306000000000008</v>
      </c>
      <c r="I55" s="31">
        <f>SUMIF('Income Statement Source'!$C:$C,'1. Income Statement'!$AR55,'Income Statement Source'!K:K)/1000</f>
        <v>4.2340499999999999</v>
      </c>
      <c r="J55" s="31">
        <f>SUMIF('Income Statement Source'!$C:$C,'1. Income Statement'!$AR55,'Income Statement Source'!L:L)/1000</f>
        <v>4.2143500000000005</v>
      </c>
      <c r="K55" s="31">
        <f>SUMIF('Income Statement Source'!$C:$C,'1. Income Statement'!$AR55,'Income Statement Source'!M:M)/1000</f>
        <v>4.1412800000000001</v>
      </c>
      <c r="L55" s="31">
        <f>SUMIF('Income Statement Source'!$C:$C,'1. Income Statement'!$AR55,'Income Statement Source'!N:N)/1000</f>
        <v>4.1522200000000007</v>
      </c>
      <c r="M55" s="31">
        <f>SUMIF('Income Statement Source'!$C:$C,'1. Income Statement'!$AR55,'Income Statement Source'!O:O)/1000</f>
        <v>4.23156</v>
      </c>
      <c r="N55" s="31">
        <f>SUMIF('Income Statement Source'!$C:$C,'1. Income Statement'!$AR55,'Income Statement Source'!P:P)/1000</f>
        <v>4.1422700000000008</v>
      </c>
      <c r="O55" s="31">
        <f>SUMIF('Income Statement Source'!$C:$C,'1. Income Statement'!$AR55,'Income Statement Source'!Q:Q)/1000</f>
        <v>4.15923</v>
      </c>
      <c r="P55" s="31">
        <f>SUMIF('Income Statement Source'!$C:$C,'1. Income Statement'!$AR55,'Income Statement Source'!R:R)/1000</f>
        <v>4.1951999999999998</v>
      </c>
      <c r="Q55" s="32">
        <f t="shared" si="349"/>
        <v>50.230010000000007</v>
      </c>
      <c r="R55" s="31">
        <f>SUMIF('Income Statement Source'!$C:$C,'1. Income Statement'!$AR55,'Income Statement Source'!T:T)/1000</f>
        <v>4.1850200000000006</v>
      </c>
      <c r="S55" s="31">
        <f>SUMIF('Income Statement Source'!$C:$C,'1. Income Statement'!$AR55,'Income Statement Source'!U:U)/1000</f>
        <v>4.1786499999999993</v>
      </c>
      <c r="T55" s="31">
        <f>SUMIF('Income Statement Source'!$C:$C,'1. Income Statement'!$AR55,'Income Statement Source'!V:V)/1000</f>
        <v>4.2610299999999999</v>
      </c>
      <c r="U55" s="31">
        <f>SUMIF('Income Statement Source'!$C:$C,'1. Income Statement'!$AR55,'Income Statement Source'!W:W)/1000</f>
        <v>4.2497299999999996</v>
      </c>
      <c r="V55" s="31">
        <f>SUMIF('Income Statement Source'!$C:$C,'1. Income Statement'!$AR55,'Income Statement Source'!X:X)/1000</f>
        <v>4.2229899999999994</v>
      </c>
      <c r="W55" s="31">
        <f>SUMIF('Income Statement Source'!$C:$C,'1. Income Statement'!$AR55,'Income Statement Source'!Y:Y)/1000</f>
        <v>4.1398199999999994</v>
      </c>
      <c r="X55" s="31">
        <f>SUMIF('Income Statement Source'!$C:$C,'1. Income Statement'!$AR55,'Income Statement Source'!Z:Z)/1000</f>
        <v>4.2326999999999995</v>
      </c>
      <c r="Y55" s="31">
        <f>SUMIF('Income Statement Source'!$C:$C,'1. Income Statement'!$AR55,'Income Statement Source'!AA:AA)/1000</f>
        <v>4.2137700000000002</v>
      </c>
      <c r="Z55" s="31">
        <f>SUMIF('Income Statement Source'!$C:$C,'1. Income Statement'!$AR55,'Income Statement Source'!AB:AB)/1000</f>
        <v>4.1585700000000001</v>
      </c>
      <c r="AA55" s="31">
        <f>SUMIF('Income Statement Source'!$C:$C,'1. Income Statement'!$AR55,'Income Statement Source'!AC:AC)/1000</f>
        <v>4.2615699999999999</v>
      </c>
      <c r="AB55" s="31">
        <f>SUMIF('Income Statement Source'!$C:$C,'1. Income Statement'!$AR55,'Income Statement Source'!AD:AD)/1000</f>
        <v>4.2545399999999995</v>
      </c>
      <c r="AC55" s="31">
        <f>SUMIF('Income Statement Source'!$C:$C,'1. Income Statement'!$AR55,'Income Statement Source'!AE:AE)/1000</f>
        <v>4.1447399999999996</v>
      </c>
      <c r="AD55" s="32">
        <f t="shared" si="350"/>
        <v>50.503129999999985</v>
      </c>
      <c r="AE55" s="31">
        <f>SUMIF('Income Statement Source'!$C:$C,'1. Income Statement'!$AR55,'Income Statement Source'!AG:AG)/1000</f>
        <v>4.19726</v>
      </c>
      <c r="AF55" s="31">
        <f>SUMIF('Income Statement Source'!$C:$C,'1. Income Statement'!$AR55,'Income Statement Source'!AH:AH)/1000</f>
        <v>4.1939099999999998</v>
      </c>
      <c r="AG55" s="31">
        <f>SUMIF('Income Statement Source'!$C:$C,'1. Income Statement'!$AR55,'Income Statement Source'!AI:AI)/1000</f>
        <v>4.2236099999999999</v>
      </c>
      <c r="AH55" s="31">
        <f>SUMIF('Income Statement Source'!$C:$C,'1. Income Statement'!$AR55,'Income Statement Source'!AJ:AJ)/1000</f>
        <v>4.1660300000000001</v>
      </c>
      <c r="AI55" s="31">
        <f>SUMIF('Income Statement Source'!$C:$C,'1. Income Statement'!$AR55,'Income Statement Source'!AK:AK)/1000</f>
        <v>4.2628599999999999</v>
      </c>
      <c r="AJ55" s="31">
        <f>SUMIF('Income Statement Source'!$C:$C,'1. Income Statement'!$AR55,'Income Statement Source'!AL:AL)/1000</f>
        <v>4.2216899999999997</v>
      </c>
      <c r="AK55" s="31">
        <f>SUMIF('Income Statement Source'!$C:$C,'1. Income Statement'!$AR55,'Income Statement Source'!AM:AM)/1000</f>
        <v>4.2501099999999994</v>
      </c>
      <c r="AL55" s="31">
        <f>SUMIF('Income Statement Source'!$C:$C,'1. Income Statement'!$AR55,'Income Statement Source'!AN:AN)/1000</f>
        <v>4.1679799999999991</v>
      </c>
      <c r="AM55" s="31">
        <f>SUMIF('Income Statement Source'!$C:$C,'1. Income Statement'!$AR55,'Income Statement Source'!AO:AO)/1000</f>
        <v>4.2139799999999994</v>
      </c>
      <c r="AN55" s="31">
        <f>SUMIF('Income Statement Source'!$C:$C,'1. Income Statement'!$AR55,'Income Statement Source'!AP:AP)/1000</f>
        <v>4.1434799999999994</v>
      </c>
      <c r="AO55" s="32">
        <f t="shared" si="351"/>
        <v>42.04090999999999</v>
      </c>
      <c r="AP55" s="32">
        <f t="shared" si="352"/>
        <v>50.440189999999987</v>
      </c>
      <c r="AR55" s="53" t="s">
        <v>32</v>
      </c>
    </row>
    <row r="56" spans="2:44" collapsed="1" x14ac:dyDescent="0.2">
      <c r="B56" s="27" t="str">
        <f>+B48</f>
        <v>Personnel</v>
      </c>
      <c r="C56" s="10"/>
      <c r="D56" s="10"/>
      <c r="E56" s="19">
        <f>SUM(E49:E55)</f>
        <v>49.976320000000008</v>
      </c>
      <c r="F56" s="19">
        <f t="shared" ref="F56:AP56" si="353">SUM(F49:F55)</f>
        <v>50.365160000000003</v>
      </c>
      <c r="G56" s="19">
        <f t="shared" si="353"/>
        <v>49.669750000000001</v>
      </c>
      <c r="H56" s="19">
        <f t="shared" si="353"/>
        <v>50.400030000000008</v>
      </c>
      <c r="I56" s="19">
        <f t="shared" si="353"/>
        <v>76.322339999999997</v>
      </c>
      <c r="J56" s="19">
        <f t="shared" si="353"/>
        <v>49.749120000000005</v>
      </c>
      <c r="K56" s="19">
        <f t="shared" si="353"/>
        <v>49.992439999999995</v>
      </c>
      <c r="L56" s="19">
        <f t="shared" si="353"/>
        <v>50.338459999999998</v>
      </c>
      <c r="M56" s="19">
        <f t="shared" si="353"/>
        <v>50.478650000000002</v>
      </c>
      <c r="N56" s="19">
        <f t="shared" si="353"/>
        <v>75.407070000000004</v>
      </c>
      <c r="O56" s="19">
        <f t="shared" si="353"/>
        <v>50.075350000000007</v>
      </c>
      <c r="P56" s="19">
        <f t="shared" si="353"/>
        <v>84.92022</v>
      </c>
      <c r="Q56" s="21">
        <f t="shared" si="353"/>
        <v>687.69490999999994</v>
      </c>
      <c r="R56" s="19">
        <f t="shared" si="353"/>
        <v>50.132259999999995</v>
      </c>
      <c r="S56" s="19">
        <f t="shared" si="353"/>
        <v>49.42801</v>
      </c>
      <c r="T56" s="19">
        <f t="shared" si="353"/>
        <v>50.372890000000005</v>
      </c>
      <c r="U56" s="19">
        <f t="shared" si="353"/>
        <v>50.583660000000002</v>
      </c>
      <c r="V56" s="19">
        <f t="shared" si="353"/>
        <v>77.144710000000003</v>
      </c>
      <c r="W56" s="19">
        <f t="shared" si="353"/>
        <v>50.182619999999993</v>
      </c>
      <c r="X56" s="19">
        <f t="shared" si="353"/>
        <v>50.363300000000002</v>
      </c>
      <c r="Y56" s="19">
        <f t="shared" si="353"/>
        <v>50.086749999999995</v>
      </c>
      <c r="Z56" s="19">
        <f t="shared" si="353"/>
        <v>49.552759999999999</v>
      </c>
      <c r="AA56" s="19">
        <f t="shared" si="353"/>
        <v>76.008020000000016</v>
      </c>
      <c r="AB56" s="19">
        <f t="shared" si="353"/>
        <v>50.003019999999999</v>
      </c>
      <c r="AC56" s="19">
        <f t="shared" si="353"/>
        <v>85.706289999999996</v>
      </c>
      <c r="AD56" s="21">
        <f t="shared" si="353"/>
        <v>689.56428999999991</v>
      </c>
      <c r="AE56" s="19">
        <f t="shared" si="353"/>
        <v>50.214379999999998</v>
      </c>
      <c r="AF56" s="19">
        <f t="shared" si="353"/>
        <v>53.363500000000002</v>
      </c>
      <c r="AG56" s="19">
        <f t="shared" si="353"/>
        <v>53.106479999999998</v>
      </c>
      <c r="AH56" s="19">
        <f t="shared" si="353"/>
        <v>52.764449999999997</v>
      </c>
      <c r="AI56" s="19">
        <f t="shared" si="353"/>
        <v>79.09438999999999</v>
      </c>
      <c r="AJ56" s="19">
        <f t="shared" si="353"/>
        <v>52.825620000000001</v>
      </c>
      <c r="AK56" s="19">
        <f t="shared" si="353"/>
        <v>52.541710000000002</v>
      </c>
      <c r="AL56" s="19">
        <f t="shared" si="353"/>
        <v>53.151109999999996</v>
      </c>
      <c r="AM56" s="19">
        <f t="shared" si="353"/>
        <v>52.689700000000002</v>
      </c>
      <c r="AN56" s="19">
        <f t="shared" si="353"/>
        <v>79.750509999999991</v>
      </c>
      <c r="AO56" s="21">
        <f t="shared" si="353"/>
        <v>579.50184999999999</v>
      </c>
      <c r="AP56" s="21">
        <f t="shared" si="353"/>
        <v>715.21116000000006</v>
      </c>
    </row>
    <row r="57" spans="2:44" x14ac:dyDescent="0.2">
      <c r="B57" s="28"/>
      <c r="C57" s="10"/>
      <c r="D57" s="10"/>
      <c r="E57" s="45">
        <f>IFERROR(E56/E$19,0)</f>
        <v>0.26306646491488772</v>
      </c>
      <c r="F57" s="45">
        <f t="shared" ref="F57" si="354">IFERROR(F56/F$19,0)</f>
        <v>0.221599866314525</v>
      </c>
      <c r="G57" s="45">
        <f t="shared" ref="G57" si="355">IFERROR(G56/G$19,0)</f>
        <v>0.16146697795134074</v>
      </c>
      <c r="H57" s="45">
        <f t="shared" ref="H57" si="356">IFERROR(H56/H$19,0)</f>
        <v>0.19486268046680261</v>
      </c>
      <c r="I57" s="45">
        <f t="shared" ref="I57" si="357">IFERROR(I56/I$19,0)</f>
        <v>0.28082706480581271</v>
      </c>
      <c r="J57" s="45">
        <f t="shared" ref="J57" si="358">IFERROR(J56/J$19,0)</f>
        <v>0.13509418159026668</v>
      </c>
      <c r="K57" s="45">
        <f t="shared" ref="K57" si="359">IFERROR(K56/K$19,0)</f>
        <v>0.16526612746279221</v>
      </c>
      <c r="L57" s="45">
        <f t="shared" ref="L57" si="360">IFERROR(L56/L$19,0)</f>
        <v>0.18158137834294097</v>
      </c>
      <c r="M57" s="45">
        <f t="shared" ref="M57" si="361">IFERROR(M56/M$19,0)</f>
        <v>0.14248233043422398</v>
      </c>
      <c r="N57" s="45">
        <f t="shared" ref="N57" si="362">IFERROR(N56/N$19,0)</f>
        <v>0.28225956117020584</v>
      </c>
      <c r="O57" s="45">
        <f t="shared" ref="O57" si="363">IFERROR(O56/O$19,0)</f>
        <v>0.22226847820461412</v>
      </c>
      <c r="P57" s="45">
        <f t="shared" ref="P57" si="364">IFERROR(P56/P$19,0)</f>
        <v>0.2504341151485529</v>
      </c>
      <c r="Q57" s="46">
        <f t="shared" ref="Q57" si="365">IFERROR(Q56/Q$19,0)</f>
        <v>0.20291457834659637</v>
      </c>
      <c r="R57" s="45">
        <f t="shared" ref="R57" si="366">IFERROR(R56/R$19,0)</f>
        <v>0.24755792621486672</v>
      </c>
      <c r="S57" s="45">
        <f t="shared" ref="S57" si="367">IFERROR(S56/S$19,0)</f>
        <v>0.19142507395315936</v>
      </c>
      <c r="T57" s="45">
        <f t="shared" ref="T57" si="368">IFERROR(T56/T$19,0)</f>
        <v>0.14274988113360651</v>
      </c>
      <c r="U57" s="45">
        <f t="shared" ref="U57" si="369">IFERROR(U56/U$19,0)</f>
        <v>0.15822242430075548</v>
      </c>
      <c r="V57" s="45">
        <f t="shared" ref="V57" si="370">IFERROR(V56/V$19,0)</f>
        <v>0.22686782738618019</v>
      </c>
      <c r="W57" s="45">
        <f t="shared" ref="W57" si="371">IFERROR(W56/W$19,0)</f>
        <v>0.11466429233947019</v>
      </c>
      <c r="X57" s="45">
        <f t="shared" ref="X57" si="372">IFERROR(X56/X$19,0)</f>
        <v>0.13571142226464078</v>
      </c>
      <c r="Y57" s="45">
        <f t="shared" ref="Y57" si="373">IFERROR(Y56/Y$19,0)</f>
        <v>0.13143119834876643</v>
      </c>
      <c r="Z57" s="45">
        <f t="shared" ref="Z57" si="374">IFERROR(Z56/Z$19,0)</f>
        <v>0.12447238767168539</v>
      </c>
      <c r="AA57" s="45">
        <f t="shared" ref="AA57" si="375">IFERROR(AA56/AA$19,0)</f>
        <v>0.24896525725600654</v>
      </c>
      <c r="AB57" s="45">
        <f t="shared" ref="AB57" si="376">IFERROR(AB56/AB$19,0)</f>
        <v>0.17083557157122026</v>
      </c>
      <c r="AC57" s="45">
        <f t="shared" ref="AC57" si="377">IFERROR(AC56/AC$19,0)</f>
        <v>0.21952866121831563</v>
      </c>
      <c r="AD57" s="46">
        <f t="shared" ref="AD57" si="378">IFERROR(AD56/AD$19,0)</f>
        <v>0.17027616000875365</v>
      </c>
      <c r="AE57" s="45">
        <f t="shared" ref="AE57" si="379">IFERROR(AE56/AE$19,0)</f>
        <v>0.23636178264031063</v>
      </c>
      <c r="AF57" s="45">
        <f t="shared" ref="AF57" si="380">IFERROR(AF56/AF$19,0)</f>
        <v>0.1888580960749715</v>
      </c>
      <c r="AG57" s="45">
        <f t="shared" ref="AG57" si="381">IFERROR(AG56/AG$19,0)</f>
        <v>0.13914997651508365</v>
      </c>
      <c r="AH57" s="45">
        <f t="shared" ref="AH57" si="382">IFERROR(AH56/AH$19,0)</f>
        <v>0.15121640125114999</v>
      </c>
      <c r="AI57" s="45">
        <f t="shared" ref="AI57" si="383">IFERROR(AI56/AI$19,0)</f>
        <v>0.22879170321036901</v>
      </c>
      <c r="AJ57" s="45">
        <f t="shared" ref="AJ57" si="384">IFERROR(AJ56/AJ$19,0)</f>
        <v>0.11182720609995909</v>
      </c>
      <c r="AK57" s="45">
        <f t="shared" ref="AK57" si="385">IFERROR(AK56/AK$19,0)</f>
        <v>0.13645299819864012</v>
      </c>
      <c r="AL57" s="45">
        <f t="shared" ref="AL57" si="386">IFERROR(AL56/AL$19,0)</f>
        <v>0.15016944495057097</v>
      </c>
      <c r="AM57" s="45">
        <f t="shared" ref="AM57" si="387">IFERROR(AM56/AM$19,0)</f>
        <v>0.12050741940205659</v>
      </c>
      <c r="AN57" s="45">
        <f t="shared" ref="AN57" si="388">IFERROR(AN56/AN$19,0)</f>
        <v>0.23576860991775672</v>
      </c>
      <c r="AO57" s="46">
        <f t="shared" ref="AO57" si="389">IFERROR(AO56/AO$19,0)</f>
        <v>0.16286544338349573</v>
      </c>
      <c r="AP57" s="46">
        <f t="shared" ref="AP57" si="390">IFERROR(AP56/AP$19,0)</f>
        <v>0.16863134403315685</v>
      </c>
    </row>
    <row r="58" spans="2:44" s="34" customFormat="1" hidden="1" outlineLevel="1" x14ac:dyDescent="0.2">
      <c r="B58" s="33" t="s">
        <v>96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2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2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2"/>
      <c r="AP58" s="52"/>
    </row>
    <row r="59" spans="2:44" s="34" customFormat="1" hidden="1" outlineLevel="1" x14ac:dyDescent="0.2">
      <c r="B59" s="30" t="str">
        <f t="shared" ref="B59:B61" si="391">+AR59</f>
        <v>Workers Compensation Insurance</v>
      </c>
      <c r="C59" s="4"/>
      <c r="D59" s="4"/>
      <c r="E59" s="20">
        <f>SUMIF('Income Statement Source'!$C:$C,'1. Income Statement'!$AR59,'Income Statement Source'!G:G)/1000</f>
        <v>5.7815799999999999</v>
      </c>
      <c r="F59" s="20">
        <f>SUMIF('Income Statement Source'!$C:$C,'1. Income Statement'!$AR59,'Income Statement Source'!H:H)/1000</f>
        <v>5.9215900000000001</v>
      </c>
      <c r="G59" s="20">
        <f>SUMIF('Income Statement Source'!$C:$C,'1. Income Statement'!$AR59,'Income Statement Source'!I:I)/1000</f>
        <v>5.5836999999999994</v>
      </c>
      <c r="H59" s="20">
        <f>SUMIF('Income Statement Source'!$C:$C,'1. Income Statement'!$AR59,'Income Statement Source'!J:J)/1000</f>
        <v>5.6655500000000005</v>
      </c>
      <c r="I59" s="20">
        <f>SUMIF('Income Statement Source'!$C:$C,'1. Income Statement'!$AR59,'Income Statement Source'!K:K)/1000</f>
        <v>5.7591099999999997</v>
      </c>
      <c r="J59" s="20">
        <f>SUMIF('Income Statement Source'!$C:$C,'1. Income Statement'!$AR59,'Income Statement Source'!L:L)/1000</f>
        <v>5.7126700000000001</v>
      </c>
      <c r="K59" s="20">
        <f>SUMIF('Income Statement Source'!$C:$C,'1. Income Statement'!$AR59,'Income Statement Source'!M:M)/1000</f>
        <v>5.8304999999999998</v>
      </c>
      <c r="L59" s="20">
        <f>SUMIF('Income Statement Source'!$C:$C,'1. Income Statement'!$AR59,'Income Statement Source'!N:N)/1000</f>
        <v>5.7920299999999996</v>
      </c>
      <c r="M59" s="20">
        <f>SUMIF('Income Statement Source'!$C:$C,'1. Income Statement'!$AR59,'Income Statement Source'!O:O)/1000</f>
        <v>5.6292299999999997</v>
      </c>
      <c r="N59" s="20">
        <f>SUMIF('Income Statement Source'!$C:$C,'1. Income Statement'!$AR59,'Income Statement Source'!P:P)/1000</f>
        <v>5.7910300000000001</v>
      </c>
      <c r="O59" s="20">
        <f>SUMIF('Income Statement Source'!$C:$C,'1. Income Statement'!$AR59,'Income Statement Source'!Q:Q)/1000</f>
        <v>5.5819300000000007</v>
      </c>
      <c r="P59" s="20">
        <f>SUMIF('Income Statement Source'!$C:$C,'1. Income Statement'!$AR59,'Income Statement Source'!R:R)/1000</f>
        <v>5.9848500000000007</v>
      </c>
      <c r="Q59" s="22">
        <f t="shared" ref="Q59:Q61" si="392">SUM(E59:P59)</f>
        <v>69.03376999999999</v>
      </c>
      <c r="R59" s="20">
        <f>SUMIF('Income Statement Source'!$C:$C,'1. Income Statement'!$AR59,'Income Statement Source'!T:T)/1000</f>
        <v>5.9429999999999996</v>
      </c>
      <c r="S59" s="20">
        <f>SUMIF('Income Statement Source'!$C:$C,'1. Income Statement'!$AR59,'Income Statement Source'!U:U)/1000</f>
        <v>5.6049300000000004</v>
      </c>
      <c r="T59" s="20">
        <f>SUMIF('Income Statement Source'!$C:$C,'1. Income Statement'!$AR59,'Income Statement Source'!V:V)/1000</f>
        <v>5.6333299999999999</v>
      </c>
      <c r="U59" s="20">
        <f>SUMIF('Income Statement Source'!$C:$C,'1. Income Statement'!$AR59,'Income Statement Source'!W:W)/1000</f>
        <v>5.65327</v>
      </c>
      <c r="V59" s="20">
        <f>SUMIF('Income Statement Source'!$C:$C,'1. Income Statement'!$AR59,'Income Statement Source'!X:X)/1000</f>
        <v>5.7717900000000002</v>
      </c>
      <c r="W59" s="20">
        <f>SUMIF('Income Statement Source'!$C:$C,'1. Income Statement'!$AR59,'Income Statement Source'!Y:Y)/1000</f>
        <v>5.9514799999999992</v>
      </c>
      <c r="X59" s="20">
        <f>SUMIF('Income Statement Source'!$C:$C,'1. Income Statement'!$AR59,'Income Statement Source'!Z:Z)/1000</f>
        <v>5.7539799999999994</v>
      </c>
      <c r="Y59" s="20">
        <f>SUMIF('Income Statement Source'!$C:$C,'1. Income Statement'!$AR59,'Income Statement Source'!AA:AA)/1000</f>
        <v>5.8372200000000003</v>
      </c>
      <c r="Z59" s="20">
        <f>SUMIF('Income Statement Source'!$C:$C,'1. Income Statement'!$AR59,'Income Statement Source'!AB:AB)/1000</f>
        <v>5.9823999999999993</v>
      </c>
      <c r="AA59" s="20">
        <f>SUMIF('Income Statement Source'!$C:$C,'1. Income Statement'!$AR59,'Income Statement Source'!AC:AC)/1000</f>
        <v>5.9271099999999999</v>
      </c>
      <c r="AB59" s="20">
        <f>SUMIF('Income Statement Source'!$C:$C,'1. Income Statement'!$AR59,'Income Statement Source'!AD:AD)/1000</f>
        <v>5.6865699999999997</v>
      </c>
      <c r="AC59" s="20">
        <f>SUMIF('Income Statement Source'!$C:$C,'1. Income Statement'!$AR59,'Income Statement Source'!AE:AE)/1000</f>
        <v>5.9705000000000004</v>
      </c>
      <c r="AD59" s="22">
        <f t="shared" ref="AD59:AD61" si="393">SUM(R59:AC59)</f>
        <v>69.715580000000003</v>
      </c>
      <c r="AE59" s="20">
        <f>SUMIF('Income Statement Source'!$C:$C,'1. Income Statement'!$AR59,'Income Statement Source'!AG:AG)/1000</f>
        <v>5.8217400000000001</v>
      </c>
      <c r="AF59" s="20">
        <f>SUMIF('Income Statement Source'!$C:$C,'1. Income Statement'!$AR59,'Income Statement Source'!AH:AH)/1000</f>
        <v>5.9985900000000001</v>
      </c>
      <c r="AG59" s="20">
        <f>SUMIF('Income Statement Source'!$C:$C,'1. Income Statement'!$AR59,'Income Statement Source'!AI:AI)/1000</f>
        <v>5.7949099999999998</v>
      </c>
      <c r="AH59" s="20">
        <f>SUMIF('Income Statement Source'!$C:$C,'1. Income Statement'!$AR59,'Income Statement Source'!AJ:AJ)/1000</f>
        <v>6.0128599999999999</v>
      </c>
      <c r="AI59" s="20">
        <f>SUMIF('Income Statement Source'!$C:$C,'1. Income Statement'!$AR59,'Income Statement Source'!AK:AK)/1000</f>
        <v>5.7328199999999994</v>
      </c>
      <c r="AJ59" s="20">
        <f>SUMIF('Income Statement Source'!$C:$C,'1. Income Statement'!$AR59,'Income Statement Source'!AL:AL)/1000</f>
        <v>5.6826400000000001</v>
      </c>
      <c r="AK59" s="20">
        <f>SUMIF('Income Statement Source'!$C:$C,'1. Income Statement'!$AR59,'Income Statement Source'!AM:AM)/1000</f>
        <v>5.7089699999999999</v>
      </c>
      <c r="AL59" s="20">
        <f>SUMIF('Income Statement Source'!$C:$C,'1. Income Statement'!$AR59,'Income Statement Source'!AN:AN)/1000</f>
        <v>5.8836300000000001</v>
      </c>
      <c r="AM59" s="20">
        <f>SUMIF('Income Statement Source'!$C:$C,'1. Income Statement'!$AR59,'Income Statement Source'!AO:AO)/1000</f>
        <v>5.8302899999999998</v>
      </c>
      <c r="AN59" s="20">
        <f>SUMIF('Income Statement Source'!$C:$C,'1. Income Statement'!$AR59,'Income Statement Source'!AP:AP)/1000</f>
        <v>5.6560100000000002</v>
      </c>
      <c r="AO59" s="22">
        <f t="shared" ref="AO59:AO61" si="394">SUM(AE59:AN59)</f>
        <v>58.122460000000004</v>
      </c>
      <c r="AP59" s="22">
        <f t="shared" ref="AP59:AP61" si="395">SUM(AO59,AB59:AC59)</f>
        <v>69.779530000000008</v>
      </c>
      <c r="AR59" s="34" t="s">
        <v>33</v>
      </c>
    </row>
    <row r="60" spans="2:44" s="34" customFormat="1" hidden="1" outlineLevel="1" x14ac:dyDescent="0.2">
      <c r="B60" s="30" t="str">
        <f t="shared" si="391"/>
        <v>General Liability Insurance</v>
      </c>
      <c r="C60" s="4"/>
      <c r="D60" s="4"/>
      <c r="E60" s="20">
        <f>SUMIF('Income Statement Source'!$C:$C,'1. Income Statement'!$AR60,'Income Statement Source'!G:G)/1000</f>
        <v>8.557129999999999</v>
      </c>
      <c r="F60" s="20">
        <f>SUMIF('Income Statement Source'!$C:$C,'1. Income Statement'!$AR60,'Income Statement Source'!H:H)/1000</f>
        <v>1.4148900000000002</v>
      </c>
      <c r="G60" s="20">
        <f>SUMIF('Income Statement Source'!$C:$C,'1. Income Statement'!$AR60,'Income Statement Source'!I:I)/1000</f>
        <v>1.3727</v>
      </c>
      <c r="H60" s="20">
        <f>SUMIF('Income Statement Source'!$C:$C,'1. Income Statement'!$AR60,'Income Statement Source'!J:J)/1000</f>
        <v>1.3730599999999999</v>
      </c>
      <c r="I60" s="20">
        <f>SUMIF('Income Statement Source'!$C:$C,'1. Income Statement'!$AR60,'Income Statement Source'!K:K)/1000</f>
        <v>1.4297599999999999</v>
      </c>
      <c r="J60" s="20">
        <f>SUMIF('Income Statement Source'!$C:$C,'1. Income Statement'!$AR60,'Income Statement Source'!L:L)/1000</f>
        <v>1.39673</v>
      </c>
      <c r="K60" s="20">
        <f>SUMIF('Income Statement Source'!$C:$C,'1. Income Statement'!$AR60,'Income Statement Source'!M:M)/1000</f>
        <v>1.37497</v>
      </c>
      <c r="L60" s="20">
        <f>SUMIF('Income Statement Source'!$C:$C,'1. Income Statement'!$AR60,'Income Statement Source'!N:N)/1000</f>
        <v>1.3833</v>
      </c>
      <c r="M60" s="20">
        <f>SUMIF('Income Statement Source'!$C:$C,'1. Income Statement'!$AR60,'Income Statement Source'!O:O)/1000</f>
        <v>1.4130499999999999</v>
      </c>
      <c r="N60" s="20">
        <f>SUMIF('Income Statement Source'!$C:$C,'1. Income Statement'!$AR60,'Income Statement Source'!P:P)/1000</f>
        <v>1.3986099999999999</v>
      </c>
      <c r="O60" s="20">
        <f>SUMIF('Income Statement Source'!$C:$C,'1. Income Statement'!$AR60,'Income Statement Source'!Q:Q)/1000</f>
        <v>0</v>
      </c>
      <c r="P60" s="20">
        <f>SUMIF('Income Statement Source'!$C:$C,'1. Income Statement'!$AR60,'Income Statement Source'!R:R)/1000</f>
        <v>0</v>
      </c>
      <c r="Q60" s="22">
        <f t="shared" si="392"/>
        <v>21.114199999999997</v>
      </c>
      <c r="R60" s="20">
        <f>SUMIF('Income Statement Source'!$C:$C,'1. Income Statement'!$AR60,'Income Statement Source'!T:T)/1000</f>
        <v>8.2333700000000007</v>
      </c>
      <c r="S60" s="20">
        <f>SUMIF('Income Statement Source'!$C:$C,'1. Income Statement'!$AR60,'Income Statement Source'!U:U)/1000</f>
        <v>1.40981</v>
      </c>
      <c r="T60" s="20">
        <f>SUMIF('Income Statement Source'!$C:$C,'1. Income Statement'!$AR60,'Income Statement Source'!V:V)/1000</f>
        <v>1.4307999999999998</v>
      </c>
      <c r="U60" s="20">
        <f>SUMIF('Income Statement Source'!$C:$C,'1. Income Statement'!$AR60,'Income Statement Source'!W:W)/1000</f>
        <v>1.3722999999999999</v>
      </c>
      <c r="V60" s="20">
        <f>SUMIF('Income Statement Source'!$C:$C,'1. Income Statement'!$AR60,'Income Statement Source'!X:X)/1000</f>
        <v>1.4010499999999999</v>
      </c>
      <c r="W60" s="20">
        <f>SUMIF('Income Statement Source'!$C:$C,'1. Income Statement'!$AR60,'Income Statement Source'!Y:Y)/1000</f>
        <v>1.42222</v>
      </c>
      <c r="X60" s="20">
        <f>SUMIF('Income Statement Source'!$C:$C,'1. Income Statement'!$AR60,'Income Statement Source'!Z:Z)/1000</f>
        <v>1.42405</v>
      </c>
      <c r="Y60" s="20">
        <f>SUMIF('Income Statement Source'!$C:$C,'1. Income Statement'!$AR60,'Income Statement Source'!AA:AA)/1000</f>
        <v>1.4056600000000001</v>
      </c>
      <c r="Z60" s="20">
        <f>SUMIF('Income Statement Source'!$C:$C,'1. Income Statement'!$AR60,'Income Statement Source'!AB:AB)/1000</f>
        <v>1.4137999999999999</v>
      </c>
      <c r="AA60" s="20">
        <f>SUMIF('Income Statement Source'!$C:$C,'1. Income Statement'!$AR60,'Income Statement Source'!AC:AC)/1000</f>
        <v>1.3953599999999999</v>
      </c>
      <c r="AB60" s="20">
        <f>SUMIF('Income Statement Source'!$C:$C,'1. Income Statement'!$AR60,'Income Statement Source'!AD:AD)/1000</f>
        <v>0</v>
      </c>
      <c r="AC60" s="20">
        <f>SUMIF('Income Statement Source'!$C:$C,'1. Income Statement'!$AR60,'Income Statement Source'!AE:AE)/1000</f>
        <v>0</v>
      </c>
      <c r="AD60" s="22">
        <f t="shared" si="393"/>
        <v>20.90842</v>
      </c>
      <c r="AE60" s="20">
        <f>SUMIF('Income Statement Source'!$C:$C,'1. Income Statement'!$AR60,'Income Statement Source'!AG:AG)/1000</f>
        <v>22.468599999999999</v>
      </c>
      <c r="AF60" s="20">
        <f>SUMIF('Income Statement Source'!$C:$C,'1. Income Statement'!$AR60,'Income Statement Source'!AH:AH)/1000</f>
        <v>0</v>
      </c>
      <c r="AG60" s="20">
        <f>SUMIF('Income Statement Source'!$C:$C,'1. Income Statement'!$AR60,'Income Statement Source'!AI:AI)/1000</f>
        <v>0</v>
      </c>
      <c r="AH60" s="20">
        <f>SUMIF('Income Statement Source'!$C:$C,'1. Income Statement'!$AR60,'Income Statement Source'!AJ:AJ)/1000</f>
        <v>0</v>
      </c>
      <c r="AI60" s="20">
        <f>SUMIF('Income Statement Source'!$C:$C,'1. Income Statement'!$AR60,'Income Statement Source'!AK:AK)/1000</f>
        <v>0</v>
      </c>
      <c r="AJ60" s="20">
        <f>SUMIF('Income Statement Source'!$C:$C,'1. Income Statement'!$AR60,'Income Statement Source'!AL:AL)/1000</f>
        <v>0</v>
      </c>
      <c r="AK60" s="20">
        <f>SUMIF('Income Statement Source'!$C:$C,'1. Income Statement'!$AR60,'Income Statement Source'!AM:AM)/1000</f>
        <v>0</v>
      </c>
      <c r="AL60" s="20">
        <f>SUMIF('Income Statement Source'!$C:$C,'1. Income Statement'!$AR60,'Income Statement Source'!AN:AN)/1000</f>
        <v>0</v>
      </c>
      <c r="AM60" s="20">
        <f>SUMIF('Income Statement Source'!$C:$C,'1. Income Statement'!$AR60,'Income Statement Source'!AO:AO)/1000</f>
        <v>0</v>
      </c>
      <c r="AN60" s="20">
        <f>SUMIF('Income Statement Source'!$C:$C,'1. Income Statement'!$AR60,'Income Statement Source'!AP:AP)/1000</f>
        <v>0</v>
      </c>
      <c r="AO60" s="22">
        <f t="shared" si="394"/>
        <v>22.468599999999999</v>
      </c>
      <c r="AP60" s="22">
        <f t="shared" si="395"/>
        <v>22.468599999999999</v>
      </c>
      <c r="AR60" s="34" t="s">
        <v>34</v>
      </c>
    </row>
    <row r="61" spans="2:44" s="34" customFormat="1" hidden="1" outlineLevel="1" x14ac:dyDescent="0.2">
      <c r="B61" s="30" t="str">
        <f t="shared" si="391"/>
        <v>Professional Liability Insurance</v>
      </c>
      <c r="C61" s="4"/>
      <c r="D61" s="4"/>
      <c r="E61" s="31">
        <f>SUMIF('Income Statement Source'!$C:$C,'1. Income Statement'!$AR61,'Income Statement Source'!G:G)/1000</f>
        <v>0.95217999999999992</v>
      </c>
      <c r="F61" s="31">
        <f>SUMIF('Income Statement Source'!$C:$C,'1. Income Statement'!$AR61,'Income Statement Source'!H:H)/1000</f>
        <v>0.94723999999999997</v>
      </c>
      <c r="G61" s="31">
        <f>SUMIF('Income Statement Source'!$C:$C,'1. Income Statement'!$AR61,'Income Statement Source'!I:I)/1000</f>
        <v>0.94526999999999994</v>
      </c>
      <c r="H61" s="31">
        <f>SUMIF('Income Statement Source'!$C:$C,'1. Income Statement'!$AR61,'Income Statement Source'!J:J)/1000</f>
        <v>0.94323999999999997</v>
      </c>
      <c r="I61" s="31">
        <f>SUMIF('Income Statement Source'!$C:$C,'1. Income Statement'!$AR61,'Income Statement Source'!K:K)/1000</f>
        <v>0.95072999999999996</v>
      </c>
      <c r="J61" s="31">
        <f>SUMIF('Income Statement Source'!$C:$C,'1. Income Statement'!$AR61,'Income Statement Source'!L:L)/1000</f>
        <v>0.94257000000000002</v>
      </c>
      <c r="K61" s="31">
        <f>SUMIF('Income Statement Source'!$C:$C,'1. Income Statement'!$AR61,'Income Statement Source'!M:M)/1000</f>
        <v>0.9486</v>
      </c>
      <c r="L61" s="31">
        <f>SUMIF('Income Statement Source'!$C:$C,'1. Income Statement'!$AR61,'Income Statement Source'!N:N)/1000</f>
        <v>0.95926999999999996</v>
      </c>
      <c r="M61" s="31">
        <f>SUMIF('Income Statement Source'!$C:$C,'1. Income Statement'!$AR61,'Income Statement Source'!O:O)/1000</f>
        <v>0.95404</v>
      </c>
      <c r="N61" s="31">
        <f>SUMIF('Income Statement Source'!$C:$C,'1. Income Statement'!$AR61,'Income Statement Source'!P:P)/1000</f>
        <v>0.94228999999999996</v>
      </c>
      <c r="O61" s="31">
        <f>SUMIF('Income Statement Source'!$C:$C,'1. Income Statement'!$AR61,'Income Statement Source'!Q:Q)/1000</f>
        <v>0.95092999999999994</v>
      </c>
      <c r="P61" s="31">
        <f>SUMIF('Income Statement Source'!$C:$C,'1. Income Statement'!$AR61,'Income Statement Source'!R:R)/1000</f>
        <v>0.95043</v>
      </c>
      <c r="Q61" s="32">
        <f t="shared" si="392"/>
        <v>11.38679</v>
      </c>
      <c r="R61" s="31">
        <f>SUMIF('Income Statement Source'!$C:$C,'1. Income Statement'!$AR61,'Income Statement Source'!T:T)/1000</f>
        <v>0.95944000000000007</v>
      </c>
      <c r="S61" s="31">
        <f>SUMIF('Income Statement Source'!$C:$C,'1. Income Statement'!$AR61,'Income Statement Source'!U:U)/1000</f>
        <v>0.95577000000000001</v>
      </c>
      <c r="T61" s="31">
        <f>SUMIF('Income Statement Source'!$C:$C,'1. Income Statement'!$AR61,'Income Statement Source'!V:V)/1000</f>
        <v>0.94159000000000004</v>
      </c>
      <c r="U61" s="31">
        <f>SUMIF('Income Statement Source'!$C:$C,'1. Income Statement'!$AR61,'Income Statement Source'!W:W)/1000</f>
        <v>0.95743</v>
      </c>
      <c r="V61" s="31">
        <f>SUMIF('Income Statement Source'!$C:$C,'1. Income Statement'!$AR61,'Income Statement Source'!X:X)/1000</f>
        <v>0.94840999999999998</v>
      </c>
      <c r="W61" s="31">
        <f>SUMIF('Income Statement Source'!$C:$C,'1. Income Statement'!$AR61,'Income Statement Source'!Y:Y)/1000</f>
        <v>0.95410000000000006</v>
      </c>
      <c r="X61" s="31">
        <f>SUMIF('Income Statement Source'!$C:$C,'1. Income Statement'!$AR61,'Income Statement Source'!Z:Z)/1000</f>
        <v>0.95586000000000004</v>
      </c>
      <c r="Y61" s="31">
        <f>SUMIF('Income Statement Source'!$C:$C,'1. Income Statement'!$AR61,'Income Statement Source'!AA:AA)/1000</f>
        <v>0.95752999999999999</v>
      </c>
      <c r="Z61" s="31">
        <f>SUMIF('Income Statement Source'!$C:$C,'1. Income Statement'!$AR61,'Income Statement Source'!AB:AB)/1000</f>
        <v>0.94435999999999998</v>
      </c>
      <c r="AA61" s="31">
        <f>SUMIF('Income Statement Source'!$C:$C,'1. Income Statement'!$AR61,'Income Statement Source'!AC:AC)/1000</f>
        <v>0.95811000000000002</v>
      </c>
      <c r="AB61" s="31">
        <f>SUMIF('Income Statement Source'!$C:$C,'1. Income Statement'!$AR61,'Income Statement Source'!AD:AD)/1000</f>
        <v>0.95557000000000003</v>
      </c>
      <c r="AC61" s="31">
        <f>SUMIF('Income Statement Source'!$C:$C,'1. Income Statement'!$AR61,'Income Statement Source'!AE:AE)/1000</f>
        <v>0.95275999999999994</v>
      </c>
      <c r="AD61" s="32">
        <f t="shared" si="393"/>
        <v>11.44093</v>
      </c>
      <c r="AE61" s="31">
        <f>SUMIF('Income Statement Source'!$C:$C,'1. Income Statement'!$AR61,'Income Statement Source'!AG:AG)/1000</f>
        <v>0.95838000000000001</v>
      </c>
      <c r="AF61" s="31">
        <f>SUMIF('Income Statement Source'!$C:$C,'1. Income Statement'!$AR61,'Income Statement Source'!AH:AH)/1000</f>
        <v>0.94361000000000006</v>
      </c>
      <c r="AG61" s="31">
        <f>SUMIF('Income Statement Source'!$C:$C,'1. Income Statement'!$AR61,'Income Statement Source'!AI:AI)/1000</f>
        <v>0.94550999999999996</v>
      </c>
      <c r="AH61" s="31">
        <f>SUMIF('Income Statement Source'!$C:$C,'1. Income Statement'!$AR61,'Income Statement Source'!AJ:AJ)/1000</f>
        <v>0.95029999999999992</v>
      </c>
      <c r="AI61" s="31">
        <f>SUMIF('Income Statement Source'!$C:$C,'1. Income Statement'!$AR61,'Income Statement Source'!AK:AK)/1000</f>
        <v>0.94086000000000003</v>
      </c>
      <c r="AJ61" s="31">
        <f>SUMIF('Income Statement Source'!$C:$C,'1. Income Statement'!$AR61,'Income Statement Source'!AL:AL)/1000</f>
        <v>0.94655999999999996</v>
      </c>
      <c r="AK61" s="31">
        <f>SUMIF('Income Statement Source'!$C:$C,'1. Income Statement'!$AR61,'Income Statement Source'!AM:AM)/1000</f>
        <v>0.95916000000000001</v>
      </c>
      <c r="AL61" s="31">
        <f>SUMIF('Income Statement Source'!$C:$C,'1. Income Statement'!$AR61,'Income Statement Source'!AN:AN)/1000</f>
        <v>0.95680999999999994</v>
      </c>
      <c r="AM61" s="31">
        <f>SUMIF('Income Statement Source'!$C:$C,'1. Income Statement'!$AR61,'Income Statement Source'!AO:AO)/1000</f>
        <v>0.94325000000000003</v>
      </c>
      <c r="AN61" s="31">
        <f>SUMIF('Income Statement Source'!$C:$C,'1. Income Statement'!$AR61,'Income Statement Source'!AP:AP)/1000</f>
        <v>0.95269999999999999</v>
      </c>
      <c r="AO61" s="32">
        <f t="shared" si="394"/>
        <v>9.4971399999999999</v>
      </c>
      <c r="AP61" s="32">
        <f t="shared" si="395"/>
        <v>11.405469999999999</v>
      </c>
      <c r="AR61" s="34" t="s">
        <v>35</v>
      </c>
    </row>
    <row r="62" spans="2:44" collapsed="1" x14ac:dyDescent="0.2">
      <c r="B62" s="29" t="str">
        <f>+B58</f>
        <v>Insurance</v>
      </c>
      <c r="E62" s="20">
        <f>SUM(E59:E61)</f>
        <v>15.290889999999999</v>
      </c>
      <c r="F62" s="20">
        <f t="shared" ref="F62:AP62" si="396">SUM(F59:F61)</f>
        <v>8.2837200000000006</v>
      </c>
      <c r="G62" s="20">
        <f t="shared" si="396"/>
        <v>7.9016699999999993</v>
      </c>
      <c r="H62" s="20">
        <f t="shared" si="396"/>
        <v>7.9818500000000006</v>
      </c>
      <c r="I62" s="20">
        <f t="shared" si="396"/>
        <v>8.1395999999999997</v>
      </c>
      <c r="J62" s="20">
        <f t="shared" si="396"/>
        <v>8.0519700000000007</v>
      </c>
      <c r="K62" s="20">
        <f t="shared" si="396"/>
        <v>8.1540700000000008</v>
      </c>
      <c r="L62" s="20">
        <f t="shared" si="396"/>
        <v>8.1345999999999989</v>
      </c>
      <c r="M62" s="20">
        <f t="shared" si="396"/>
        <v>7.9963199999999999</v>
      </c>
      <c r="N62" s="20">
        <f t="shared" si="396"/>
        <v>8.1319300000000005</v>
      </c>
      <c r="O62" s="20">
        <f t="shared" si="396"/>
        <v>6.5328600000000003</v>
      </c>
      <c r="P62" s="20">
        <f t="shared" si="396"/>
        <v>6.9352800000000006</v>
      </c>
      <c r="Q62" s="22">
        <f t="shared" si="396"/>
        <v>101.53475999999999</v>
      </c>
      <c r="R62" s="20">
        <f t="shared" si="396"/>
        <v>15.135810000000001</v>
      </c>
      <c r="S62" s="20">
        <f t="shared" si="396"/>
        <v>7.9705100000000009</v>
      </c>
      <c r="T62" s="20">
        <f t="shared" si="396"/>
        <v>8.0057200000000002</v>
      </c>
      <c r="U62" s="20">
        <f t="shared" si="396"/>
        <v>7.9830000000000005</v>
      </c>
      <c r="V62" s="20">
        <f t="shared" si="396"/>
        <v>8.1212499999999999</v>
      </c>
      <c r="W62" s="20">
        <f t="shared" si="396"/>
        <v>8.3277999999999999</v>
      </c>
      <c r="X62" s="20">
        <f t="shared" si="396"/>
        <v>8.1338899999999992</v>
      </c>
      <c r="Y62" s="20">
        <f t="shared" si="396"/>
        <v>8.2004099999999998</v>
      </c>
      <c r="Z62" s="20">
        <f t="shared" si="396"/>
        <v>8.34056</v>
      </c>
      <c r="AA62" s="20">
        <f t="shared" si="396"/>
        <v>8.2805800000000005</v>
      </c>
      <c r="AB62" s="20">
        <f t="shared" si="396"/>
        <v>6.6421399999999995</v>
      </c>
      <c r="AC62" s="20">
        <f t="shared" si="396"/>
        <v>6.92326</v>
      </c>
      <c r="AD62" s="22">
        <f t="shared" si="396"/>
        <v>102.06492999999999</v>
      </c>
      <c r="AE62" s="20">
        <f t="shared" si="396"/>
        <v>29.248719999999999</v>
      </c>
      <c r="AF62" s="20">
        <f t="shared" si="396"/>
        <v>6.9421999999999997</v>
      </c>
      <c r="AG62" s="20">
        <f t="shared" si="396"/>
        <v>6.7404199999999994</v>
      </c>
      <c r="AH62" s="20">
        <f t="shared" si="396"/>
        <v>6.9631600000000002</v>
      </c>
      <c r="AI62" s="20">
        <f t="shared" si="396"/>
        <v>6.6736799999999992</v>
      </c>
      <c r="AJ62" s="20">
        <f t="shared" si="396"/>
        <v>6.6292</v>
      </c>
      <c r="AK62" s="20">
        <f t="shared" si="396"/>
        <v>6.6681299999999997</v>
      </c>
      <c r="AL62" s="20">
        <f t="shared" si="396"/>
        <v>6.8404400000000001</v>
      </c>
      <c r="AM62" s="20">
        <f t="shared" si="396"/>
        <v>6.7735399999999997</v>
      </c>
      <c r="AN62" s="20">
        <f t="shared" si="396"/>
        <v>6.6087100000000003</v>
      </c>
      <c r="AO62" s="22">
        <f t="shared" si="396"/>
        <v>90.088200000000001</v>
      </c>
      <c r="AP62" s="22">
        <f t="shared" si="396"/>
        <v>103.6536</v>
      </c>
    </row>
    <row r="63" spans="2:44" x14ac:dyDescent="0.2">
      <c r="B63" s="25"/>
      <c r="E63" s="47">
        <f>IFERROR(E62/E$19,0)</f>
        <v>8.0488526920397638E-2</v>
      </c>
      <c r="F63" s="47">
        <f t="shared" ref="F63" si="397">IFERROR(F62/F$19,0)</f>
        <v>3.6447243383858151E-2</v>
      </c>
      <c r="G63" s="47">
        <f t="shared" ref="G63" si="398">IFERROR(G62/G$19,0)</f>
        <v>2.5686837072237536E-2</v>
      </c>
      <c r="H63" s="47">
        <f t="shared" ref="H63" si="399">IFERROR(H62/H$19,0)</f>
        <v>3.0860392068892583E-2</v>
      </c>
      <c r="I63" s="47">
        <f t="shared" ref="I63" si="400">IFERROR(I62/I$19,0)</f>
        <v>2.9949553128132512E-2</v>
      </c>
      <c r="J63" s="47">
        <f t="shared" ref="J63" si="401">IFERROR(J62/J$19,0)</f>
        <v>2.1865196758040738E-2</v>
      </c>
      <c r="K63" s="47">
        <f t="shared" ref="K63" si="402">IFERROR(K62/K$19,0)</f>
        <v>2.6955907172375067E-2</v>
      </c>
      <c r="L63" s="47">
        <f t="shared" ref="L63" si="403">IFERROR(L62/L$19,0)</f>
        <v>2.9343207564722629E-2</v>
      </c>
      <c r="M63" s="47">
        <f t="shared" ref="M63" si="404">IFERROR(M62/M$19,0)</f>
        <v>2.257061764721905E-2</v>
      </c>
      <c r="N63" s="47">
        <f t="shared" ref="N63" si="405">IFERROR(N62/N$19,0)</f>
        <v>3.0438989252159404E-2</v>
      </c>
      <c r="O63" s="47">
        <f t="shared" ref="O63" si="406">IFERROR(O62/O$19,0)</f>
        <v>2.8997278112360577E-2</v>
      </c>
      <c r="P63" s="47">
        <f t="shared" ref="P63" si="407">IFERROR(P62/P$19,0)</f>
        <v>2.0452498946746209E-2</v>
      </c>
      <c r="Q63" s="48">
        <f t="shared" ref="Q63" si="408">IFERROR(Q62/Q$19,0)</f>
        <v>2.9959336201750949E-2</v>
      </c>
      <c r="R63" s="47">
        <f t="shared" ref="R63" si="409">IFERROR(R62/R$19,0)</f>
        <v>7.4742086935283628E-2</v>
      </c>
      <c r="S63" s="47">
        <f t="shared" ref="S63" si="410">IFERROR(S62/S$19,0)</f>
        <v>3.0868235767420059E-2</v>
      </c>
      <c r="T63" s="47">
        <f t="shared" ref="T63" si="411">IFERROR(T62/T$19,0)</f>
        <v>2.2687115597078832E-2</v>
      </c>
      <c r="U63" s="47">
        <f t="shared" ref="U63" si="412">IFERROR(U62/U$19,0)</f>
        <v>2.4970308854537833E-2</v>
      </c>
      <c r="V63" s="47">
        <f t="shared" ref="V63" si="413">IFERROR(V62/V$19,0)</f>
        <v>2.3883041924196952E-2</v>
      </c>
      <c r="W63" s="47">
        <f t="shared" ref="W63" si="414">IFERROR(W62/W$19,0)</f>
        <v>1.9028526086215504E-2</v>
      </c>
      <c r="X63" s="47">
        <f t="shared" ref="X63" si="415">IFERROR(X62/X$19,0)</f>
        <v>2.1917979569332013E-2</v>
      </c>
      <c r="Y63" s="47">
        <f t="shared" ref="Y63" si="416">IFERROR(Y62/Y$19,0)</f>
        <v>2.1518459737379803E-2</v>
      </c>
      <c r="Z63" s="47">
        <f t="shared" ref="Z63" si="417">IFERROR(Z62/Z$19,0)</f>
        <v>2.0950788971571963E-2</v>
      </c>
      <c r="AA63" s="47">
        <f t="shared" ref="AA63" si="418">IFERROR(AA62/AA$19,0)</f>
        <v>2.7123147398510607E-2</v>
      </c>
      <c r="AB63" s="47">
        <f t="shared" ref="AB63" si="419">IFERROR(AB62/AB$19,0)</f>
        <v>2.2692905015658352E-2</v>
      </c>
      <c r="AC63" s="47">
        <f t="shared" ref="AC63" si="420">IFERROR(AC62/AC$19,0)</f>
        <v>1.7733284208968979E-2</v>
      </c>
      <c r="AD63" s="48">
        <f t="shared" ref="AD63" si="421">IFERROR(AD62/AD$19,0)</f>
        <v>2.5203196574988304E-2</v>
      </c>
      <c r="AE63" s="47">
        <f t="shared" ref="AE63" si="422">IFERROR(AE62/AE$19,0)</f>
        <v>0.13767529538644718</v>
      </c>
      <c r="AF63" s="47">
        <f t="shared" ref="AF63" si="423">IFERROR(AF62/AF$19,0)</f>
        <v>2.4569053277458695E-2</v>
      </c>
      <c r="AG63" s="47">
        <f t="shared" ref="AG63" si="424">IFERROR(AG62/AG$19,0)</f>
        <v>1.7661296412449106E-2</v>
      </c>
      <c r="AH63" s="47">
        <f t="shared" ref="AH63" si="425">IFERROR(AH62/AH$19,0)</f>
        <v>1.9955557132424535E-2</v>
      </c>
      <c r="AI63" s="47">
        <f t="shared" ref="AI63" si="426">IFERROR(AI62/AI$19,0)</f>
        <v>1.930456273676269E-2</v>
      </c>
      <c r="AJ63" s="47">
        <f t="shared" ref="AJ63" si="427">IFERROR(AJ62/AJ$19,0)</f>
        <v>1.4033435190686807E-2</v>
      </c>
      <c r="AK63" s="47">
        <f t="shared" ref="AK63" si="428">IFERROR(AK62/AK$19,0)</f>
        <v>1.7317409937329754E-2</v>
      </c>
      <c r="AL63" s="47">
        <f t="shared" ref="AL63" si="429">IFERROR(AL62/AL$19,0)</f>
        <v>1.9326502833481439E-2</v>
      </c>
      <c r="AM63" s="47">
        <f t="shared" ref="AM63" si="430">IFERROR(AM62/AM$19,0)</f>
        <v>1.5491867017967578E-2</v>
      </c>
      <c r="AN63" s="47">
        <f t="shared" ref="AN63" si="431">IFERROR(AN62/AN$19,0)</f>
        <v>1.9537509792095099E-2</v>
      </c>
      <c r="AO63" s="48">
        <f t="shared" ref="AO63" si="432">IFERROR(AO62/AO$19,0)</f>
        <v>2.5318736491731719E-2</v>
      </c>
      <c r="AP63" s="48">
        <f t="shared" ref="AP63" si="433">IFERROR(AP62/AP$19,0)</f>
        <v>2.4439280116763315E-2</v>
      </c>
    </row>
    <row r="64" spans="2:44" s="34" customFormat="1" hidden="1" outlineLevel="1" x14ac:dyDescent="0.2">
      <c r="B64" s="33" t="s">
        <v>97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2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2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2"/>
      <c r="AP64" s="52"/>
    </row>
    <row r="65" spans="2:44" s="34" customFormat="1" hidden="1" outlineLevel="1" x14ac:dyDescent="0.2">
      <c r="B65" s="30" t="str">
        <f t="shared" ref="B65:B69" si="434">+AR65</f>
        <v>Rent - Office</v>
      </c>
      <c r="C65" s="4"/>
      <c r="D65" s="4"/>
      <c r="E65" s="20">
        <f>SUMIF('Income Statement Source'!$C:$C,'1. Income Statement'!$AR65,'Income Statement Source'!G:G)/1000</f>
        <v>3.2</v>
      </c>
      <c r="F65" s="20">
        <f>SUMIF('Income Statement Source'!$C:$C,'1. Income Statement'!$AR65,'Income Statement Source'!H:H)/1000</f>
        <v>3.2</v>
      </c>
      <c r="G65" s="20">
        <f>SUMIF('Income Statement Source'!$C:$C,'1. Income Statement'!$AR65,'Income Statement Source'!I:I)/1000</f>
        <v>3.2</v>
      </c>
      <c r="H65" s="20">
        <f>SUMIF('Income Statement Source'!$C:$C,'1. Income Statement'!$AR65,'Income Statement Source'!J:J)/1000</f>
        <v>3.2</v>
      </c>
      <c r="I65" s="20">
        <f>SUMIF('Income Statement Source'!$C:$C,'1. Income Statement'!$AR65,'Income Statement Source'!K:K)/1000</f>
        <v>3.2</v>
      </c>
      <c r="J65" s="20">
        <f>SUMIF('Income Statement Source'!$C:$C,'1. Income Statement'!$AR65,'Income Statement Source'!L:L)/1000</f>
        <v>3.2</v>
      </c>
      <c r="K65" s="20">
        <f>SUMIF('Income Statement Source'!$C:$C,'1. Income Statement'!$AR65,'Income Statement Source'!M:M)/1000</f>
        <v>3.2</v>
      </c>
      <c r="L65" s="20">
        <f>SUMIF('Income Statement Source'!$C:$C,'1. Income Statement'!$AR65,'Income Statement Source'!N:N)/1000</f>
        <v>3.2</v>
      </c>
      <c r="M65" s="20">
        <f>SUMIF('Income Statement Source'!$C:$C,'1. Income Statement'!$AR65,'Income Statement Source'!O:O)/1000</f>
        <v>3.2</v>
      </c>
      <c r="N65" s="20">
        <f>SUMIF('Income Statement Source'!$C:$C,'1. Income Statement'!$AR65,'Income Statement Source'!P:P)/1000</f>
        <v>3.2</v>
      </c>
      <c r="O65" s="20">
        <f>SUMIF('Income Statement Source'!$C:$C,'1. Income Statement'!$AR65,'Income Statement Source'!Q:Q)/1000</f>
        <v>3.2</v>
      </c>
      <c r="P65" s="20">
        <f>SUMIF('Income Statement Source'!$C:$C,'1. Income Statement'!$AR65,'Income Statement Source'!R:R)/1000</f>
        <v>3.2</v>
      </c>
      <c r="Q65" s="22">
        <f t="shared" ref="Q65:Q69" si="435">SUM(E65:P65)</f>
        <v>38.4</v>
      </c>
      <c r="R65" s="20">
        <f>SUMIF('Income Statement Source'!$C:$C,'1. Income Statement'!$AR65,'Income Statement Source'!T:T)/1000</f>
        <v>3.2</v>
      </c>
      <c r="S65" s="20">
        <f>SUMIF('Income Statement Source'!$C:$C,'1. Income Statement'!$AR65,'Income Statement Source'!U:U)/1000</f>
        <v>3.2</v>
      </c>
      <c r="T65" s="20">
        <f>SUMIF('Income Statement Source'!$C:$C,'1. Income Statement'!$AR65,'Income Statement Source'!V:V)/1000</f>
        <v>3.2</v>
      </c>
      <c r="U65" s="20">
        <f>SUMIF('Income Statement Source'!$C:$C,'1. Income Statement'!$AR65,'Income Statement Source'!W:W)/1000</f>
        <v>3.2</v>
      </c>
      <c r="V65" s="20">
        <f>SUMIF('Income Statement Source'!$C:$C,'1. Income Statement'!$AR65,'Income Statement Source'!X:X)/1000</f>
        <v>3.2</v>
      </c>
      <c r="W65" s="20">
        <f>SUMIF('Income Statement Source'!$C:$C,'1. Income Statement'!$AR65,'Income Statement Source'!Y:Y)/1000</f>
        <v>3.2</v>
      </c>
      <c r="X65" s="20">
        <f>SUMIF('Income Statement Source'!$C:$C,'1. Income Statement'!$AR65,'Income Statement Source'!Z:Z)/1000</f>
        <v>3.2</v>
      </c>
      <c r="Y65" s="20">
        <f>SUMIF('Income Statement Source'!$C:$C,'1. Income Statement'!$AR65,'Income Statement Source'!AA:AA)/1000</f>
        <v>3.2</v>
      </c>
      <c r="Z65" s="20">
        <f>SUMIF('Income Statement Source'!$C:$C,'1. Income Statement'!$AR65,'Income Statement Source'!AB:AB)/1000</f>
        <v>3.2</v>
      </c>
      <c r="AA65" s="20">
        <f>SUMIF('Income Statement Source'!$C:$C,'1. Income Statement'!$AR65,'Income Statement Source'!AC:AC)/1000</f>
        <v>3.2</v>
      </c>
      <c r="AB65" s="20">
        <f>SUMIF('Income Statement Source'!$C:$C,'1. Income Statement'!$AR65,'Income Statement Source'!AD:AD)/1000</f>
        <v>3.2</v>
      </c>
      <c r="AC65" s="20">
        <f>SUMIF('Income Statement Source'!$C:$C,'1. Income Statement'!$AR65,'Income Statement Source'!AE:AE)/1000</f>
        <v>3.2</v>
      </c>
      <c r="AD65" s="22">
        <f t="shared" ref="AD65:AD69" si="436">SUM(R65:AC65)</f>
        <v>38.4</v>
      </c>
      <c r="AE65" s="20">
        <f>SUMIF('Income Statement Source'!$C:$C,'1. Income Statement'!$AR65,'Income Statement Source'!AG:AG)/1000</f>
        <v>3.2</v>
      </c>
      <c r="AF65" s="20">
        <f>SUMIF('Income Statement Source'!$C:$C,'1. Income Statement'!$AR65,'Income Statement Source'!AH:AH)/1000</f>
        <v>3.2</v>
      </c>
      <c r="AG65" s="20">
        <f>SUMIF('Income Statement Source'!$C:$C,'1. Income Statement'!$AR65,'Income Statement Source'!AI:AI)/1000</f>
        <v>3.2</v>
      </c>
      <c r="AH65" s="20">
        <f>SUMIF('Income Statement Source'!$C:$C,'1. Income Statement'!$AR65,'Income Statement Source'!AJ:AJ)/1000</f>
        <v>3.2</v>
      </c>
      <c r="AI65" s="20">
        <f>SUMIF('Income Statement Source'!$C:$C,'1. Income Statement'!$AR65,'Income Statement Source'!AK:AK)/1000</f>
        <v>3.2</v>
      </c>
      <c r="AJ65" s="20">
        <f>SUMIF('Income Statement Source'!$C:$C,'1. Income Statement'!$AR65,'Income Statement Source'!AL:AL)/1000</f>
        <v>3.2</v>
      </c>
      <c r="AK65" s="20">
        <f>SUMIF('Income Statement Source'!$C:$C,'1. Income Statement'!$AR65,'Income Statement Source'!AM:AM)/1000</f>
        <v>3.2</v>
      </c>
      <c r="AL65" s="20">
        <f>SUMIF('Income Statement Source'!$C:$C,'1. Income Statement'!$AR65,'Income Statement Source'!AN:AN)/1000</f>
        <v>3.2</v>
      </c>
      <c r="AM65" s="20">
        <f>SUMIF('Income Statement Source'!$C:$C,'1. Income Statement'!$AR65,'Income Statement Source'!AO:AO)/1000</f>
        <v>3.2</v>
      </c>
      <c r="AN65" s="20">
        <f>SUMIF('Income Statement Source'!$C:$C,'1. Income Statement'!$AR65,'Income Statement Source'!AP:AP)/1000</f>
        <v>3.2</v>
      </c>
      <c r="AO65" s="22">
        <f t="shared" ref="AO65:AO69" si="437">SUM(AE65:AN65)</f>
        <v>31.999999999999996</v>
      </c>
      <c r="AP65" s="22">
        <f t="shared" ref="AP65:AP69" si="438">SUM(AO65,AB65:AC65)</f>
        <v>38.4</v>
      </c>
      <c r="AR65" s="34" t="s">
        <v>36</v>
      </c>
    </row>
    <row r="66" spans="2:44" s="34" customFormat="1" hidden="1" outlineLevel="1" x14ac:dyDescent="0.2">
      <c r="B66" s="30" t="str">
        <f t="shared" ref="B66:B68" si="439">+AR66</f>
        <v>Rent - Warehouse</v>
      </c>
      <c r="C66" s="4"/>
      <c r="D66" s="4"/>
      <c r="E66" s="20">
        <f>SUMIF('Income Statement Source'!$C:$C,'1. Income Statement'!$AR66,'Income Statement Source'!G:G)/1000</f>
        <v>2.8</v>
      </c>
      <c r="F66" s="20">
        <f>SUMIF('Income Statement Source'!$C:$C,'1. Income Statement'!$AR66,'Income Statement Source'!H:H)/1000</f>
        <v>2.8</v>
      </c>
      <c r="G66" s="20">
        <f>SUMIF('Income Statement Source'!$C:$C,'1. Income Statement'!$AR66,'Income Statement Source'!I:I)/1000</f>
        <v>2.8</v>
      </c>
      <c r="H66" s="20">
        <f>SUMIF('Income Statement Source'!$C:$C,'1. Income Statement'!$AR66,'Income Statement Source'!J:J)/1000</f>
        <v>2.8</v>
      </c>
      <c r="I66" s="20">
        <f>SUMIF('Income Statement Source'!$C:$C,'1. Income Statement'!$AR66,'Income Statement Source'!K:K)/1000</f>
        <v>2.8</v>
      </c>
      <c r="J66" s="20">
        <f>SUMIF('Income Statement Source'!$C:$C,'1. Income Statement'!$AR66,'Income Statement Source'!L:L)/1000</f>
        <v>2.8</v>
      </c>
      <c r="K66" s="20">
        <f>SUMIF('Income Statement Source'!$C:$C,'1. Income Statement'!$AR66,'Income Statement Source'!M:M)/1000</f>
        <v>2.8</v>
      </c>
      <c r="L66" s="20">
        <f>SUMIF('Income Statement Source'!$C:$C,'1. Income Statement'!$AR66,'Income Statement Source'!N:N)/1000</f>
        <v>2.8</v>
      </c>
      <c r="M66" s="20">
        <f>SUMIF('Income Statement Source'!$C:$C,'1. Income Statement'!$AR66,'Income Statement Source'!O:O)/1000</f>
        <v>2.8</v>
      </c>
      <c r="N66" s="20">
        <f>SUMIF('Income Statement Source'!$C:$C,'1. Income Statement'!$AR66,'Income Statement Source'!P:P)/1000</f>
        <v>2.8</v>
      </c>
      <c r="O66" s="20">
        <f>SUMIF('Income Statement Source'!$C:$C,'1. Income Statement'!$AR66,'Income Statement Source'!Q:Q)/1000</f>
        <v>2.8</v>
      </c>
      <c r="P66" s="20">
        <f>SUMIF('Income Statement Source'!$C:$C,'1. Income Statement'!$AR66,'Income Statement Source'!R:R)/1000</f>
        <v>2.8</v>
      </c>
      <c r="Q66" s="22">
        <f t="shared" ref="Q66:Q68" si="440">SUM(E66:P66)</f>
        <v>33.6</v>
      </c>
      <c r="R66" s="20">
        <f>SUMIF('Income Statement Source'!$C:$C,'1. Income Statement'!$AR66,'Income Statement Source'!T:T)/1000</f>
        <v>2.8</v>
      </c>
      <c r="S66" s="20">
        <f>SUMIF('Income Statement Source'!$C:$C,'1. Income Statement'!$AR66,'Income Statement Source'!U:U)/1000</f>
        <v>2.8</v>
      </c>
      <c r="T66" s="20">
        <f>SUMIF('Income Statement Source'!$C:$C,'1. Income Statement'!$AR66,'Income Statement Source'!V:V)/1000</f>
        <v>2.8</v>
      </c>
      <c r="U66" s="20">
        <f>SUMIF('Income Statement Source'!$C:$C,'1. Income Statement'!$AR66,'Income Statement Source'!W:W)/1000</f>
        <v>2.8</v>
      </c>
      <c r="V66" s="20">
        <f>SUMIF('Income Statement Source'!$C:$C,'1. Income Statement'!$AR66,'Income Statement Source'!X:X)/1000</f>
        <v>2.8</v>
      </c>
      <c r="W66" s="20">
        <f>SUMIF('Income Statement Source'!$C:$C,'1. Income Statement'!$AR66,'Income Statement Source'!Y:Y)/1000</f>
        <v>2.8</v>
      </c>
      <c r="X66" s="20">
        <f>SUMIF('Income Statement Source'!$C:$C,'1. Income Statement'!$AR66,'Income Statement Source'!Z:Z)/1000</f>
        <v>2.8</v>
      </c>
      <c r="Y66" s="20">
        <f>SUMIF('Income Statement Source'!$C:$C,'1. Income Statement'!$AR66,'Income Statement Source'!AA:AA)/1000</f>
        <v>2.8</v>
      </c>
      <c r="Z66" s="20">
        <f>SUMIF('Income Statement Source'!$C:$C,'1. Income Statement'!$AR66,'Income Statement Source'!AB:AB)/1000</f>
        <v>2.8</v>
      </c>
      <c r="AA66" s="20">
        <f>SUMIF('Income Statement Source'!$C:$C,'1. Income Statement'!$AR66,'Income Statement Source'!AC:AC)/1000</f>
        <v>2.8</v>
      </c>
      <c r="AB66" s="20">
        <f>SUMIF('Income Statement Source'!$C:$C,'1. Income Statement'!$AR66,'Income Statement Source'!AD:AD)/1000</f>
        <v>2.8</v>
      </c>
      <c r="AC66" s="20">
        <f>SUMIF('Income Statement Source'!$C:$C,'1. Income Statement'!$AR66,'Income Statement Source'!AE:AE)/1000</f>
        <v>2.8</v>
      </c>
      <c r="AD66" s="22">
        <f t="shared" ref="AD66:AD68" si="441">SUM(R66:AC66)</f>
        <v>33.6</v>
      </c>
      <c r="AE66" s="20">
        <f>SUMIF('Income Statement Source'!$C:$C,'1. Income Statement'!$AR66,'Income Statement Source'!AG:AG)/1000</f>
        <v>2.8</v>
      </c>
      <c r="AF66" s="20">
        <f>SUMIF('Income Statement Source'!$C:$C,'1. Income Statement'!$AR66,'Income Statement Source'!AH:AH)/1000</f>
        <v>2.8</v>
      </c>
      <c r="AG66" s="20">
        <f>SUMIF('Income Statement Source'!$C:$C,'1. Income Statement'!$AR66,'Income Statement Source'!AI:AI)/1000</f>
        <v>2.8</v>
      </c>
      <c r="AH66" s="20">
        <f>SUMIF('Income Statement Source'!$C:$C,'1. Income Statement'!$AR66,'Income Statement Source'!AJ:AJ)/1000</f>
        <v>2.8</v>
      </c>
      <c r="AI66" s="20">
        <f>SUMIF('Income Statement Source'!$C:$C,'1. Income Statement'!$AR66,'Income Statement Source'!AK:AK)/1000</f>
        <v>2.8</v>
      </c>
      <c r="AJ66" s="20">
        <f>SUMIF('Income Statement Source'!$C:$C,'1. Income Statement'!$AR66,'Income Statement Source'!AL:AL)/1000</f>
        <v>2.8</v>
      </c>
      <c r="AK66" s="20">
        <f>SUMIF('Income Statement Source'!$C:$C,'1. Income Statement'!$AR66,'Income Statement Source'!AM:AM)/1000</f>
        <v>2.8</v>
      </c>
      <c r="AL66" s="20">
        <f>SUMIF('Income Statement Source'!$C:$C,'1. Income Statement'!$AR66,'Income Statement Source'!AN:AN)/1000</f>
        <v>2.8</v>
      </c>
      <c r="AM66" s="20">
        <f>SUMIF('Income Statement Source'!$C:$C,'1. Income Statement'!$AR66,'Income Statement Source'!AO:AO)/1000</f>
        <v>2.8</v>
      </c>
      <c r="AN66" s="20">
        <f>SUMIF('Income Statement Source'!$C:$C,'1. Income Statement'!$AR66,'Income Statement Source'!AP:AP)/1000</f>
        <v>2.8</v>
      </c>
      <c r="AO66" s="22">
        <f t="shared" ref="AO66:AO68" si="442">SUM(AE66:AN66)</f>
        <v>28.000000000000004</v>
      </c>
      <c r="AP66" s="22">
        <f t="shared" ref="AP66:AP68" si="443">SUM(AO66,AB66:AC66)</f>
        <v>33.6</v>
      </c>
      <c r="AR66" s="34" t="s">
        <v>37</v>
      </c>
    </row>
    <row r="67" spans="2:44" s="34" customFormat="1" hidden="1" outlineLevel="1" x14ac:dyDescent="0.2">
      <c r="B67" s="30" t="str">
        <f t="shared" si="439"/>
        <v>Utilities</v>
      </c>
      <c r="C67" s="4"/>
      <c r="D67" s="4"/>
      <c r="E67" s="20">
        <f>SUMIF('Income Statement Source'!$C:$C,'1. Income Statement'!$AR67,'Income Statement Source'!G:G)/1000</f>
        <v>0.87148999999999999</v>
      </c>
      <c r="F67" s="20">
        <f>SUMIF('Income Statement Source'!$C:$C,'1. Income Statement'!$AR67,'Income Statement Source'!H:H)/1000</f>
        <v>0.80398000000000003</v>
      </c>
      <c r="G67" s="20">
        <f>SUMIF('Income Statement Source'!$C:$C,'1. Income Statement'!$AR67,'Income Statement Source'!I:I)/1000</f>
        <v>0.89925999999999995</v>
      </c>
      <c r="H67" s="20">
        <f>SUMIF('Income Statement Source'!$C:$C,'1. Income Statement'!$AR67,'Income Statement Source'!J:J)/1000</f>
        <v>0.88227999999999995</v>
      </c>
      <c r="I67" s="20">
        <f>SUMIF('Income Statement Source'!$C:$C,'1. Income Statement'!$AR67,'Income Statement Source'!K:K)/1000</f>
        <v>0.81494000000000011</v>
      </c>
      <c r="J67" s="20">
        <f>SUMIF('Income Statement Source'!$C:$C,'1. Income Statement'!$AR67,'Income Statement Source'!L:L)/1000</f>
        <v>0.84105999999999992</v>
      </c>
      <c r="K67" s="20">
        <f>SUMIF('Income Statement Source'!$C:$C,'1. Income Statement'!$AR67,'Income Statement Source'!M:M)/1000</f>
        <v>0.87224999999999997</v>
      </c>
      <c r="L67" s="20">
        <f>SUMIF('Income Statement Source'!$C:$C,'1. Income Statement'!$AR67,'Income Statement Source'!N:N)/1000</f>
        <v>0.87017</v>
      </c>
      <c r="M67" s="20">
        <f>SUMIF('Income Statement Source'!$C:$C,'1. Income Statement'!$AR67,'Income Statement Source'!O:O)/1000</f>
        <v>0.87802000000000002</v>
      </c>
      <c r="N67" s="20">
        <f>SUMIF('Income Statement Source'!$C:$C,'1. Income Statement'!$AR67,'Income Statement Source'!P:P)/1000</f>
        <v>0.78655999999999993</v>
      </c>
      <c r="O67" s="20">
        <f>SUMIF('Income Statement Source'!$C:$C,'1. Income Statement'!$AR67,'Income Statement Source'!Q:Q)/1000</f>
        <v>0.90078000000000003</v>
      </c>
      <c r="P67" s="20">
        <f>SUMIF('Income Statement Source'!$C:$C,'1. Income Statement'!$AR67,'Income Statement Source'!R:R)/1000</f>
        <v>0.88361999999999996</v>
      </c>
      <c r="Q67" s="22">
        <f t="shared" si="440"/>
        <v>10.304409999999999</v>
      </c>
      <c r="R67" s="20">
        <f>SUMIF('Income Statement Source'!$C:$C,'1. Income Statement'!$AR67,'Income Statement Source'!T:T)/1000</f>
        <v>0.90994000000000008</v>
      </c>
      <c r="S67" s="20">
        <f>SUMIF('Income Statement Source'!$C:$C,'1. Income Statement'!$AR67,'Income Statement Source'!U:U)/1000</f>
        <v>0.79657</v>
      </c>
      <c r="T67" s="20">
        <f>SUMIF('Income Statement Source'!$C:$C,'1. Income Statement'!$AR67,'Income Statement Source'!V:V)/1000</f>
        <v>0.82752999999999999</v>
      </c>
      <c r="U67" s="20">
        <f>SUMIF('Income Statement Source'!$C:$C,'1. Income Statement'!$AR67,'Income Statement Source'!W:W)/1000</f>
        <v>0.86438000000000004</v>
      </c>
      <c r="V67" s="20">
        <f>SUMIF('Income Statement Source'!$C:$C,'1. Income Statement'!$AR67,'Income Statement Source'!X:X)/1000</f>
        <v>0.87612999999999996</v>
      </c>
      <c r="W67" s="20">
        <f>SUMIF('Income Statement Source'!$C:$C,'1. Income Statement'!$AR67,'Income Statement Source'!Y:Y)/1000</f>
        <v>0.86978</v>
      </c>
      <c r="X67" s="20">
        <f>SUMIF('Income Statement Source'!$C:$C,'1. Income Statement'!$AR67,'Income Statement Source'!Z:Z)/1000</f>
        <v>0.80796000000000001</v>
      </c>
      <c r="Y67" s="20">
        <f>SUMIF('Income Statement Source'!$C:$C,'1. Income Statement'!$AR67,'Income Statement Source'!AA:AA)/1000</f>
        <v>0.81738</v>
      </c>
      <c r="Z67" s="20">
        <f>SUMIF('Income Statement Source'!$C:$C,'1. Income Statement'!$AR67,'Income Statement Source'!AB:AB)/1000</f>
        <v>0.90971999999999997</v>
      </c>
      <c r="AA67" s="20">
        <f>SUMIF('Income Statement Source'!$C:$C,'1. Income Statement'!$AR67,'Income Statement Source'!AC:AC)/1000</f>
        <v>0.91136000000000006</v>
      </c>
      <c r="AB67" s="20">
        <f>SUMIF('Income Statement Source'!$C:$C,'1. Income Statement'!$AR67,'Income Statement Source'!AD:AD)/1000</f>
        <v>0.86660000000000004</v>
      </c>
      <c r="AC67" s="20">
        <f>SUMIF('Income Statement Source'!$C:$C,'1. Income Statement'!$AR67,'Income Statement Source'!AE:AE)/1000</f>
        <v>0.8763200000000001</v>
      </c>
      <c r="AD67" s="22">
        <f t="shared" si="441"/>
        <v>10.33367</v>
      </c>
      <c r="AE67" s="20">
        <f>SUMIF('Income Statement Source'!$C:$C,'1. Income Statement'!$AR67,'Income Statement Source'!AG:AG)/1000</f>
        <v>0.87182000000000004</v>
      </c>
      <c r="AF67" s="20">
        <f>SUMIF('Income Statement Source'!$C:$C,'1. Income Statement'!$AR67,'Income Statement Source'!AH:AH)/1000</f>
        <v>0.82802999999999993</v>
      </c>
      <c r="AG67" s="20">
        <f>SUMIF('Income Statement Source'!$C:$C,'1. Income Statement'!$AR67,'Income Statement Source'!AI:AI)/1000</f>
        <v>0.80057</v>
      </c>
      <c r="AH67" s="20">
        <f>SUMIF('Income Statement Source'!$C:$C,'1. Income Statement'!$AR67,'Income Statement Source'!AJ:AJ)/1000</f>
        <v>0.86682000000000003</v>
      </c>
      <c r="AI67" s="20">
        <f>SUMIF('Income Statement Source'!$C:$C,'1. Income Statement'!$AR67,'Income Statement Source'!AK:AK)/1000</f>
        <v>0.84344000000000008</v>
      </c>
      <c r="AJ67" s="20">
        <f>SUMIF('Income Statement Source'!$C:$C,'1. Income Statement'!$AR67,'Income Statement Source'!AL:AL)/1000</f>
        <v>0.89382000000000006</v>
      </c>
      <c r="AK67" s="20">
        <f>SUMIF('Income Statement Source'!$C:$C,'1. Income Statement'!$AR67,'Income Statement Source'!AM:AM)/1000</f>
        <v>0.78783999999999998</v>
      </c>
      <c r="AL67" s="20">
        <f>SUMIF('Income Statement Source'!$C:$C,'1. Income Statement'!$AR67,'Income Statement Source'!AN:AN)/1000</f>
        <v>0.79258000000000006</v>
      </c>
      <c r="AM67" s="20">
        <f>SUMIF('Income Statement Source'!$C:$C,'1. Income Statement'!$AR67,'Income Statement Source'!AO:AO)/1000</f>
        <v>0.7924500000000001</v>
      </c>
      <c r="AN67" s="20">
        <f>SUMIF('Income Statement Source'!$C:$C,'1. Income Statement'!$AR67,'Income Statement Source'!AP:AP)/1000</f>
        <v>0.83150000000000002</v>
      </c>
      <c r="AO67" s="22">
        <f t="shared" si="442"/>
        <v>8.3088700000000006</v>
      </c>
      <c r="AP67" s="22">
        <f t="shared" si="443"/>
        <v>10.05179</v>
      </c>
      <c r="AR67" s="34" t="s">
        <v>38</v>
      </c>
    </row>
    <row r="68" spans="2:44" s="34" customFormat="1" hidden="1" outlineLevel="1" x14ac:dyDescent="0.2">
      <c r="B68" s="30" t="str">
        <f t="shared" si="439"/>
        <v>Telephone &amp; Internet</v>
      </c>
      <c r="C68" s="4"/>
      <c r="D68" s="4"/>
      <c r="E68" s="20">
        <f>SUMIF('Income Statement Source'!$C:$C,'1. Income Statement'!$AR68,'Income Statement Source'!G:G)/1000</f>
        <v>0.67430999999999996</v>
      </c>
      <c r="F68" s="20">
        <f>SUMIF('Income Statement Source'!$C:$C,'1. Income Statement'!$AR68,'Income Statement Source'!H:H)/1000</f>
        <v>0.66877999999999993</v>
      </c>
      <c r="G68" s="20">
        <f>SUMIF('Income Statement Source'!$C:$C,'1. Income Statement'!$AR68,'Income Statement Source'!I:I)/1000</f>
        <v>0.70047999999999999</v>
      </c>
      <c r="H68" s="20">
        <f>SUMIF('Income Statement Source'!$C:$C,'1. Income Statement'!$AR68,'Income Statement Source'!J:J)/1000</f>
        <v>0.68497000000000008</v>
      </c>
      <c r="I68" s="20">
        <f>SUMIF('Income Statement Source'!$C:$C,'1. Income Statement'!$AR68,'Income Statement Source'!K:K)/1000</f>
        <v>0.67498999999999998</v>
      </c>
      <c r="J68" s="20">
        <f>SUMIF('Income Statement Source'!$C:$C,'1. Income Statement'!$AR68,'Income Statement Source'!L:L)/1000</f>
        <v>0.68780999999999992</v>
      </c>
      <c r="K68" s="20">
        <f>SUMIF('Income Statement Source'!$C:$C,'1. Income Statement'!$AR68,'Income Statement Source'!M:M)/1000</f>
        <v>0.68167</v>
      </c>
      <c r="L68" s="20">
        <f>SUMIF('Income Statement Source'!$C:$C,'1. Income Statement'!$AR68,'Income Statement Source'!N:N)/1000</f>
        <v>0.68054999999999999</v>
      </c>
      <c r="M68" s="20">
        <f>SUMIF('Income Statement Source'!$C:$C,'1. Income Statement'!$AR68,'Income Statement Source'!O:O)/1000</f>
        <v>0.67645</v>
      </c>
      <c r="N68" s="20">
        <f>SUMIF('Income Statement Source'!$C:$C,'1. Income Statement'!$AR68,'Income Statement Source'!P:P)/1000</f>
        <v>0.67183999999999999</v>
      </c>
      <c r="O68" s="20">
        <f>SUMIF('Income Statement Source'!$C:$C,'1. Income Statement'!$AR68,'Income Statement Source'!Q:Q)/1000</f>
        <v>0.65271000000000001</v>
      </c>
      <c r="P68" s="20">
        <f>SUMIF('Income Statement Source'!$C:$C,'1. Income Statement'!$AR68,'Income Statement Source'!R:R)/1000</f>
        <v>0.69752999999999998</v>
      </c>
      <c r="Q68" s="22">
        <f t="shared" si="440"/>
        <v>8.1520899999999994</v>
      </c>
      <c r="R68" s="20">
        <f>SUMIF('Income Statement Source'!$C:$C,'1. Income Statement'!$AR68,'Income Statement Source'!T:T)/1000</f>
        <v>0.66247</v>
      </c>
      <c r="S68" s="20">
        <f>SUMIF('Income Statement Source'!$C:$C,'1. Income Statement'!$AR68,'Income Statement Source'!U:U)/1000</f>
        <v>0.67813000000000001</v>
      </c>
      <c r="T68" s="20">
        <f>SUMIF('Income Statement Source'!$C:$C,'1. Income Statement'!$AR68,'Income Statement Source'!V:V)/1000</f>
        <v>0.64824999999999999</v>
      </c>
      <c r="U68" s="20">
        <f>SUMIF('Income Statement Source'!$C:$C,'1. Income Statement'!$AR68,'Income Statement Source'!W:W)/1000</f>
        <v>0.70486000000000004</v>
      </c>
      <c r="V68" s="20">
        <f>SUMIF('Income Statement Source'!$C:$C,'1. Income Statement'!$AR68,'Income Statement Source'!X:X)/1000</f>
        <v>0.67486999999999997</v>
      </c>
      <c r="W68" s="20">
        <f>SUMIF('Income Statement Source'!$C:$C,'1. Income Statement'!$AR68,'Income Statement Source'!Y:Y)/1000</f>
        <v>0.65745000000000009</v>
      </c>
      <c r="X68" s="20">
        <f>SUMIF('Income Statement Source'!$C:$C,'1. Income Statement'!$AR68,'Income Statement Source'!Z:Z)/1000</f>
        <v>0.70317999999999992</v>
      </c>
      <c r="Y68" s="20">
        <f>SUMIF('Income Statement Source'!$C:$C,'1. Income Statement'!$AR68,'Income Statement Source'!AA:AA)/1000</f>
        <v>0.68164999999999998</v>
      </c>
      <c r="Z68" s="20">
        <f>SUMIF('Income Statement Source'!$C:$C,'1. Income Statement'!$AR68,'Income Statement Source'!AB:AB)/1000</f>
        <v>0.65045000000000008</v>
      </c>
      <c r="AA68" s="20">
        <f>SUMIF('Income Statement Source'!$C:$C,'1. Income Statement'!$AR68,'Income Statement Source'!AC:AC)/1000</f>
        <v>0.67664000000000002</v>
      </c>
      <c r="AB68" s="20">
        <f>SUMIF('Income Statement Source'!$C:$C,'1. Income Statement'!$AR68,'Income Statement Source'!AD:AD)/1000</f>
        <v>0.69273000000000007</v>
      </c>
      <c r="AC68" s="20">
        <f>SUMIF('Income Statement Source'!$C:$C,'1. Income Statement'!$AR68,'Income Statement Source'!AE:AE)/1000</f>
        <v>0.65095000000000003</v>
      </c>
      <c r="AD68" s="22">
        <f t="shared" si="441"/>
        <v>8.0816300000000005</v>
      </c>
      <c r="AE68" s="20">
        <f>SUMIF('Income Statement Source'!$C:$C,'1. Income Statement'!$AR68,'Income Statement Source'!AG:AG)/1000</f>
        <v>0.66488999999999998</v>
      </c>
      <c r="AF68" s="20">
        <f>SUMIF('Income Statement Source'!$C:$C,'1. Income Statement'!$AR68,'Income Statement Source'!AH:AH)/1000</f>
        <v>0.68980999999999992</v>
      </c>
      <c r="AG68" s="20">
        <f>SUMIF('Income Statement Source'!$C:$C,'1. Income Statement'!$AR68,'Income Statement Source'!AI:AI)/1000</f>
        <v>0.66300000000000003</v>
      </c>
      <c r="AH68" s="20">
        <f>SUMIF('Income Statement Source'!$C:$C,'1. Income Statement'!$AR68,'Income Statement Source'!AJ:AJ)/1000</f>
        <v>0.68425000000000002</v>
      </c>
      <c r="AI68" s="20">
        <f>SUMIF('Income Statement Source'!$C:$C,'1. Income Statement'!$AR68,'Income Statement Source'!AK:AK)/1000</f>
        <v>0.66910999999999998</v>
      </c>
      <c r="AJ68" s="20">
        <f>SUMIF('Income Statement Source'!$C:$C,'1. Income Statement'!$AR68,'Income Statement Source'!AL:AL)/1000</f>
        <v>0.68476999999999999</v>
      </c>
      <c r="AK68" s="20">
        <f>SUMIF('Income Statement Source'!$C:$C,'1. Income Statement'!$AR68,'Income Statement Source'!AM:AM)/1000</f>
        <v>0.68303999999999998</v>
      </c>
      <c r="AL68" s="20">
        <f>SUMIF('Income Statement Source'!$C:$C,'1. Income Statement'!$AR68,'Income Statement Source'!AN:AN)/1000</f>
        <v>0.65828999999999993</v>
      </c>
      <c r="AM68" s="20">
        <f>SUMIF('Income Statement Source'!$C:$C,'1. Income Statement'!$AR68,'Income Statement Source'!AO:AO)/1000</f>
        <v>0.71002999999999994</v>
      </c>
      <c r="AN68" s="20">
        <f>SUMIF('Income Statement Source'!$C:$C,'1. Income Statement'!$AR68,'Income Statement Source'!AP:AP)/1000</f>
        <v>0.70608000000000004</v>
      </c>
      <c r="AO68" s="22">
        <f t="shared" si="442"/>
        <v>6.8132699999999993</v>
      </c>
      <c r="AP68" s="22">
        <f t="shared" si="443"/>
        <v>8.1569500000000001</v>
      </c>
      <c r="AR68" s="34" t="s">
        <v>39</v>
      </c>
    </row>
    <row r="69" spans="2:44" s="34" customFormat="1" hidden="1" outlineLevel="1" x14ac:dyDescent="0.2">
      <c r="B69" s="30" t="str">
        <f t="shared" si="434"/>
        <v>Office Supplies</v>
      </c>
      <c r="C69" s="4"/>
      <c r="D69" s="4"/>
      <c r="E69" s="31">
        <f>SUMIF('Income Statement Source'!$C:$C,'1. Income Statement'!$AR69,'Income Statement Source'!G:G)/1000</f>
        <v>0.45143</v>
      </c>
      <c r="F69" s="31">
        <f>SUMIF('Income Statement Source'!$C:$C,'1. Income Statement'!$AR69,'Income Statement Source'!H:H)/1000</f>
        <v>0.46718999999999999</v>
      </c>
      <c r="G69" s="31">
        <f>SUMIF('Income Statement Source'!$C:$C,'1. Income Statement'!$AR69,'Income Statement Source'!I:I)/1000</f>
        <v>0.40597000000000005</v>
      </c>
      <c r="H69" s="31">
        <f>SUMIF('Income Statement Source'!$C:$C,'1. Income Statement'!$AR69,'Income Statement Source'!J:J)/1000</f>
        <v>0.40749000000000002</v>
      </c>
      <c r="I69" s="31">
        <f>SUMIF('Income Statement Source'!$C:$C,'1. Income Statement'!$AR69,'Income Statement Source'!K:K)/1000</f>
        <v>0.41949999999999998</v>
      </c>
      <c r="J69" s="31">
        <f>SUMIF('Income Statement Source'!$C:$C,'1. Income Statement'!$AR69,'Income Statement Source'!L:L)/1000</f>
        <v>0.37892000000000003</v>
      </c>
      <c r="K69" s="31">
        <f>SUMIF('Income Statement Source'!$C:$C,'1. Income Statement'!$AR69,'Income Statement Source'!M:M)/1000</f>
        <v>0.40161000000000002</v>
      </c>
      <c r="L69" s="31">
        <f>SUMIF('Income Statement Source'!$C:$C,'1. Income Statement'!$AR69,'Income Statement Source'!N:N)/1000</f>
        <v>0.39388000000000001</v>
      </c>
      <c r="M69" s="31">
        <f>SUMIF('Income Statement Source'!$C:$C,'1. Income Statement'!$AR69,'Income Statement Source'!O:O)/1000</f>
        <v>0.45205000000000001</v>
      </c>
      <c r="N69" s="31">
        <f>SUMIF('Income Statement Source'!$C:$C,'1. Income Statement'!$AR69,'Income Statement Source'!P:P)/1000</f>
        <v>0.46912999999999999</v>
      </c>
      <c r="O69" s="31">
        <f>SUMIF('Income Statement Source'!$C:$C,'1. Income Statement'!$AR69,'Income Statement Source'!Q:Q)/1000</f>
        <v>0.46351999999999999</v>
      </c>
      <c r="P69" s="31">
        <f>SUMIF('Income Statement Source'!$C:$C,'1. Income Statement'!$AR69,'Income Statement Source'!R:R)/1000</f>
        <v>0.41954000000000002</v>
      </c>
      <c r="Q69" s="32">
        <f t="shared" si="435"/>
        <v>5.1302299999999992</v>
      </c>
      <c r="R69" s="31">
        <f>SUMIF('Income Statement Source'!$C:$C,'1. Income Statement'!$AR69,'Income Statement Source'!T:T)/1000</f>
        <v>0.37001999999999996</v>
      </c>
      <c r="S69" s="31">
        <f>SUMIF('Income Statement Source'!$C:$C,'1. Income Statement'!$AR69,'Income Statement Source'!U:U)/1000</f>
        <v>0.44004000000000004</v>
      </c>
      <c r="T69" s="31">
        <f>SUMIF('Income Statement Source'!$C:$C,'1. Income Statement'!$AR69,'Income Statement Source'!V:V)/1000</f>
        <v>0.39277000000000001</v>
      </c>
      <c r="U69" s="31">
        <f>SUMIF('Income Statement Source'!$C:$C,'1. Income Statement'!$AR69,'Income Statement Source'!W:W)/1000</f>
        <v>0.44302999999999998</v>
      </c>
      <c r="V69" s="31">
        <f>SUMIF('Income Statement Source'!$C:$C,'1. Income Statement'!$AR69,'Income Statement Source'!X:X)/1000</f>
        <v>0.40422000000000002</v>
      </c>
      <c r="W69" s="31">
        <f>SUMIF('Income Statement Source'!$C:$C,'1. Income Statement'!$AR69,'Income Statement Source'!Y:Y)/1000</f>
        <v>0.46048</v>
      </c>
      <c r="X69" s="31">
        <f>SUMIF('Income Statement Source'!$C:$C,'1. Income Statement'!$AR69,'Income Statement Source'!Z:Z)/1000</f>
        <v>0.41102999999999995</v>
      </c>
      <c r="Y69" s="31">
        <f>SUMIF('Income Statement Source'!$C:$C,'1. Income Statement'!$AR69,'Income Statement Source'!AA:AA)/1000</f>
        <v>0.43432999999999999</v>
      </c>
      <c r="Z69" s="31">
        <f>SUMIF('Income Statement Source'!$C:$C,'1. Income Statement'!$AR69,'Income Statement Source'!AB:AB)/1000</f>
        <v>0.42847000000000002</v>
      </c>
      <c r="AA69" s="31">
        <f>SUMIF('Income Statement Source'!$C:$C,'1. Income Statement'!$AR69,'Income Statement Source'!AC:AC)/1000</f>
        <v>0.44161</v>
      </c>
      <c r="AB69" s="31">
        <f>SUMIF('Income Statement Source'!$C:$C,'1. Income Statement'!$AR69,'Income Statement Source'!AD:AD)/1000</f>
        <v>0.40844000000000003</v>
      </c>
      <c r="AC69" s="31">
        <f>SUMIF('Income Statement Source'!$C:$C,'1. Income Statement'!$AR69,'Income Statement Source'!AE:AE)/1000</f>
        <v>0.39954000000000001</v>
      </c>
      <c r="AD69" s="32">
        <f t="shared" si="436"/>
        <v>5.0339799999999997</v>
      </c>
      <c r="AE69" s="31">
        <f>SUMIF('Income Statement Source'!$C:$C,'1. Income Statement'!$AR69,'Income Statement Source'!AG:AG)/1000</f>
        <v>0.37792000000000003</v>
      </c>
      <c r="AF69" s="31">
        <f>SUMIF('Income Statement Source'!$C:$C,'1. Income Statement'!$AR69,'Income Statement Source'!AH:AH)/1000</f>
        <v>0.38677999999999996</v>
      </c>
      <c r="AG69" s="31">
        <f>SUMIF('Income Statement Source'!$C:$C,'1. Income Statement'!$AR69,'Income Statement Source'!AI:AI)/1000</f>
        <v>0.40543000000000001</v>
      </c>
      <c r="AH69" s="31">
        <f>SUMIF('Income Statement Source'!$C:$C,'1. Income Statement'!$AR69,'Income Statement Source'!AJ:AJ)/1000</f>
        <v>0.39468999999999999</v>
      </c>
      <c r="AI69" s="31">
        <f>SUMIF('Income Statement Source'!$C:$C,'1. Income Statement'!$AR69,'Income Statement Source'!AK:AK)/1000</f>
        <v>0.39345999999999998</v>
      </c>
      <c r="AJ69" s="31">
        <f>SUMIF('Income Statement Source'!$C:$C,'1. Income Statement'!$AR69,'Income Statement Source'!AL:AL)/1000</f>
        <v>0.45341999999999999</v>
      </c>
      <c r="AK69" s="31">
        <f>SUMIF('Income Statement Source'!$C:$C,'1. Income Statement'!$AR69,'Income Statement Source'!AM:AM)/1000</f>
        <v>0.41549999999999998</v>
      </c>
      <c r="AL69" s="31">
        <f>SUMIF('Income Statement Source'!$C:$C,'1. Income Statement'!$AR69,'Income Statement Source'!AN:AN)/1000</f>
        <v>0.40694999999999998</v>
      </c>
      <c r="AM69" s="31">
        <f>SUMIF('Income Statement Source'!$C:$C,'1. Income Statement'!$AR69,'Income Statement Source'!AO:AO)/1000</f>
        <v>0.42277999999999999</v>
      </c>
      <c r="AN69" s="31">
        <f>SUMIF('Income Statement Source'!$C:$C,'1. Income Statement'!$AR69,'Income Statement Source'!AP:AP)/1000</f>
        <v>0.45256999999999997</v>
      </c>
      <c r="AO69" s="32">
        <f t="shared" si="437"/>
        <v>4.1094999999999997</v>
      </c>
      <c r="AP69" s="32">
        <f t="shared" si="438"/>
        <v>4.9174799999999994</v>
      </c>
      <c r="AR69" s="34" t="s">
        <v>44</v>
      </c>
    </row>
    <row r="70" spans="2:44" collapsed="1" x14ac:dyDescent="0.2">
      <c r="B70" s="27" t="str">
        <f>+B64</f>
        <v>Facilities</v>
      </c>
      <c r="C70" s="10"/>
      <c r="D70" s="10"/>
      <c r="E70" s="19">
        <f>SUM(E65:E69)</f>
        <v>7.9972300000000001</v>
      </c>
      <c r="F70" s="19">
        <f t="shared" ref="F70:AP70" si="444">SUM(F65:F69)</f>
        <v>7.9399499999999996</v>
      </c>
      <c r="G70" s="19">
        <f t="shared" si="444"/>
        <v>8.0057100000000005</v>
      </c>
      <c r="H70" s="19">
        <f t="shared" si="444"/>
        <v>7.9747399999999997</v>
      </c>
      <c r="I70" s="19">
        <f t="shared" si="444"/>
        <v>7.9094300000000004</v>
      </c>
      <c r="J70" s="19">
        <f t="shared" si="444"/>
        <v>7.9077899999999994</v>
      </c>
      <c r="K70" s="19">
        <f t="shared" si="444"/>
        <v>7.9555299999999995</v>
      </c>
      <c r="L70" s="19">
        <f t="shared" si="444"/>
        <v>7.9446000000000003</v>
      </c>
      <c r="M70" s="19">
        <f t="shared" si="444"/>
        <v>8.0065200000000001</v>
      </c>
      <c r="N70" s="19">
        <f t="shared" si="444"/>
        <v>7.9275299999999991</v>
      </c>
      <c r="O70" s="19">
        <f t="shared" si="444"/>
        <v>8.0170100000000009</v>
      </c>
      <c r="P70" s="19">
        <f t="shared" si="444"/>
        <v>8.0006899999999987</v>
      </c>
      <c r="Q70" s="21">
        <f t="shared" si="444"/>
        <v>95.586730000000003</v>
      </c>
      <c r="R70" s="19">
        <f t="shared" si="444"/>
        <v>7.9424299999999999</v>
      </c>
      <c r="S70" s="19">
        <f t="shared" si="444"/>
        <v>7.9147400000000001</v>
      </c>
      <c r="T70" s="19">
        <f t="shared" si="444"/>
        <v>7.8685499999999999</v>
      </c>
      <c r="U70" s="19">
        <f t="shared" si="444"/>
        <v>8.0122699999999991</v>
      </c>
      <c r="V70" s="19">
        <f t="shared" si="444"/>
        <v>7.9552200000000006</v>
      </c>
      <c r="W70" s="19">
        <f t="shared" si="444"/>
        <v>7.9877099999999999</v>
      </c>
      <c r="X70" s="19">
        <f t="shared" si="444"/>
        <v>7.9221699999999995</v>
      </c>
      <c r="Y70" s="19">
        <f t="shared" si="444"/>
        <v>7.9333600000000004</v>
      </c>
      <c r="Z70" s="19">
        <f t="shared" si="444"/>
        <v>7.9886400000000002</v>
      </c>
      <c r="AA70" s="19">
        <f t="shared" si="444"/>
        <v>8.0296099999999999</v>
      </c>
      <c r="AB70" s="19">
        <f t="shared" si="444"/>
        <v>7.9677699999999998</v>
      </c>
      <c r="AC70" s="19">
        <f t="shared" si="444"/>
        <v>7.9268099999999997</v>
      </c>
      <c r="AD70" s="21">
        <f t="shared" si="444"/>
        <v>95.449280000000002</v>
      </c>
      <c r="AE70" s="19">
        <f t="shared" si="444"/>
        <v>7.9146299999999989</v>
      </c>
      <c r="AF70" s="19">
        <f t="shared" si="444"/>
        <v>7.9046199999999995</v>
      </c>
      <c r="AG70" s="19">
        <f t="shared" si="444"/>
        <v>7.8690000000000007</v>
      </c>
      <c r="AH70" s="19">
        <f t="shared" si="444"/>
        <v>7.945759999999999</v>
      </c>
      <c r="AI70" s="19">
        <f t="shared" si="444"/>
        <v>7.9060100000000002</v>
      </c>
      <c r="AJ70" s="19">
        <f t="shared" si="444"/>
        <v>8.0320099999999996</v>
      </c>
      <c r="AK70" s="19">
        <f t="shared" si="444"/>
        <v>7.8863799999999999</v>
      </c>
      <c r="AL70" s="19">
        <f t="shared" si="444"/>
        <v>7.8578200000000002</v>
      </c>
      <c r="AM70" s="19">
        <f t="shared" si="444"/>
        <v>7.9252600000000006</v>
      </c>
      <c r="AN70" s="19">
        <f t="shared" si="444"/>
        <v>7.9901499999999999</v>
      </c>
      <c r="AO70" s="21">
        <f t="shared" si="444"/>
        <v>79.231639999999999</v>
      </c>
      <c r="AP70" s="21">
        <f t="shared" si="444"/>
        <v>95.126219999999989</v>
      </c>
    </row>
    <row r="71" spans="2:44" x14ac:dyDescent="0.2">
      <c r="B71" s="28"/>
      <c r="C71" s="10"/>
      <c r="D71" s="10"/>
      <c r="E71" s="45">
        <f>IFERROR(E70/E$19,0)</f>
        <v>4.2095997168484736E-2</v>
      </c>
      <c r="F71" s="45">
        <f t="shared" ref="F71" si="445">IFERROR(F70/F$19,0)</f>
        <v>3.4934702054833393E-2</v>
      </c>
      <c r="G71" s="45">
        <f t="shared" ref="G71" si="446">IFERROR(G70/G$19,0)</f>
        <v>2.6025051466029687E-2</v>
      </c>
      <c r="H71" s="45">
        <f t="shared" ref="H71" si="447">IFERROR(H70/H$19,0)</f>
        <v>3.0832902528546691E-2</v>
      </c>
      <c r="I71" s="45">
        <f t="shared" ref="I71" si="448">IFERROR(I70/I$19,0)</f>
        <v>2.9102645584334015E-2</v>
      </c>
      <c r="J71" s="45">
        <f t="shared" ref="J71" si="449">IFERROR(J70/J$19,0)</f>
        <v>2.1473674674802181E-2</v>
      </c>
      <c r="K71" s="45">
        <f t="shared" ref="K71" si="450">IFERROR(K70/K$19,0)</f>
        <v>2.629956919514365E-2</v>
      </c>
      <c r="L71" s="45">
        <f t="shared" ref="L71" si="451">IFERROR(L70/L$19,0)</f>
        <v>2.8657837732487822E-2</v>
      </c>
      <c r="M71" s="45">
        <f t="shared" ref="M71" si="452">IFERROR(M70/M$19,0)</f>
        <v>2.2599408428478636E-2</v>
      </c>
      <c r="N71" s="45">
        <f t="shared" ref="N71" si="453">IFERROR(N70/N$19,0)</f>
        <v>2.9673890511375676E-2</v>
      </c>
      <c r="O71" s="45">
        <f t="shared" ref="O71" si="454">IFERROR(O70/O$19,0)</f>
        <v>3.5584945735799615E-2</v>
      </c>
      <c r="P71" s="45">
        <f t="shared" ref="P71" si="455">IFERROR(P70/P$19,0)</f>
        <v>2.3594448068173582E-2</v>
      </c>
      <c r="Q71" s="46">
        <f t="shared" ref="Q71" si="456">IFERROR(Q70/Q$19,0)</f>
        <v>2.8204281770065676E-2</v>
      </c>
      <c r="R71" s="45">
        <f t="shared" ref="R71" si="457">IFERROR(R70/R$19,0)</f>
        <v>3.9220483973927044E-2</v>
      </c>
      <c r="S71" s="45">
        <f t="shared" ref="S71" si="458">IFERROR(S70/S$19,0)</f>
        <v>3.0652249399076122E-2</v>
      </c>
      <c r="T71" s="45">
        <f t="shared" ref="T71" si="459">IFERROR(T70/T$19,0)</f>
        <v>2.2298394576801914E-2</v>
      </c>
      <c r="U71" s="45">
        <f t="shared" ref="U71" si="460">IFERROR(U70/U$19,0)</f>
        <v>2.5061863525735664E-2</v>
      </c>
      <c r="V71" s="45">
        <f t="shared" ref="V71" si="461">IFERROR(V70/V$19,0)</f>
        <v>2.3394779470673862E-2</v>
      </c>
      <c r="W71" s="45">
        <f t="shared" ref="W71" si="462">IFERROR(W70/W$19,0)</f>
        <v>1.8251440729139083E-2</v>
      </c>
      <c r="X71" s="45">
        <f t="shared" ref="X71" si="463">IFERROR(X70/X$19,0)</f>
        <v>2.1347468456639443E-2</v>
      </c>
      <c r="Y71" s="45">
        <f t="shared" ref="Y71" si="464">IFERROR(Y70/Y$19,0)</f>
        <v>2.0817701522501859E-2</v>
      </c>
      <c r="Z71" s="45">
        <f t="shared" ref="Z71" si="465">IFERROR(Z70/Z$19,0)</f>
        <v>2.0066795372236233E-2</v>
      </c>
      <c r="AA71" s="45">
        <f t="shared" ref="AA71" si="466">IFERROR(AA70/AA$19,0)</f>
        <v>2.6301091902083518E-2</v>
      </c>
      <c r="AB71" s="45">
        <f t="shared" ref="AB71" si="467">IFERROR(AB70/AB$19,0)</f>
        <v>2.7221926637591522E-2</v>
      </c>
      <c r="AC71" s="45">
        <f t="shared" ref="AC71" si="468">IFERROR(AC70/AC$19,0)</f>
        <v>2.030378385334328E-2</v>
      </c>
      <c r="AD71" s="46">
        <f t="shared" ref="AD71" si="469">IFERROR(AD70/AD$19,0)</f>
        <v>2.3569574454037248E-2</v>
      </c>
      <c r="AE71" s="45">
        <f t="shared" ref="AE71" si="470">IFERROR(AE70/AE$19,0)</f>
        <v>3.7254588341795347E-2</v>
      </c>
      <c r="AF71" s="45">
        <f t="shared" ref="AF71" si="471">IFERROR(AF70/AF$19,0)</f>
        <v>2.7975141874055132E-2</v>
      </c>
      <c r="AG71" s="45">
        <f t="shared" ref="AG71" si="472">IFERROR(AG70/AG$19,0)</f>
        <v>2.0618409753333178E-2</v>
      </c>
      <c r="AH71" s="45">
        <f t="shared" ref="AH71" si="473">IFERROR(AH70/AH$19,0)</f>
        <v>2.2771567455082683E-2</v>
      </c>
      <c r="AI71" s="45">
        <f t="shared" ref="AI71" si="474">IFERROR(AI70/AI$19,0)</f>
        <v>2.2869251453841541E-2</v>
      </c>
      <c r="AJ71" s="45">
        <f t="shared" ref="AJ71" si="475">IFERROR(AJ70/AJ$19,0)</f>
        <v>1.7003060970546723E-2</v>
      </c>
      <c r="AK71" s="45">
        <f t="shared" ref="AK71" si="476">IFERROR(AK70/AK$19,0)</f>
        <v>2.0481255671613876E-2</v>
      </c>
      <c r="AL71" s="45">
        <f t="shared" ref="AL71" si="477">IFERROR(AL70/AL$19,0)</f>
        <v>2.2200937438964032E-2</v>
      </c>
      <c r="AM71" s="45">
        <f t="shared" ref="AM71" si="478">IFERROR(AM70/AM$19,0)</f>
        <v>1.81259834595821E-2</v>
      </c>
      <c r="AN71" s="45">
        <f t="shared" ref="AN71" si="479">IFERROR(AN70/AN$19,0)</f>
        <v>2.3621498577681373E-2</v>
      </c>
      <c r="AO71" s="46">
        <f t="shared" ref="AO71" si="480">IFERROR(AO70/AO$19,0)</f>
        <v>2.2267566839694327E-2</v>
      </c>
      <c r="AP71" s="46">
        <f t="shared" ref="AP71" si="481">IFERROR(AP70/AP$19,0)</f>
        <v>2.2428708091458981E-2</v>
      </c>
    </row>
    <row r="72" spans="2:44" s="34" customFormat="1" hidden="1" outlineLevel="1" x14ac:dyDescent="0.2">
      <c r="B72" s="33" t="s">
        <v>98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2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2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2"/>
      <c r="AP72" s="52"/>
    </row>
    <row r="73" spans="2:44" s="34" customFormat="1" hidden="1" outlineLevel="1" x14ac:dyDescent="0.2">
      <c r="B73" s="30" t="str">
        <f t="shared" ref="B73:B76" si="482">+AR73</f>
        <v>Vehicle Lease Payments</v>
      </c>
      <c r="C73" s="4"/>
      <c r="D73" s="4"/>
      <c r="E73" s="20">
        <f>SUMIF('Income Statement Source'!$C:$C,'1. Income Statement'!$AR73,'Income Statement Source'!G:G)/1000</f>
        <v>2.39045</v>
      </c>
      <c r="F73" s="20">
        <f>SUMIF('Income Statement Source'!$C:$C,'1. Income Statement'!$AR73,'Income Statement Source'!H:H)/1000</f>
        <v>2.3797800000000002</v>
      </c>
      <c r="G73" s="20">
        <f>SUMIF('Income Statement Source'!$C:$C,'1. Income Statement'!$AR73,'Income Statement Source'!I:I)/1000</f>
        <v>2.3882600000000003</v>
      </c>
      <c r="H73" s="20">
        <f>SUMIF('Income Statement Source'!$C:$C,'1. Income Statement'!$AR73,'Income Statement Source'!J:J)/1000</f>
        <v>2.4222700000000001</v>
      </c>
      <c r="I73" s="20">
        <f>SUMIF('Income Statement Source'!$C:$C,'1. Income Statement'!$AR73,'Income Statement Source'!K:K)/1000</f>
        <v>2.4116999999999997</v>
      </c>
      <c r="J73" s="20">
        <f>SUMIF('Income Statement Source'!$C:$C,'1. Income Statement'!$AR73,'Income Statement Source'!L:L)/1000</f>
        <v>2.4111199999999999</v>
      </c>
      <c r="K73" s="20">
        <f>SUMIF('Income Statement Source'!$C:$C,'1. Income Statement'!$AR73,'Income Statement Source'!M:M)/1000</f>
        <v>2.3895599999999999</v>
      </c>
      <c r="L73" s="20">
        <f>SUMIF('Income Statement Source'!$C:$C,'1. Income Statement'!$AR73,'Income Statement Source'!N:N)/1000</f>
        <v>2.3956</v>
      </c>
      <c r="M73" s="20">
        <f>SUMIF('Income Statement Source'!$C:$C,'1. Income Statement'!$AR73,'Income Statement Source'!O:O)/1000</f>
        <v>2.39981</v>
      </c>
      <c r="N73" s="20">
        <f>SUMIF('Income Statement Source'!$C:$C,'1. Income Statement'!$AR73,'Income Statement Source'!P:P)/1000</f>
        <v>2.3913500000000001</v>
      </c>
      <c r="O73" s="20">
        <f>SUMIF('Income Statement Source'!$C:$C,'1. Income Statement'!$AR73,'Income Statement Source'!Q:Q)/1000</f>
        <v>2.3844600000000002</v>
      </c>
      <c r="P73" s="20">
        <f>SUMIF('Income Statement Source'!$C:$C,'1. Income Statement'!$AR73,'Income Statement Source'!R:R)/1000</f>
        <v>2.3967100000000001</v>
      </c>
      <c r="Q73" s="22">
        <f t="shared" ref="Q73:Q76" si="483">SUM(E73:P73)</f>
        <v>28.76107</v>
      </c>
      <c r="R73" s="20">
        <f>SUMIF('Income Statement Source'!$C:$C,'1. Income Statement'!$AR73,'Income Statement Source'!T:T)/1000</f>
        <v>2.3768400000000001</v>
      </c>
      <c r="S73" s="20">
        <f>SUMIF('Income Statement Source'!$C:$C,'1. Income Statement'!$AR73,'Income Statement Source'!U:U)/1000</f>
        <v>2.3943600000000003</v>
      </c>
      <c r="T73" s="20">
        <f>SUMIF('Income Statement Source'!$C:$C,'1. Income Statement'!$AR73,'Income Statement Source'!V:V)/1000</f>
        <v>2.4152199999999997</v>
      </c>
      <c r="U73" s="20">
        <f>SUMIF('Income Statement Source'!$C:$C,'1. Income Statement'!$AR73,'Income Statement Source'!W:W)/1000</f>
        <v>2.3805700000000001</v>
      </c>
      <c r="V73" s="20">
        <f>SUMIF('Income Statement Source'!$C:$C,'1. Income Statement'!$AR73,'Income Statement Source'!X:X)/1000</f>
        <v>2.4075600000000001</v>
      </c>
      <c r="W73" s="20">
        <f>SUMIF('Income Statement Source'!$C:$C,'1. Income Statement'!$AR73,'Income Statement Source'!Y:Y)/1000</f>
        <v>2.4051</v>
      </c>
      <c r="X73" s="20">
        <f>SUMIF('Income Statement Source'!$C:$C,'1. Income Statement'!$AR73,'Income Statement Source'!Z:Z)/1000</f>
        <v>2.4216599999999997</v>
      </c>
      <c r="Y73" s="20">
        <f>SUMIF('Income Statement Source'!$C:$C,'1. Income Statement'!$AR73,'Income Statement Source'!AA:AA)/1000</f>
        <v>2.39385</v>
      </c>
      <c r="Z73" s="20">
        <f>SUMIF('Income Statement Source'!$C:$C,'1. Income Statement'!$AR73,'Income Statement Source'!AB:AB)/1000</f>
        <v>2.3872900000000001</v>
      </c>
      <c r="AA73" s="20">
        <f>SUMIF('Income Statement Source'!$C:$C,'1. Income Statement'!$AR73,'Income Statement Source'!AC:AC)/1000</f>
        <v>2.4031100000000003</v>
      </c>
      <c r="AB73" s="20">
        <f>SUMIF('Income Statement Source'!$C:$C,'1. Income Statement'!$AR73,'Income Statement Source'!AD:AD)/1000</f>
        <v>2.3848099999999999</v>
      </c>
      <c r="AC73" s="20">
        <f>SUMIF('Income Statement Source'!$C:$C,'1. Income Statement'!$AR73,'Income Statement Source'!AE:AE)/1000</f>
        <v>2.3971199999999997</v>
      </c>
      <c r="AD73" s="22">
        <f t="shared" ref="AD73:AD76" si="484">SUM(R73:AC73)</f>
        <v>28.767490000000002</v>
      </c>
      <c r="AE73" s="20">
        <f>SUMIF('Income Statement Source'!$C:$C,'1. Income Statement'!$AR73,'Income Statement Source'!AG:AG)/1000</f>
        <v>2.39845</v>
      </c>
      <c r="AF73" s="20">
        <f>SUMIF('Income Statement Source'!$C:$C,'1. Income Statement'!$AR73,'Income Statement Source'!AH:AH)/1000</f>
        <v>2.4044699999999999</v>
      </c>
      <c r="AG73" s="20">
        <f>SUMIF('Income Statement Source'!$C:$C,'1. Income Statement'!$AR73,'Income Statement Source'!AI:AI)/1000</f>
        <v>2.4062800000000002</v>
      </c>
      <c r="AH73" s="20">
        <f>SUMIF('Income Statement Source'!$C:$C,'1. Income Statement'!$AR73,'Income Statement Source'!AJ:AJ)/1000</f>
        <v>2.4091100000000001</v>
      </c>
      <c r="AI73" s="20">
        <f>SUMIF('Income Statement Source'!$C:$C,'1. Income Statement'!$AR73,'Income Statement Source'!AK:AK)/1000</f>
        <v>2.3918400000000002</v>
      </c>
      <c r="AJ73" s="20">
        <f>SUMIF('Income Statement Source'!$C:$C,'1. Income Statement'!$AR73,'Income Statement Source'!AL:AL)/1000</f>
        <v>2.3985300000000001</v>
      </c>
      <c r="AK73" s="20">
        <f>SUMIF('Income Statement Source'!$C:$C,'1. Income Statement'!$AR73,'Income Statement Source'!AM:AM)/1000</f>
        <v>2.4003699999999997</v>
      </c>
      <c r="AL73" s="20">
        <f>SUMIF('Income Statement Source'!$C:$C,'1. Income Statement'!$AR73,'Income Statement Source'!AN:AN)/1000</f>
        <v>2.3908</v>
      </c>
      <c r="AM73" s="20">
        <f>SUMIF('Income Statement Source'!$C:$C,'1. Income Statement'!$AR73,'Income Statement Source'!AO:AO)/1000</f>
        <v>2.4227099999999999</v>
      </c>
      <c r="AN73" s="20">
        <f>SUMIF('Income Statement Source'!$C:$C,'1. Income Statement'!$AR73,'Income Statement Source'!AP:AP)/1000</f>
        <v>2.39011</v>
      </c>
      <c r="AO73" s="22">
        <f t="shared" ref="AO73:AO76" si="485">SUM(AE73:AN73)</f>
        <v>24.012669999999996</v>
      </c>
      <c r="AP73" s="22">
        <f t="shared" ref="AP73:AP76" si="486">SUM(AO73,AB73:AC73)</f>
        <v>28.794599999999996</v>
      </c>
      <c r="AR73" s="34" t="s">
        <v>40</v>
      </c>
    </row>
    <row r="74" spans="2:44" s="34" customFormat="1" hidden="1" outlineLevel="1" x14ac:dyDescent="0.2">
      <c r="B74" s="30" t="str">
        <f t="shared" si="482"/>
        <v>Vehicle Insurance</v>
      </c>
      <c r="C74" s="4"/>
      <c r="D74" s="4"/>
      <c r="E74" s="20">
        <f>SUMIF('Income Statement Source'!$C:$C,'1. Income Statement'!$AR74,'Income Statement Source'!G:G)/1000</f>
        <v>1.8373299999999999</v>
      </c>
      <c r="F74" s="20">
        <f>SUMIF('Income Statement Source'!$C:$C,'1. Income Statement'!$AR74,'Income Statement Source'!H:H)/1000</f>
        <v>1.8486500000000001</v>
      </c>
      <c r="G74" s="20">
        <f>SUMIF('Income Statement Source'!$C:$C,'1. Income Statement'!$AR74,'Income Statement Source'!I:I)/1000</f>
        <v>1.8460999999999999</v>
      </c>
      <c r="H74" s="20">
        <f>SUMIF('Income Statement Source'!$C:$C,'1. Income Statement'!$AR74,'Income Statement Source'!J:J)/1000</f>
        <v>1.8453499999999998</v>
      </c>
      <c r="I74" s="20">
        <f>SUMIF('Income Statement Source'!$C:$C,'1. Income Statement'!$AR74,'Income Statement Source'!K:K)/1000</f>
        <v>1.85083</v>
      </c>
      <c r="J74" s="20">
        <f>SUMIF('Income Statement Source'!$C:$C,'1. Income Statement'!$AR74,'Income Statement Source'!L:L)/1000</f>
        <v>1.8286500000000001</v>
      </c>
      <c r="K74" s="20">
        <f>SUMIF('Income Statement Source'!$C:$C,'1. Income Statement'!$AR74,'Income Statement Source'!M:M)/1000</f>
        <v>1.8282100000000001</v>
      </c>
      <c r="L74" s="20">
        <f>SUMIF('Income Statement Source'!$C:$C,'1. Income Statement'!$AR74,'Income Statement Source'!N:N)/1000</f>
        <v>1.84477</v>
      </c>
      <c r="M74" s="20">
        <f>SUMIF('Income Statement Source'!$C:$C,'1. Income Statement'!$AR74,'Income Statement Source'!O:O)/1000</f>
        <v>1.84928</v>
      </c>
      <c r="N74" s="20">
        <f>SUMIF('Income Statement Source'!$C:$C,'1. Income Statement'!$AR74,'Income Statement Source'!P:P)/1000</f>
        <v>1.8665799999999999</v>
      </c>
      <c r="O74" s="20">
        <f>SUMIF('Income Statement Source'!$C:$C,'1. Income Statement'!$AR74,'Income Statement Source'!Q:Q)/1000</f>
        <v>1.87201</v>
      </c>
      <c r="P74" s="20">
        <f>SUMIF('Income Statement Source'!$C:$C,'1. Income Statement'!$AR74,'Income Statement Source'!R:R)/1000</f>
        <v>1.8230500000000001</v>
      </c>
      <c r="Q74" s="22">
        <f t="shared" si="483"/>
        <v>22.140809999999995</v>
      </c>
      <c r="R74" s="20">
        <f>SUMIF('Income Statement Source'!$C:$C,'1. Income Statement'!$AR74,'Income Statement Source'!T:T)/1000</f>
        <v>1.8451</v>
      </c>
      <c r="S74" s="20">
        <f>SUMIF('Income Statement Source'!$C:$C,'1. Income Statement'!$AR74,'Income Statement Source'!U:U)/1000</f>
        <v>1.8522100000000001</v>
      </c>
      <c r="T74" s="20">
        <f>SUMIF('Income Statement Source'!$C:$C,'1. Income Statement'!$AR74,'Income Statement Source'!V:V)/1000</f>
        <v>1.8250999999999999</v>
      </c>
      <c r="U74" s="20">
        <f>SUMIF('Income Statement Source'!$C:$C,'1. Income Statement'!$AR74,'Income Statement Source'!W:W)/1000</f>
        <v>1.8704499999999999</v>
      </c>
      <c r="V74" s="20">
        <f>SUMIF('Income Statement Source'!$C:$C,'1. Income Statement'!$AR74,'Income Statement Source'!X:X)/1000</f>
        <v>1.85907</v>
      </c>
      <c r="W74" s="20">
        <f>SUMIF('Income Statement Source'!$C:$C,'1. Income Statement'!$AR74,'Income Statement Source'!Y:Y)/1000</f>
        <v>1.8292599999999999</v>
      </c>
      <c r="X74" s="20">
        <f>SUMIF('Income Statement Source'!$C:$C,'1. Income Statement'!$AR74,'Income Statement Source'!Z:Z)/1000</f>
        <v>1.8416400000000002</v>
      </c>
      <c r="Y74" s="20">
        <f>SUMIF('Income Statement Source'!$C:$C,'1. Income Statement'!$AR74,'Income Statement Source'!AA:AA)/1000</f>
        <v>1.8611</v>
      </c>
      <c r="Z74" s="20">
        <f>SUMIF('Income Statement Source'!$C:$C,'1. Income Statement'!$AR74,'Income Statement Source'!AB:AB)/1000</f>
        <v>1.85225</v>
      </c>
      <c r="AA74" s="20">
        <f>SUMIF('Income Statement Source'!$C:$C,'1. Income Statement'!$AR74,'Income Statement Source'!AC:AC)/1000</f>
        <v>1.82978</v>
      </c>
      <c r="AB74" s="20">
        <f>SUMIF('Income Statement Source'!$C:$C,'1. Income Statement'!$AR74,'Income Statement Source'!AD:AD)/1000</f>
        <v>1.8695200000000001</v>
      </c>
      <c r="AC74" s="20">
        <f>SUMIF('Income Statement Source'!$C:$C,'1. Income Statement'!$AR74,'Income Statement Source'!AE:AE)/1000</f>
        <v>1.84067</v>
      </c>
      <c r="AD74" s="22">
        <f t="shared" si="484"/>
        <v>22.17615</v>
      </c>
      <c r="AE74" s="20">
        <f>SUMIF('Income Statement Source'!$C:$C,'1. Income Statement'!$AR74,'Income Statement Source'!AG:AG)/1000</f>
        <v>1.8346600000000002</v>
      </c>
      <c r="AF74" s="20">
        <f>SUMIF('Income Statement Source'!$C:$C,'1. Income Statement'!$AR74,'Income Statement Source'!AH:AH)/1000</f>
        <v>1.87626</v>
      </c>
      <c r="AG74" s="20">
        <f>SUMIF('Income Statement Source'!$C:$C,'1. Income Statement'!$AR74,'Income Statement Source'!AI:AI)/1000</f>
        <v>1.83064</v>
      </c>
      <c r="AH74" s="20">
        <f>SUMIF('Income Statement Source'!$C:$C,'1. Income Statement'!$AR74,'Income Statement Source'!AJ:AJ)/1000</f>
        <v>1.8625799999999999</v>
      </c>
      <c r="AI74" s="20">
        <f>SUMIF('Income Statement Source'!$C:$C,'1. Income Statement'!$AR74,'Income Statement Source'!AK:AK)/1000</f>
        <v>1.8238800000000002</v>
      </c>
      <c r="AJ74" s="20">
        <f>SUMIF('Income Statement Source'!$C:$C,'1. Income Statement'!$AR74,'Income Statement Source'!AL:AL)/1000</f>
        <v>1.85714</v>
      </c>
      <c r="AK74" s="20">
        <f>SUMIF('Income Statement Source'!$C:$C,'1. Income Statement'!$AR74,'Income Statement Source'!AM:AM)/1000</f>
        <v>1.83087</v>
      </c>
      <c r="AL74" s="20">
        <f>SUMIF('Income Statement Source'!$C:$C,'1. Income Statement'!$AR74,'Income Statement Source'!AN:AN)/1000</f>
        <v>1.8347899999999999</v>
      </c>
      <c r="AM74" s="20">
        <f>SUMIF('Income Statement Source'!$C:$C,'1. Income Statement'!$AR74,'Income Statement Source'!AO:AO)/1000</f>
        <v>1.86277</v>
      </c>
      <c r="AN74" s="20">
        <f>SUMIF('Income Statement Source'!$C:$C,'1. Income Statement'!$AR74,'Income Statement Source'!AP:AP)/1000</f>
        <v>1.8737000000000001</v>
      </c>
      <c r="AO74" s="22">
        <f t="shared" si="485"/>
        <v>18.487289999999998</v>
      </c>
      <c r="AP74" s="22">
        <f t="shared" si="486"/>
        <v>22.197479999999999</v>
      </c>
      <c r="AR74" s="34" t="s">
        <v>41</v>
      </c>
    </row>
    <row r="75" spans="2:44" s="34" customFormat="1" hidden="1" outlineLevel="1" x14ac:dyDescent="0.2">
      <c r="B75" s="30" t="str">
        <f t="shared" si="482"/>
        <v>Vehicle Maintenance &amp; Repairs</v>
      </c>
      <c r="C75" s="4"/>
      <c r="D75" s="4"/>
      <c r="E75" s="20">
        <f>SUMIF('Income Statement Source'!$C:$C,'1. Income Statement'!$AR75,'Income Statement Source'!G:G)/1000</f>
        <v>1.2138399999999998</v>
      </c>
      <c r="F75" s="20">
        <f>SUMIF('Income Statement Source'!$C:$C,'1. Income Statement'!$AR75,'Income Statement Source'!H:H)/1000</f>
        <v>1.17275</v>
      </c>
      <c r="G75" s="20">
        <f>SUMIF('Income Statement Source'!$C:$C,'1. Income Statement'!$AR75,'Income Statement Source'!I:I)/1000</f>
        <v>12.22096</v>
      </c>
      <c r="H75" s="20">
        <f>SUMIF('Income Statement Source'!$C:$C,'1. Income Statement'!$AR75,'Income Statement Source'!J:J)/1000</f>
        <v>1.11063</v>
      </c>
      <c r="I75" s="20">
        <f>SUMIF('Income Statement Source'!$C:$C,'1. Income Statement'!$AR75,'Income Statement Source'!K:K)/1000</f>
        <v>1.2807200000000001</v>
      </c>
      <c r="J75" s="20">
        <f>SUMIF('Income Statement Source'!$C:$C,'1. Income Statement'!$AR75,'Income Statement Source'!L:L)/1000</f>
        <v>1.1918900000000001</v>
      </c>
      <c r="K75" s="20">
        <f>SUMIF('Income Statement Source'!$C:$C,'1. Income Statement'!$AR75,'Income Statement Source'!M:M)/1000</f>
        <v>1.3746800000000001</v>
      </c>
      <c r="L75" s="20">
        <f>SUMIF('Income Statement Source'!$C:$C,'1. Income Statement'!$AR75,'Income Statement Source'!N:N)/1000</f>
        <v>1.1499200000000001</v>
      </c>
      <c r="M75" s="20">
        <f>SUMIF('Income Statement Source'!$C:$C,'1. Income Statement'!$AR75,'Income Statement Source'!O:O)/1000</f>
        <v>1.2108699999999999</v>
      </c>
      <c r="N75" s="20">
        <f>SUMIF('Income Statement Source'!$C:$C,'1. Income Statement'!$AR75,'Income Statement Source'!P:P)/1000</f>
        <v>1.3286900000000001</v>
      </c>
      <c r="O75" s="20">
        <f>SUMIF('Income Statement Source'!$C:$C,'1. Income Statement'!$AR75,'Income Statement Source'!Q:Q)/1000</f>
        <v>1.2657400000000001</v>
      </c>
      <c r="P75" s="20">
        <f>SUMIF('Income Statement Source'!$C:$C,'1. Income Statement'!$AR75,'Income Statement Source'!R:R)/1000</f>
        <v>1.27057</v>
      </c>
      <c r="Q75" s="22">
        <f t="shared" si="483"/>
        <v>25.791260000000005</v>
      </c>
      <c r="R75" s="20">
        <f>SUMIF('Income Statement Source'!$C:$C,'1. Income Statement'!$AR75,'Income Statement Source'!T:T)/1000</f>
        <v>1.1286500000000002</v>
      </c>
      <c r="S75" s="20">
        <f>SUMIF('Income Statement Source'!$C:$C,'1. Income Statement'!$AR75,'Income Statement Source'!U:U)/1000</f>
        <v>1.19591</v>
      </c>
      <c r="T75" s="20">
        <f>SUMIF('Income Statement Source'!$C:$C,'1. Income Statement'!$AR75,'Income Statement Source'!V:V)/1000</f>
        <v>1.05366</v>
      </c>
      <c r="U75" s="20">
        <f>SUMIF('Income Statement Source'!$C:$C,'1. Income Statement'!$AR75,'Income Statement Source'!W:W)/1000</f>
        <v>1.27308</v>
      </c>
      <c r="V75" s="20">
        <f>SUMIF('Income Statement Source'!$C:$C,'1. Income Statement'!$AR75,'Income Statement Source'!X:X)/1000</f>
        <v>1.1186400000000001</v>
      </c>
      <c r="W75" s="20">
        <f>SUMIF('Income Statement Source'!$C:$C,'1. Income Statement'!$AR75,'Income Statement Source'!Y:Y)/1000</f>
        <v>1.1774200000000001</v>
      </c>
      <c r="X75" s="20">
        <f>SUMIF('Income Statement Source'!$C:$C,'1. Income Statement'!$AR75,'Income Statement Source'!Z:Z)/1000</f>
        <v>1.0387899999999999</v>
      </c>
      <c r="Y75" s="20">
        <f>SUMIF('Income Statement Source'!$C:$C,'1. Income Statement'!$AR75,'Income Statement Source'!AA:AA)/1000</f>
        <v>12.440959999999999</v>
      </c>
      <c r="Z75" s="20">
        <f>SUMIF('Income Statement Source'!$C:$C,'1. Income Statement'!$AR75,'Income Statement Source'!AB:AB)/1000</f>
        <v>1.31</v>
      </c>
      <c r="AA75" s="20">
        <f>SUMIF('Income Statement Source'!$C:$C,'1. Income Statement'!$AR75,'Income Statement Source'!AC:AC)/1000</f>
        <v>51.070480000000003</v>
      </c>
      <c r="AB75" s="20">
        <f>SUMIF('Income Statement Source'!$C:$C,'1. Income Statement'!$AR75,'Income Statement Source'!AD:AD)/1000</f>
        <v>1.28773</v>
      </c>
      <c r="AC75" s="20">
        <f>SUMIF('Income Statement Source'!$C:$C,'1. Income Statement'!$AR75,'Income Statement Source'!AE:AE)/1000</f>
        <v>1.0895599999999999</v>
      </c>
      <c r="AD75" s="22">
        <f t="shared" si="484"/>
        <v>75.184880000000007</v>
      </c>
      <c r="AE75" s="20">
        <f>SUMIF('Income Statement Source'!$C:$C,'1. Income Statement'!$AR75,'Income Statement Source'!AG:AG)/1000</f>
        <v>1.12341</v>
      </c>
      <c r="AF75" s="20">
        <f>SUMIF('Income Statement Source'!$C:$C,'1. Income Statement'!$AR75,'Income Statement Source'!AH:AH)/1000</f>
        <v>1.22651</v>
      </c>
      <c r="AG75" s="20">
        <f>SUMIF('Income Statement Source'!$C:$C,'1. Income Statement'!$AR75,'Income Statement Source'!AI:AI)/1000</f>
        <v>1.3509200000000001</v>
      </c>
      <c r="AH75" s="20">
        <f>SUMIF('Income Statement Source'!$C:$C,'1. Income Statement'!$AR75,'Income Statement Source'!AJ:AJ)/1000</f>
        <v>1.25665</v>
      </c>
      <c r="AI75" s="20">
        <f>SUMIF('Income Statement Source'!$C:$C,'1. Income Statement'!$AR75,'Income Statement Source'!AK:AK)/1000</f>
        <v>1.1485799999999999</v>
      </c>
      <c r="AJ75" s="20">
        <f>SUMIF('Income Statement Source'!$C:$C,'1. Income Statement'!$AR75,'Income Statement Source'!AL:AL)/1000</f>
        <v>11.704690000000001</v>
      </c>
      <c r="AK75" s="20">
        <f>SUMIF('Income Statement Source'!$C:$C,'1. Income Statement'!$AR75,'Income Statement Source'!AM:AM)/1000</f>
        <v>1.0458699999999999</v>
      </c>
      <c r="AL75" s="20">
        <f>SUMIF('Income Statement Source'!$C:$C,'1. Income Statement'!$AR75,'Income Statement Source'!AN:AN)/1000</f>
        <v>1.34318</v>
      </c>
      <c r="AM75" s="20">
        <f>SUMIF('Income Statement Source'!$C:$C,'1. Income Statement'!$AR75,'Income Statement Source'!AO:AO)/1000</f>
        <v>1.2041500000000001</v>
      </c>
      <c r="AN75" s="20">
        <f>SUMIF('Income Statement Source'!$C:$C,'1. Income Statement'!$AR75,'Income Statement Source'!AP:AP)/1000</f>
        <v>1.1229800000000001</v>
      </c>
      <c r="AO75" s="22">
        <f t="shared" si="485"/>
        <v>22.526940000000003</v>
      </c>
      <c r="AP75" s="22">
        <f t="shared" si="486"/>
        <v>24.904230000000002</v>
      </c>
      <c r="AR75" s="34" t="s">
        <v>42</v>
      </c>
    </row>
    <row r="76" spans="2:44" s="34" customFormat="1" hidden="1" outlineLevel="1" x14ac:dyDescent="0.2">
      <c r="B76" s="30" t="str">
        <f t="shared" si="482"/>
        <v>Fuel - Non-Job Related</v>
      </c>
      <c r="C76" s="4"/>
      <c r="D76" s="4"/>
      <c r="E76" s="31">
        <f>SUMIF('Income Statement Source'!$C:$C,'1. Income Statement'!$AR76,'Income Statement Source'!G:G)/1000</f>
        <v>0.92413000000000001</v>
      </c>
      <c r="F76" s="31">
        <f>SUMIF('Income Statement Source'!$C:$C,'1. Income Statement'!$AR76,'Income Statement Source'!H:H)/1000</f>
        <v>0.85147000000000006</v>
      </c>
      <c r="G76" s="31">
        <f>SUMIF('Income Statement Source'!$C:$C,'1. Income Statement'!$AR76,'Income Statement Source'!I:I)/1000</f>
        <v>0.98948999999999998</v>
      </c>
      <c r="H76" s="31">
        <f>SUMIF('Income Statement Source'!$C:$C,'1. Income Statement'!$AR76,'Income Statement Source'!J:J)/1000</f>
        <v>0.97192999999999996</v>
      </c>
      <c r="I76" s="31">
        <f>SUMIF('Income Statement Source'!$C:$C,'1. Income Statement'!$AR76,'Income Statement Source'!K:K)/1000</f>
        <v>0.96023000000000003</v>
      </c>
      <c r="J76" s="31">
        <f>SUMIF('Income Statement Source'!$C:$C,'1. Income Statement'!$AR76,'Income Statement Source'!L:L)/1000</f>
        <v>0.98938999999999999</v>
      </c>
      <c r="K76" s="31">
        <f>SUMIF('Income Statement Source'!$C:$C,'1. Income Statement'!$AR76,'Income Statement Source'!M:M)/1000</f>
        <v>0.97775000000000001</v>
      </c>
      <c r="L76" s="31">
        <f>SUMIF('Income Statement Source'!$C:$C,'1. Income Statement'!$AR76,'Income Statement Source'!N:N)/1000</f>
        <v>0.9243300000000001</v>
      </c>
      <c r="M76" s="31">
        <f>SUMIF('Income Statement Source'!$C:$C,'1. Income Statement'!$AR76,'Income Statement Source'!O:O)/1000</f>
        <v>0.90942000000000001</v>
      </c>
      <c r="N76" s="31">
        <f>SUMIF('Income Statement Source'!$C:$C,'1. Income Statement'!$AR76,'Income Statement Source'!P:P)/1000</f>
        <v>0.92479999999999996</v>
      </c>
      <c r="O76" s="31">
        <f>SUMIF('Income Statement Source'!$C:$C,'1. Income Statement'!$AR76,'Income Statement Source'!Q:Q)/1000</f>
        <v>0.91832000000000003</v>
      </c>
      <c r="P76" s="31">
        <f>SUMIF('Income Statement Source'!$C:$C,'1. Income Statement'!$AR76,'Income Statement Source'!R:R)/1000</f>
        <v>0.92246000000000006</v>
      </c>
      <c r="Q76" s="32">
        <f t="shared" si="483"/>
        <v>11.263719999999999</v>
      </c>
      <c r="R76" s="31">
        <f>SUMIF('Income Statement Source'!$C:$C,'1. Income Statement'!$AR76,'Income Statement Source'!T:T)/1000</f>
        <v>0.87727999999999995</v>
      </c>
      <c r="S76" s="31">
        <f>SUMIF('Income Statement Source'!$C:$C,'1. Income Statement'!$AR76,'Income Statement Source'!U:U)/1000</f>
        <v>0.87891999999999992</v>
      </c>
      <c r="T76" s="31">
        <f>SUMIF('Income Statement Source'!$C:$C,'1. Income Statement'!$AR76,'Income Statement Source'!V:V)/1000</f>
        <v>0.83741999999999994</v>
      </c>
      <c r="U76" s="31">
        <f>SUMIF('Income Statement Source'!$C:$C,'1. Income Statement'!$AR76,'Income Statement Source'!W:W)/1000</f>
        <v>0.82380999999999993</v>
      </c>
      <c r="V76" s="31">
        <f>SUMIF('Income Statement Source'!$C:$C,'1. Income Statement'!$AR76,'Income Statement Source'!X:X)/1000</f>
        <v>0.89787000000000006</v>
      </c>
      <c r="W76" s="31">
        <f>SUMIF('Income Statement Source'!$C:$C,'1. Income Statement'!$AR76,'Income Statement Source'!Y:Y)/1000</f>
        <v>0.91058000000000006</v>
      </c>
      <c r="X76" s="31">
        <f>SUMIF('Income Statement Source'!$C:$C,'1. Income Statement'!$AR76,'Income Statement Source'!Z:Z)/1000</f>
        <v>0.84126000000000001</v>
      </c>
      <c r="Y76" s="31">
        <f>SUMIF('Income Statement Source'!$C:$C,'1. Income Statement'!$AR76,'Income Statement Source'!AA:AA)/1000</f>
        <v>0.88457000000000008</v>
      </c>
      <c r="Z76" s="31">
        <f>SUMIF('Income Statement Source'!$C:$C,'1. Income Statement'!$AR76,'Income Statement Source'!AB:AB)/1000</f>
        <v>0.89490000000000003</v>
      </c>
      <c r="AA76" s="31">
        <f>SUMIF('Income Statement Source'!$C:$C,'1. Income Statement'!$AR76,'Income Statement Source'!AC:AC)/1000</f>
        <v>0.90395999999999999</v>
      </c>
      <c r="AB76" s="31">
        <f>SUMIF('Income Statement Source'!$C:$C,'1. Income Statement'!$AR76,'Income Statement Source'!AD:AD)/1000</f>
        <v>0.95161000000000007</v>
      </c>
      <c r="AC76" s="31">
        <f>SUMIF('Income Statement Source'!$C:$C,'1. Income Statement'!$AR76,'Income Statement Source'!AE:AE)/1000</f>
        <v>0.95352000000000003</v>
      </c>
      <c r="AD76" s="32">
        <f t="shared" si="484"/>
        <v>10.6557</v>
      </c>
      <c r="AE76" s="31">
        <f>SUMIF('Income Statement Source'!$C:$C,'1. Income Statement'!$AR76,'Income Statement Source'!AG:AG)/1000</f>
        <v>0.83650999999999998</v>
      </c>
      <c r="AF76" s="31">
        <f>SUMIF('Income Statement Source'!$C:$C,'1. Income Statement'!$AR76,'Income Statement Source'!AH:AH)/1000</f>
        <v>0.82991999999999999</v>
      </c>
      <c r="AG76" s="31">
        <f>SUMIF('Income Statement Source'!$C:$C,'1. Income Statement'!$AR76,'Income Statement Source'!AI:AI)/1000</f>
        <v>0.98085</v>
      </c>
      <c r="AH76" s="31">
        <f>SUMIF('Income Statement Source'!$C:$C,'1. Income Statement'!$AR76,'Income Statement Source'!AJ:AJ)/1000</f>
        <v>0.91642000000000001</v>
      </c>
      <c r="AI76" s="31">
        <f>SUMIF('Income Statement Source'!$C:$C,'1. Income Statement'!$AR76,'Income Statement Source'!AK:AK)/1000</f>
        <v>0.82037000000000004</v>
      </c>
      <c r="AJ76" s="31">
        <f>SUMIF('Income Statement Source'!$C:$C,'1. Income Statement'!$AR76,'Income Statement Source'!AL:AL)/1000</f>
        <v>0.91207000000000005</v>
      </c>
      <c r="AK76" s="31">
        <f>SUMIF('Income Statement Source'!$C:$C,'1. Income Statement'!$AR76,'Income Statement Source'!AM:AM)/1000</f>
        <v>0.84751999999999994</v>
      </c>
      <c r="AL76" s="31">
        <f>SUMIF('Income Statement Source'!$C:$C,'1. Income Statement'!$AR76,'Income Statement Source'!AN:AN)/1000</f>
        <v>0.83799999999999997</v>
      </c>
      <c r="AM76" s="31">
        <f>SUMIF('Income Statement Source'!$C:$C,'1. Income Statement'!$AR76,'Income Statement Source'!AO:AO)/1000</f>
        <v>0.83266999999999991</v>
      </c>
      <c r="AN76" s="31">
        <f>SUMIF('Income Statement Source'!$C:$C,'1. Income Statement'!$AR76,'Income Statement Source'!AP:AP)/1000</f>
        <v>0.87021999999999999</v>
      </c>
      <c r="AO76" s="32">
        <f t="shared" si="485"/>
        <v>8.6845500000000015</v>
      </c>
      <c r="AP76" s="32">
        <f t="shared" si="486"/>
        <v>10.589680000000001</v>
      </c>
      <c r="AR76" s="34" t="s">
        <v>43</v>
      </c>
    </row>
    <row r="77" spans="2:44" collapsed="1" x14ac:dyDescent="0.2">
      <c r="B77" s="29" t="str">
        <f>+B72</f>
        <v>Vehicle</v>
      </c>
      <c r="E77" s="20">
        <f>SUM(E73:E76)</f>
        <v>6.3657500000000002</v>
      </c>
      <c r="F77" s="20">
        <f t="shared" ref="F77:AP77" si="487">SUM(F73:F76)</f>
        <v>6.25265</v>
      </c>
      <c r="G77" s="20">
        <f t="shared" si="487"/>
        <v>17.44481</v>
      </c>
      <c r="H77" s="20">
        <f t="shared" si="487"/>
        <v>6.3501799999999999</v>
      </c>
      <c r="I77" s="20">
        <f t="shared" si="487"/>
        <v>6.5034800000000006</v>
      </c>
      <c r="J77" s="20">
        <f t="shared" si="487"/>
        <v>6.4210500000000001</v>
      </c>
      <c r="K77" s="20">
        <f t="shared" si="487"/>
        <v>6.5701999999999998</v>
      </c>
      <c r="L77" s="20">
        <f t="shared" si="487"/>
        <v>6.3146200000000006</v>
      </c>
      <c r="M77" s="20">
        <f t="shared" si="487"/>
        <v>6.3693799999999996</v>
      </c>
      <c r="N77" s="20">
        <f t="shared" si="487"/>
        <v>6.5114200000000002</v>
      </c>
      <c r="O77" s="20">
        <f t="shared" si="487"/>
        <v>6.4405300000000008</v>
      </c>
      <c r="P77" s="20">
        <f t="shared" si="487"/>
        <v>6.4127900000000002</v>
      </c>
      <c r="Q77" s="22">
        <f t="shared" si="487"/>
        <v>87.956860000000006</v>
      </c>
      <c r="R77" s="20">
        <f t="shared" si="487"/>
        <v>6.2278700000000002</v>
      </c>
      <c r="S77" s="20">
        <f t="shared" si="487"/>
        <v>6.3213999999999997</v>
      </c>
      <c r="T77" s="20">
        <f t="shared" si="487"/>
        <v>6.1313999999999993</v>
      </c>
      <c r="U77" s="20">
        <f t="shared" si="487"/>
        <v>6.3479100000000006</v>
      </c>
      <c r="V77" s="20">
        <f t="shared" si="487"/>
        <v>6.2831400000000004</v>
      </c>
      <c r="W77" s="20">
        <f t="shared" si="487"/>
        <v>6.3223600000000006</v>
      </c>
      <c r="X77" s="20">
        <f t="shared" si="487"/>
        <v>6.1433499999999999</v>
      </c>
      <c r="Y77" s="20">
        <f t="shared" si="487"/>
        <v>17.580479999999998</v>
      </c>
      <c r="Z77" s="20">
        <f t="shared" si="487"/>
        <v>6.4444400000000002</v>
      </c>
      <c r="AA77" s="20">
        <f t="shared" si="487"/>
        <v>56.207329999999999</v>
      </c>
      <c r="AB77" s="20">
        <f t="shared" si="487"/>
        <v>6.4936699999999998</v>
      </c>
      <c r="AC77" s="20">
        <f t="shared" si="487"/>
        <v>6.2808699999999993</v>
      </c>
      <c r="AD77" s="22">
        <f t="shared" si="487"/>
        <v>136.78422</v>
      </c>
      <c r="AE77" s="20">
        <f t="shared" si="487"/>
        <v>6.1930299999999994</v>
      </c>
      <c r="AF77" s="20">
        <f t="shared" si="487"/>
        <v>6.3371600000000008</v>
      </c>
      <c r="AG77" s="20">
        <f t="shared" si="487"/>
        <v>6.568690000000001</v>
      </c>
      <c r="AH77" s="20">
        <f t="shared" si="487"/>
        <v>6.4447600000000005</v>
      </c>
      <c r="AI77" s="20">
        <f t="shared" si="487"/>
        <v>6.1846700000000006</v>
      </c>
      <c r="AJ77" s="20">
        <f t="shared" si="487"/>
        <v>16.872430000000001</v>
      </c>
      <c r="AK77" s="20">
        <f t="shared" si="487"/>
        <v>6.1246299999999998</v>
      </c>
      <c r="AL77" s="20">
        <f t="shared" si="487"/>
        <v>6.4067700000000007</v>
      </c>
      <c r="AM77" s="20">
        <f t="shared" si="487"/>
        <v>6.3223000000000003</v>
      </c>
      <c r="AN77" s="20">
        <f t="shared" si="487"/>
        <v>6.2570100000000002</v>
      </c>
      <c r="AO77" s="22">
        <f t="shared" si="487"/>
        <v>73.711449999999999</v>
      </c>
      <c r="AP77" s="22">
        <f t="shared" si="487"/>
        <v>86.485990000000001</v>
      </c>
    </row>
    <row r="78" spans="2:44" x14ac:dyDescent="0.2">
      <c r="B78" s="25"/>
      <c r="E78" s="47">
        <f>IFERROR(E77/E$19,0)</f>
        <v>3.350817645300707E-2</v>
      </c>
      <c r="F78" s="47">
        <f t="shared" ref="F78" si="488">IFERROR(F77/F$19,0)</f>
        <v>2.7510811126411884E-2</v>
      </c>
      <c r="G78" s="47">
        <f t="shared" ref="G78" si="489">IFERROR(G77/G$19,0)</f>
        <v>5.6709783150415062E-2</v>
      </c>
      <c r="H78" s="47">
        <f t="shared" ref="H78" si="490">IFERROR(H77/H$19,0)</f>
        <v>2.4551832533565562E-2</v>
      </c>
      <c r="I78" s="47">
        <f t="shared" ref="I78" si="491">IFERROR(I77/I$19,0)</f>
        <v>2.3929470708357568E-2</v>
      </c>
      <c r="J78" s="47">
        <f t="shared" ref="J78" si="492">IFERROR(J77/J$19,0)</f>
        <v>1.7436418869322349E-2</v>
      </c>
      <c r="K78" s="47">
        <f t="shared" ref="K78" si="493">IFERROR(K77/K$19,0)</f>
        <v>2.1719914264157487E-2</v>
      </c>
      <c r="L78" s="47">
        <f t="shared" ref="L78" si="494">IFERROR(L77/L$19,0)</f>
        <v>2.2778158158034672E-2</v>
      </c>
      <c r="M78" s="47">
        <f t="shared" ref="M78" si="495">IFERROR(M77/M$19,0)</f>
        <v>1.7978375131290903E-2</v>
      </c>
      <c r="N78" s="47">
        <f t="shared" ref="N78" si="496">IFERROR(N77/N$19,0)</f>
        <v>2.4373186118952794E-2</v>
      </c>
      <c r="O78" s="47">
        <f t="shared" ref="O78" si="497">IFERROR(O77/O$19,0)</f>
        <v>2.858745474432357E-2</v>
      </c>
      <c r="P78" s="47">
        <f t="shared" ref="P78" si="498">IFERROR(P77/P$19,0)</f>
        <v>1.8911648948666038E-2</v>
      </c>
      <c r="Q78" s="48">
        <f t="shared" ref="Q78" si="499">IFERROR(Q77/Q$19,0)</f>
        <v>2.5952975512921292E-2</v>
      </c>
      <c r="R78" s="47">
        <f t="shared" ref="R78" si="500">IFERROR(R77/R$19,0)</f>
        <v>3.0753821629740653E-2</v>
      </c>
      <c r="S78" s="47">
        <f t="shared" ref="S78" si="501">IFERROR(S77/S$19,0)</f>
        <v>2.4481553323459745E-2</v>
      </c>
      <c r="T78" s="47">
        <f t="shared" ref="T78" si="502">IFERROR(T77/T$19,0)</f>
        <v>1.737554905391759E-2</v>
      </c>
      <c r="U78" s="47">
        <f t="shared" ref="U78" si="503">IFERROR(U77/U$19,0)</f>
        <v>1.9855852847401885E-2</v>
      </c>
      <c r="V78" s="47">
        <f t="shared" ref="V78" si="504">IFERROR(V77/V$19,0)</f>
        <v>1.847751221001679E-2</v>
      </c>
      <c r="W78" s="47">
        <f t="shared" ref="W78" si="505">IFERROR(W77/W$19,0)</f>
        <v>1.4446215349365436E-2</v>
      </c>
      <c r="X78" s="47">
        <f t="shared" ref="X78" si="506">IFERROR(X77/X$19,0)</f>
        <v>1.6554172700547442E-2</v>
      </c>
      <c r="Y78" s="47">
        <f t="shared" ref="Y78" si="507">IFERROR(Y77/Y$19,0)</f>
        <v>4.6132431310606528E-2</v>
      </c>
      <c r="Z78" s="47">
        <f t="shared" ref="Z78" si="508">IFERROR(Z77/Z$19,0)</f>
        <v>1.6187894155782971E-2</v>
      </c>
      <c r="AA78" s="47">
        <f t="shared" ref="AA78" si="509">IFERROR(AA77/AA$19,0)</f>
        <v>0.18410783984536436</v>
      </c>
      <c r="AB78" s="47">
        <f t="shared" ref="AB78" si="510">IFERROR(AB77/AB$19,0)</f>
        <v>2.2185656507244682E-2</v>
      </c>
      <c r="AC78" s="47">
        <f t="shared" ref="AC78" si="511">IFERROR(AC77/AC$19,0)</f>
        <v>1.6087862190584636E-2</v>
      </c>
      <c r="AD78" s="48">
        <f t="shared" ref="AD78" si="512">IFERROR(AD77/AD$19,0)</f>
        <v>3.3776534065290076E-2</v>
      </c>
      <c r="AE78" s="47">
        <f t="shared" ref="AE78" si="513">IFERROR(AE77/AE$19,0)</f>
        <v>2.9150924710111385E-2</v>
      </c>
      <c r="AF78" s="47">
        <f t="shared" ref="AF78" si="514">IFERROR(AF77/AF$19,0)</f>
        <v>2.2427763773411911E-2</v>
      </c>
      <c r="AG78" s="47">
        <f t="shared" ref="AG78" si="515">IFERROR(AG77/AG$19,0)</f>
        <v>1.7211328245345294E-2</v>
      </c>
      <c r="AH78" s="47">
        <f t="shared" ref="AH78" si="516">IFERROR(AH77/AH$19,0)</f>
        <v>1.8469886715911217E-2</v>
      </c>
      <c r="AI78" s="47">
        <f t="shared" ref="AI78" si="517">IFERROR(AI77/AI$19,0)</f>
        <v>1.7890032189312961E-2</v>
      </c>
      <c r="AJ78" s="47">
        <f t="shared" ref="AJ78" si="518">IFERROR(AJ77/AJ$19,0)</f>
        <v>3.5717455034453602E-2</v>
      </c>
      <c r="AK78" s="47">
        <f t="shared" ref="AK78" si="519">IFERROR(AK77/AK$19,0)</f>
        <v>1.5905917914687914E-2</v>
      </c>
      <c r="AL78" s="47">
        <f t="shared" ref="AL78" si="520">IFERROR(AL77/AL$19,0)</f>
        <v>1.8101241814629455E-2</v>
      </c>
      <c r="AM78" s="47">
        <f t="shared" ref="AM78" si="521">IFERROR(AM77/AM$19,0)</f>
        <v>1.4459829106744248E-2</v>
      </c>
      <c r="AN78" s="47">
        <f t="shared" ref="AN78" si="522">IFERROR(AN77/AN$19,0)</f>
        <v>1.8497769480615274E-2</v>
      </c>
      <c r="AO78" s="48">
        <f t="shared" ref="AO78" si="523">IFERROR(AO77/AO$19,0)</f>
        <v>2.0716151271459059E-2</v>
      </c>
      <c r="AP78" s="48">
        <f t="shared" ref="AP78" si="524">IFERROR(AP77/AP$19,0)</f>
        <v>2.039152847354642E-2</v>
      </c>
    </row>
    <row r="79" spans="2:44" s="34" customFormat="1" hidden="1" outlineLevel="1" x14ac:dyDescent="0.2">
      <c r="B79" s="33" t="s">
        <v>99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2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2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2"/>
      <c r="AP79" s="52"/>
    </row>
    <row r="80" spans="2:44" s="34" customFormat="1" hidden="1" outlineLevel="1" x14ac:dyDescent="0.2">
      <c r="B80" s="30" t="str">
        <f t="shared" ref="B80:B81" si="525">+AR80</f>
        <v>Accounting &amp; Bookkeeping</v>
      </c>
      <c r="C80" s="4"/>
      <c r="D80" s="4"/>
      <c r="E80" s="20">
        <f>SUMIF('Income Statement Source'!$C:$C,'1. Income Statement'!$AR80,'Income Statement Source'!G:G)/1000</f>
        <v>0</v>
      </c>
      <c r="F80" s="20">
        <f>SUMIF('Income Statement Source'!$C:$C,'1. Income Statement'!$AR80,'Income Statement Source'!H:H)/1000</f>
        <v>0</v>
      </c>
      <c r="G80" s="20">
        <f>SUMIF('Income Statement Source'!$C:$C,'1. Income Statement'!$AR80,'Income Statement Source'!I:I)/1000</f>
        <v>0</v>
      </c>
      <c r="H80" s="20">
        <f>SUMIF('Income Statement Source'!$C:$C,'1. Income Statement'!$AR80,'Income Statement Source'!J:J)/1000</f>
        <v>0</v>
      </c>
      <c r="I80" s="20">
        <f>SUMIF('Income Statement Source'!$C:$C,'1. Income Statement'!$AR80,'Income Statement Source'!K:K)/1000</f>
        <v>6.2740900000000002</v>
      </c>
      <c r="J80" s="20">
        <f>SUMIF('Income Statement Source'!$C:$C,'1. Income Statement'!$AR80,'Income Statement Source'!L:L)/1000</f>
        <v>0</v>
      </c>
      <c r="K80" s="20">
        <f>SUMIF('Income Statement Source'!$C:$C,'1. Income Statement'!$AR80,'Income Statement Source'!M:M)/1000</f>
        <v>0</v>
      </c>
      <c r="L80" s="20">
        <f>SUMIF('Income Statement Source'!$C:$C,'1. Income Statement'!$AR80,'Income Statement Source'!N:N)/1000</f>
        <v>0</v>
      </c>
      <c r="M80" s="20">
        <f>SUMIF('Income Statement Source'!$C:$C,'1. Income Statement'!$AR80,'Income Statement Source'!O:O)/1000</f>
        <v>0</v>
      </c>
      <c r="N80" s="20">
        <f>SUMIF('Income Statement Source'!$C:$C,'1. Income Statement'!$AR80,'Income Statement Source'!P:P)/1000</f>
        <v>0</v>
      </c>
      <c r="O80" s="20">
        <f>SUMIF('Income Statement Source'!$C:$C,'1. Income Statement'!$AR80,'Income Statement Source'!Q:Q)/1000</f>
        <v>0</v>
      </c>
      <c r="P80" s="20">
        <f>SUMIF('Income Statement Source'!$C:$C,'1. Income Statement'!$AR80,'Income Statement Source'!R:R)/1000</f>
        <v>0</v>
      </c>
      <c r="Q80" s="22">
        <f t="shared" ref="Q80:Q81" si="526">SUM(E80:P80)</f>
        <v>6.2740900000000002</v>
      </c>
      <c r="R80" s="20">
        <f>SUMIF('Income Statement Source'!$C:$C,'1. Income Statement'!$AR80,'Income Statement Source'!T:T)/1000</f>
        <v>0</v>
      </c>
      <c r="S80" s="20">
        <f>SUMIF('Income Statement Source'!$C:$C,'1. Income Statement'!$AR80,'Income Statement Source'!U:U)/1000</f>
        <v>0</v>
      </c>
      <c r="T80" s="20">
        <f>SUMIF('Income Statement Source'!$C:$C,'1. Income Statement'!$AR80,'Income Statement Source'!V:V)/1000</f>
        <v>0</v>
      </c>
      <c r="U80" s="20">
        <f>SUMIF('Income Statement Source'!$C:$C,'1. Income Statement'!$AR80,'Income Statement Source'!W:W)/1000</f>
        <v>0</v>
      </c>
      <c r="V80" s="20">
        <f>SUMIF('Income Statement Source'!$C:$C,'1. Income Statement'!$AR80,'Income Statement Source'!X:X)/1000</f>
        <v>6.4674799999999992</v>
      </c>
      <c r="W80" s="20">
        <f>SUMIF('Income Statement Source'!$C:$C,'1. Income Statement'!$AR80,'Income Statement Source'!Y:Y)/1000</f>
        <v>0</v>
      </c>
      <c r="X80" s="20">
        <f>SUMIF('Income Statement Source'!$C:$C,'1. Income Statement'!$AR80,'Income Statement Source'!Z:Z)/1000</f>
        <v>0</v>
      </c>
      <c r="Y80" s="20">
        <f>SUMIF('Income Statement Source'!$C:$C,'1. Income Statement'!$AR80,'Income Statement Source'!AA:AA)/1000</f>
        <v>0</v>
      </c>
      <c r="Z80" s="20">
        <f>SUMIF('Income Statement Source'!$C:$C,'1. Income Statement'!$AR80,'Income Statement Source'!AB:AB)/1000</f>
        <v>0</v>
      </c>
      <c r="AA80" s="20">
        <f>SUMIF('Income Statement Source'!$C:$C,'1. Income Statement'!$AR80,'Income Statement Source'!AC:AC)/1000</f>
        <v>0</v>
      </c>
      <c r="AB80" s="20">
        <f>SUMIF('Income Statement Source'!$C:$C,'1. Income Statement'!$AR80,'Income Statement Source'!AD:AD)/1000</f>
        <v>0</v>
      </c>
      <c r="AC80" s="20">
        <f>SUMIF('Income Statement Source'!$C:$C,'1. Income Statement'!$AR80,'Income Statement Source'!AE:AE)/1000</f>
        <v>0</v>
      </c>
      <c r="AD80" s="22">
        <f t="shared" ref="AD80:AD81" si="527">SUM(R80:AC80)</f>
        <v>6.4674799999999992</v>
      </c>
      <c r="AE80" s="20">
        <f>SUMIF('Income Statement Source'!$C:$C,'1. Income Statement'!$AR80,'Income Statement Source'!AG:AG)/1000</f>
        <v>0</v>
      </c>
      <c r="AF80" s="20">
        <f>SUMIF('Income Statement Source'!$C:$C,'1. Income Statement'!$AR80,'Income Statement Source'!AH:AH)/1000</f>
        <v>0</v>
      </c>
      <c r="AG80" s="20">
        <f>SUMIF('Income Statement Source'!$C:$C,'1. Income Statement'!$AR80,'Income Statement Source'!AI:AI)/1000</f>
        <v>0</v>
      </c>
      <c r="AH80" s="20">
        <f>SUMIF('Income Statement Source'!$C:$C,'1. Income Statement'!$AR80,'Income Statement Source'!AJ:AJ)/1000</f>
        <v>0</v>
      </c>
      <c r="AI80" s="20">
        <f>SUMIF('Income Statement Source'!$C:$C,'1. Income Statement'!$AR80,'Income Statement Source'!AK:AK)/1000</f>
        <v>6.41099</v>
      </c>
      <c r="AJ80" s="20">
        <f>SUMIF('Income Statement Source'!$C:$C,'1. Income Statement'!$AR80,'Income Statement Source'!AL:AL)/1000</f>
        <v>0</v>
      </c>
      <c r="AK80" s="20">
        <f>SUMIF('Income Statement Source'!$C:$C,'1. Income Statement'!$AR80,'Income Statement Source'!AM:AM)/1000</f>
        <v>0</v>
      </c>
      <c r="AL80" s="20">
        <f>SUMIF('Income Statement Source'!$C:$C,'1. Income Statement'!$AR80,'Income Statement Source'!AN:AN)/1000</f>
        <v>0</v>
      </c>
      <c r="AM80" s="20">
        <f>SUMIF('Income Statement Source'!$C:$C,'1. Income Statement'!$AR80,'Income Statement Source'!AO:AO)/1000</f>
        <v>0</v>
      </c>
      <c r="AN80" s="20">
        <f>SUMIF('Income Statement Source'!$C:$C,'1. Income Statement'!$AR80,'Income Statement Source'!AP:AP)/1000</f>
        <v>0</v>
      </c>
      <c r="AO80" s="22">
        <f t="shared" ref="AO80:AO81" si="528">SUM(AE80:AN80)</f>
        <v>6.41099</v>
      </c>
      <c r="AP80" s="22">
        <f t="shared" ref="AP80:AP81" si="529">SUM(AO80,AB80:AC80)</f>
        <v>6.41099</v>
      </c>
      <c r="AR80" s="34" t="s">
        <v>46</v>
      </c>
    </row>
    <row r="81" spans="2:44" s="34" customFormat="1" hidden="1" outlineLevel="1" x14ac:dyDescent="0.2">
      <c r="B81" s="30" t="str">
        <f t="shared" si="525"/>
        <v>Legal &amp; Professional Fees</v>
      </c>
      <c r="C81" s="4"/>
      <c r="D81" s="4"/>
      <c r="E81" s="31">
        <f>SUMIF('Income Statement Source'!$C:$C,'1. Income Statement'!$AR81,'Income Statement Source'!G:G)/1000</f>
        <v>0.86090999999999995</v>
      </c>
      <c r="F81" s="31">
        <f>SUMIF('Income Statement Source'!$C:$C,'1. Income Statement'!$AR81,'Income Statement Source'!H:H)/1000</f>
        <v>0.73603999999999992</v>
      </c>
      <c r="G81" s="31">
        <f>SUMIF('Income Statement Source'!$C:$C,'1. Income Statement'!$AR81,'Income Statement Source'!I:I)/1000</f>
        <v>0.85016999999999998</v>
      </c>
      <c r="H81" s="31">
        <f>SUMIF('Income Statement Source'!$C:$C,'1. Income Statement'!$AR81,'Income Statement Source'!J:J)/1000</f>
        <v>0.87690000000000001</v>
      </c>
      <c r="I81" s="31">
        <f>SUMIF('Income Statement Source'!$C:$C,'1. Income Statement'!$AR81,'Income Statement Source'!K:K)/1000</f>
        <v>0.75288999999999995</v>
      </c>
      <c r="J81" s="31">
        <f>SUMIF('Income Statement Source'!$C:$C,'1. Income Statement'!$AR81,'Income Statement Source'!L:L)/1000</f>
        <v>100</v>
      </c>
      <c r="K81" s="31">
        <f>SUMIF('Income Statement Source'!$C:$C,'1. Income Statement'!$AR81,'Income Statement Source'!M:M)/1000</f>
        <v>0.76148000000000005</v>
      </c>
      <c r="L81" s="31">
        <f>SUMIF('Income Statement Source'!$C:$C,'1. Income Statement'!$AR81,'Income Statement Source'!N:N)/1000</f>
        <v>0.95117999999999991</v>
      </c>
      <c r="M81" s="31">
        <f>SUMIF('Income Statement Source'!$C:$C,'1. Income Statement'!$AR81,'Income Statement Source'!O:O)/1000</f>
        <v>0.77742</v>
      </c>
      <c r="N81" s="31">
        <f>SUMIF('Income Statement Source'!$C:$C,'1. Income Statement'!$AR81,'Income Statement Source'!P:P)/1000</f>
        <v>0.67776999999999998</v>
      </c>
      <c r="O81" s="31">
        <f>SUMIF('Income Statement Source'!$C:$C,'1. Income Statement'!$AR81,'Income Statement Source'!Q:Q)/1000</f>
        <v>0.81264000000000003</v>
      </c>
      <c r="P81" s="31">
        <f>SUMIF('Income Statement Source'!$C:$C,'1. Income Statement'!$AR81,'Income Statement Source'!R:R)/1000</f>
        <v>0.89517999999999998</v>
      </c>
      <c r="Q81" s="32">
        <f t="shared" si="526"/>
        <v>108.95258</v>
      </c>
      <c r="R81" s="31">
        <f>SUMIF('Income Statement Source'!$C:$C,'1. Income Statement'!$AR81,'Income Statement Source'!T:T)/1000</f>
        <v>0.75682000000000005</v>
      </c>
      <c r="S81" s="31">
        <f>SUMIF('Income Statement Source'!$C:$C,'1. Income Statement'!$AR81,'Income Statement Source'!U:U)/1000</f>
        <v>0.66383999999999999</v>
      </c>
      <c r="T81" s="31">
        <f>SUMIF('Income Statement Source'!$C:$C,'1. Income Statement'!$AR81,'Income Statement Source'!V:V)/1000</f>
        <v>0.76411000000000007</v>
      </c>
      <c r="U81" s="31">
        <f>SUMIF('Income Statement Source'!$C:$C,'1. Income Statement'!$AR81,'Income Statement Source'!W:W)/1000</f>
        <v>0.79324000000000006</v>
      </c>
      <c r="V81" s="31">
        <f>SUMIF('Income Statement Source'!$C:$C,'1. Income Statement'!$AR81,'Income Statement Source'!X:X)/1000</f>
        <v>0.74614999999999998</v>
      </c>
      <c r="W81" s="31">
        <f>SUMIF('Income Statement Source'!$C:$C,'1. Income Statement'!$AR81,'Income Statement Source'!Y:Y)/1000</f>
        <v>0.64737999999999996</v>
      </c>
      <c r="X81" s="31">
        <f>SUMIF('Income Statement Source'!$C:$C,'1. Income Statement'!$AR81,'Income Statement Source'!Z:Z)/1000</f>
        <v>0.72442999999999991</v>
      </c>
      <c r="Y81" s="31">
        <f>SUMIF('Income Statement Source'!$C:$C,'1. Income Statement'!$AR81,'Income Statement Source'!AA:AA)/1000</f>
        <v>0.7582000000000001</v>
      </c>
      <c r="Z81" s="31">
        <f>SUMIF('Income Statement Source'!$C:$C,'1. Income Statement'!$AR81,'Income Statement Source'!AB:AB)/1000</f>
        <v>0.86104999999999998</v>
      </c>
      <c r="AA81" s="31">
        <f>SUMIF('Income Statement Source'!$C:$C,'1. Income Statement'!$AR81,'Income Statement Source'!AC:AC)/1000</f>
        <v>0.75065999999999999</v>
      </c>
      <c r="AB81" s="31">
        <f>SUMIF('Income Statement Source'!$C:$C,'1. Income Statement'!$AR81,'Income Statement Source'!AD:AD)/1000</f>
        <v>0.72570000000000001</v>
      </c>
      <c r="AC81" s="31">
        <f>SUMIF('Income Statement Source'!$C:$C,'1. Income Statement'!$AR81,'Income Statement Source'!AE:AE)/1000</f>
        <v>0.83289999999999997</v>
      </c>
      <c r="AD81" s="32">
        <f t="shared" si="527"/>
        <v>9.0244800000000005</v>
      </c>
      <c r="AE81" s="31">
        <f>SUMIF('Income Statement Source'!$C:$C,'1. Income Statement'!$AR81,'Income Statement Source'!AG:AG)/1000</f>
        <v>0.88824999999999998</v>
      </c>
      <c r="AF81" s="31">
        <f>SUMIF('Income Statement Source'!$C:$C,'1. Income Statement'!$AR81,'Income Statement Source'!AH:AH)/1000</f>
        <v>0.65091999999999994</v>
      </c>
      <c r="AG81" s="31">
        <f>SUMIF('Income Statement Source'!$C:$C,'1. Income Statement'!$AR81,'Income Statement Source'!AI:AI)/1000</f>
        <v>0.9355</v>
      </c>
      <c r="AH81" s="31">
        <f>SUMIF('Income Statement Source'!$C:$C,'1. Income Statement'!$AR81,'Income Statement Source'!AJ:AJ)/1000</f>
        <v>0.69684999999999997</v>
      </c>
      <c r="AI81" s="31">
        <f>SUMIF('Income Statement Source'!$C:$C,'1. Income Statement'!$AR81,'Income Statement Source'!AK:AK)/1000</f>
        <v>0.72775999999999996</v>
      </c>
      <c r="AJ81" s="31">
        <f>SUMIF('Income Statement Source'!$C:$C,'1. Income Statement'!$AR81,'Income Statement Source'!AL:AL)/1000</f>
        <v>0.92703999999999998</v>
      </c>
      <c r="AK81" s="31">
        <f>SUMIF('Income Statement Source'!$C:$C,'1. Income Statement'!$AR81,'Income Statement Source'!AM:AM)/1000</f>
        <v>0.81270000000000009</v>
      </c>
      <c r="AL81" s="31">
        <f>SUMIF('Income Statement Source'!$C:$C,'1. Income Statement'!$AR81,'Income Statement Source'!AN:AN)/1000</f>
        <v>0.8881</v>
      </c>
      <c r="AM81" s="31">
        <f>SUMIF('Income Statement Source'!$C:$C,'1. Income Statement'!$AR81,'Income Statement Source'!AO:AO)/1000</f>
        <v>0.78570000000000007</v>
      </c>
      <c r="AN81" s="31">
        <f>SUMIF('Income Statement Source'!$C:$C,'1. Income Statement'!$AR81,'Income Statement Source'!AP:AP)/1000</f>
        <v>0.75879999999999992</v>
      </c>
      <c r="AO81" s="32">
        <f t="shared" si="528"/>
        <v>8.0716199999999994</v>
      </c>
      <c r="AP81" s="32">
        <f t="shared" si="529"/>
        <v>9.6302199999999996</v>
      </c>
      <c r="AR81" s="34" t="s">
        <v>47</v>
      </c>
    </row>
    <row r="82" spans="2:44" collapsed="1" x14ac:dyDescent="0.2">
      <c r="B82" s="27" t="str">
        <f>+B79</f>
        <v>Professional Fees</v>
      </c>
      <c r="C82" s="10"/>
      <c r="D82" s="10"/>
      <c r="E82" s="19">
        <f>SUM(E80:E81)</f>
        <v>0.86090999999999995</v>
      </c>
      <c r="F82" s="19">
        <f t="shared" ref="F82:AP82" si="530">SUM(F80:F81)</f>
        <v>0.73603999999999992</v>
      </c>
      <c r="G82" s="19">
        <f t="shared" si="530"/>
        <v>0.85016999999999998</v>
      </c>
      <c r="H82" s="19">
        <f t="shared" si="530"/>
        <v>0.87690000000000001</v>
      </c>
      <c r="I82" s="19">
        <f t="shared" si="530"/>
        <v>7.02698</v>
      </c>
      <c r="J82" s="19">
        <f t="shared" si="530"/>
        <v>100</v>
      </c>
      <c r="K82" s="19">
        <f t="shared" si="530"/>
        <v>0.76148000000000005</v>
      </c>
      <c r="L82" s="19">
        <f t="shared" si="530"/>
        <v>0.95117999999999991</v>
      </c>
      <c r="M82" s="19">
        <f t="shared" si="530"/>
        <v>0.77742</v>
      </c>
      <c r="N82" s="19">
        <f t="shared" si="530"/>
        <v>0.67776999999999998</v>
      </c>
      <c r="O82" s="19">
        <f t="shared" si="530"/>
        <v>0.81264000000000003</v>
      </c>
      <c r="P82" s="19">
        <f t="shared" si="530"/>
        <v>0.89517999999999998</v>
      </c>
      <c r="Q82" s="21">
        <f t="shared" si="530"/>
        <v>115.22667</v>
      </c>
      <c r="R82" s="19">
        <f t="shared" si="530"/>
        <v>0.75682000000000005</v>
      </c>
      <c r="S82" s="19">
        <f t="shared" si="530"/>
        <v>0.66383999999999999</v>
      </c>
      <c r="T82" s="19">
        <f t="shared" si="530"/>
        <v>0.76411000000000007</v>
      </c>
      <c r="U82" s="19">
        <f t="shared" si="530"/>
        <v>0.79324000000000006</v>
      </c>
      <c r="V82" s="19">
        <f t="shared" si="530"/>
        <v>7.2136299999999993</v>
      </c>
      <c r="W82" s="19">
        <f t="shared" si="530"/>
        <v>0.64737999999999996</v>
      </c>
      <c r="X82" s="19">
        <f t="shared" si="530"/>
        <v>0.72442999999999991</v>
      </c>
      <c r="Y82" s="19">
        <f t="shared" si="530"/>
        <v>0.7582000000000001</v>
      </c>
      <c r="Z82" s="19">
        <f t="shared" si="530"/>
        <v>0.86104999999999998</v>
      </c>
      <c r="AA82" s="19">
        <f t="shared" si="530"/>
        <v>0.75065999999999999</v>
      </c>
      <c r="AB82" s="19">
        <f t="shared" si="530"/>
        <v>0.72570000000000001</v>
      </c>
      <c r="AC82" s="19">
        <f t="shared" si="530"/>
        <v>0.83289999999999997</v>
      </c>
      <c r="AD82" s="21">
        <f t="shared" si="530"/>
        <v>15.491959999999999</v>
      </c>
      <c r="AE82" s="19">
        <f t="shared" si="530"/>
        <v>0.88824999999999998</v>
      </c>
      <c r="AF82" s="19">
        <f t="shared" si="530"/>
        <v>0.65091999999999994</v>
      </c>
      <c r="AG82" s="19">
        <f t="shared" si="530"/>
        <v>0.9355</v>
      </c>
      <c r="AH82" s="19">
        <f t="shared" si="530"/>
        <v>0.69684999999999997</v>
      </c>
      <c r="AI82" s="19">
        <f t="shared" si="530"/>
        <v>7.1387499999999999</v>
      </c>
      <c r="AJ82" s="19">
        <f t="shared" si="530"/>
        <v>0.92703999999999998</v>
      </c>
      <c r="AK82" s="19">
        <f t="shared" si="530"/>
        <v>0.81270000000000009</v>
      </c>
      <c r="AL82" s="19">
        <f t="shared" si="530"/>
        <v>0.8881</v>
      </c>
      <c r="AM82" s="19">
        <f t="shared" si="530"/>
        <v>0.78570000000000007</v>
      </c>
      <c r="AN82" s="19">
        <f t="shared" si="530"/>
        <v>0.75879999999999992</v>
      </c>
      <c r="AO82" s="21">
        <f t="shared" si="530"/>
        <v>14.482609999999999</v>
      </c>
      <c r="AP82" s="21">
        <f t="shared" si="530"/>
        <v>16.04121</v>
      </c>
    </row>
    <row r="83" spans="2:44" x14ac:dyDescent="0.2">
      <c r="B83" s="28"/>
      <c r="C83" s="10"/>
      <c r="D83" s="10"/>
      <c r="E83" s="45">
        <f>IFERROR(E82/E$19,0)</f>
        <v>4.531677208523475E-3</v>
      </c>
      <c r="F83" s="45">
        <f t="shared" ref="F83" si="531">IFERROR(F82/F$19,0)</f>
        <v>3.2384760735822732E-3</v>
      </c>
      <c r="G83" s="45">
        <f t="shared" ref="G83" si="532">IFERROR(G82/G$19,0)</f>
        <v>2.7637421296642594E-3</v>
      </c>
      <c r="H83" s="45">
        <f t="shared" ref="H83" si="533">IFERROR(H82/H$19,0)</f>
        <v>3.3903766426595216E-3</v>
      </c>
      <c r="I83" s="45">
        <f t="shared" ref="I83" si="534">IFERROR(I82/I$19,0)</f>
        <v>2.5855682200639416E-2</v>
      </c>
      <c r="J83" s="45">
        <f t="shared" ref="J83" si="535">IFERROR(J82/J$19,0)</f>
        <v>0.27155089696112544</v>
      </c>
      <c r="K83" s="45">
        <f t="shared" ref="K83" si="536">IFERROR(K82/K$19,0)</f>
        <v>2.5173176332334854E-3</v>
      </c>
      <c r="L83" s="45">
        <f t="shared" ref="L83" si="537">IFERROR(L82/L$19,0)</f>
        <v>3.4311056685532013E-3</v>
      </c>
      <c r="M83" s="45">
        <f t="shared" ref="M83" si="538">IFERROR(M82/M$19,0)</f>
        <v>2.194365604590741E-3</v>
      </c>
      <c r="N83" s="45">
        <f t="shared" ref="N83" si="539">IFERROR(N82/N$19,0)</f>
        <v>2.5369910642905284E-3</v>
      </c>
      <c r="O83" s="45">
        <f t="shared" ref="O83" si="540">IFERROR(O82/O$19,0)</f>
        <v>3.6070492992699519E-3</v>
      </c>
      <c r="P83" s="45">
        <f t="shared" ref="P83" si="541">IFERROR(P82/P$19,0)</f>
        <v>2.6399320585684021E-3</v>
      </c>
      <c r="Q83" s="46">
        <f t="shared" ref="Q83" si="542">IFERROR(Q82/Q$19,0)</f>
        <v>3.3999337231291137E-2</v>
      </c>
      <c r="R83" s="45">
        <f t="shared" ref="R83" si="543">IFERROR(R82/R$19,0)</f>
        <v>3.7372500206042068E-3</v>
      </c>
      <c r="S83" s="45">
        <f t="shared" ref="S83" si="544">IFERROR(S82/S$19,0)</f>
        <v>2.5709232698841265E-3</v>
      </c>
      <c r="T83" s="45">
        <f t="shared" ref="T83" si="545">IFERROR(T82/T$19,0)</f>
        <v>2.1653832383450719E-3</v>
      </c>
      <c r="U83" s="45">
        <f t="shared" ref="U83" si="546">IFERROR(U82/U$19,0)</f>
        <v>2.4812035319771502E-3</v>
      </c>
      <c r="V83" s="45">
        <f t="shared" ref="V83" si="547">IFERROR(V82/V$19,0)</f>
        <v>2.1213905213562548E-2</v>
      </c>
      <c r="W83" s="45">
        <f t="shared" ref="W83" si="548">IFERROR(W82/W$19,0)</f>
        <v>1.4792246713050496E-3</v>
      </c>
      <c r="X83" s="45">
        <f t="shared" ref="X83" si="549">IFERROR(X82/X$19,0)</f>
        <v>1.9520846654443554E-3</v>
      </c>
      <c r="Y83" s="45">
        <f t="shared" ref="Y83" si="550">IFERROR(Y82/Y$19,0)</f>
        <v>1.9895707864462106E-3</v>
      </c>
      <c r="Z83" s="45">
        <f t="shared" ref="Z83" si="551">IFERROR(Z82/Z$19,0)</f>
        <v>2.1628855669130176E-3</v>
      </c>
      <c r="AA83" s="45">
        <f t="shared" ref="AA83" si="552">IFERROR(AA82/AA$19,0)</f>
        <v>2.4587965850418657E-3</v>
      </c>
      <c r="AB83" s="45">
        <f t="shared" ref="AB83" si="553">IFERROR(AB82/AB$19,0)</f>
        <v>2.4793577325776433E-3</v>
      </c>
      <c r="AC83" s="45">
        <f t="shared" ref="AC83" si="554">IFERROR(AC82/AC$19,0)</f>
        <v>2.1333955994214089E-3</v>
      </c>
      <c r="AD83" s="46">
        <f t="shared" ref="AD83" si="555">IFERROR(AD82/AD$19,0)</f>
        <v>3.8254757360031092E-3</v>
      </c>
      <c r="AE83" s="45">
        <f t="shared" ref="AE83" si="556">IFERROR(AE82/AE$19,0)</f>
        <v>4.1810404396162197E-3</v>
      </c>
      <c r="AF83" s="45">
        <f t="shared" ref="AF83" si="557">IFERROR(AF82/AF$19,0)</f>
        <v>2.3036628387778243E-3</v>
      </c>
      <c r="AG83" s="45">
        <f t="shared" ref="AG83" si="558">IFERROR(AG82/AG$19,0)</f>
        <v>2.451203751968889E-3</v>
      </c>
      <c r="AH83" s="45">
        <f t="shared" ref="AH83" si="559">IFERROR(AH82/AH$19,0)</f>
        <v>1.9970860913335374E-3</v>
      </c>
      <c r="AI83" s="45">
        <f t="shared" ref="AI83" si="560">IFERROR(AI82/AI$19,0)</f>
        <v>2.0649843450250036E-2</v>
      </c>
      <c r="AJ83" s="45">
        <f t="shared" ref="AJ83" si="561">IFERROR(AJ82/AJ$19,0)</f>
        <v>1.9624624025786365E-3</v>
      </c>
      <c r="AK83" s="45">
        <f t="shared" ref="AK83" si="562">IFERROR(AK82/AK$19,0)</f>
        <v>2.1106155782907492E-3</v>
      </c>
      <c r="AL83" s="45">
        <f t="shared" ref="AL83" si="563">IFERROR(AL82/AL$19,0)</f>
        <v>2.5091758960556435E-3</v>
      </c>
      <c r="AM83" s="45">
        <f t="shared" ref="AM83" si="564">IFERROR(AM82/AM$19,0)</f>
        <v>1.7969864968712264E-3</v>
      </c>
      <c r="AN83" s="45">
        <f t="shared" ref="AN83" si="565">IFERROR(AN82/AN$19,0)</f>
        <v>2.2432611553906525E-3</v>
      </c>
      <c r="AO83" s="46">
        <f t="shared" ref="AO83" si="566">IFERROR(AO82/AO$19,0)</f>
        <v>4.0702487817773992E-3</v>
      </c>
      <c r="AP83" s="46">
        <f t="shared" ref="AP83" si="567">IFERROR(AP82/AP$19,0)</f>
        <v>3.7821708517776988E-3</v>
      </c>
    </row>
    <row r="84" spans="2:44" hidden="1" outlineLevel="1" x14ac:dyDescent="0.2">
      <c r="B84" s="29" t="s">
        <v>92</v>
      </c>
      <c r="Q84" s="17"/>
      <c r="AD84" s="17"/>
      <c r="AO84" s="17"/>
      <c r="AP84" s="17"/>
    </row>
    <row r="85" spans="2:44" hidden="1" outlineLevel="1" x14ac:dyDescent="0.2">
      <c r="B85" s="30" t="str">
        <f t="shared" ref="B85:B92" si="568">+AR85</f>
        <v>Computer &amp; Software</v>
      </c>
      <c r="E85" s="20">
        <f>SUMIF('Income Statement Source'!$C:$C,'1. Income Statement'!$AR85,'Income Statement Source'!G:G)/1000</f>
        <v>0.90629999999999999</v>
      </c>
      <c r="F85" s="20">
        <f>SUMIF('Income Statement Source'!$C:$C,'1. Income Statement'!$AR85,'Income Statement Source'!H:H)/1000</f>
        <v>0.93314999999999992</v>
      </c>
      <c r="G85" s="20">
        <f>SUMIF('Income Statement Source'!$C:$C,'1. Income Statement'!$AR85,'Income Statement Source'!I:I)/1000</f>
        <v>0.91413999999999995</v>
      </c>
      <c r="H85" s="20">
        <f>SUMIF('Income Statement Source'!$C:$C,'1. Income Statement'!$AR85,'Income Statement Source'!J:J)/1000</f>
        <v>0.87051999999999996</v>
      </c>
      <c r="I85" s="20">
        <f>SUMIF('Income Statement Source'!$C:$C,'1. Income Statement'!$AR85,'Income Statement Source'!K:K)/1000</f>
        <v>0.85878999999999994</v>
      </c>
      <c r="J85" s="20">
        <f>SUMIF('Income Statement Source'!$C:$C,'1. Income Statement'!$AR85,'Income Statement Source'!L:L)/1000</f>
        <v>0.89161000000000001</v>
      </c>
      <c r="K85" s="20">
        <f>SUMIF('Income Statement Source'!$C:$C,'1. Income Statement'!$AR85,'Income Statement Source'!M:M)/1000</f>
        <v>0.86603999999999992</v>
      </c>
      <c r="L85" s="20">
        <f>SUMIF('Income Statement Source'!$C:$C,'1. Income Statement'!$AR85,'Income Statement Source'!N:N)/1000</f>
        <v>0.87714000000000003</v>
      </c>
      <c r="M85" s="20">
        <f>SUMIF('Income Statement Source'!$C:$C,'1. Income Statement'!$AR85,'Income Statement Source'!O:O)/1000</f>
        <v>0.94899</v>
      </c>
      <c r="N85" s="20">
        <f>SUMIF('Income Statement Source'!$C:$C,'1. Income Statement'!$AR85,'Income Statement Source'!P:P)/1000</f>
        <v>0.89351999999999998</v>
      </c>
      <c r="O85" s="20">
        <f>SUMIF('Income Statement Source'!$C:$C,'1. Income Statement'!$AR85,'Income Statement Source'!Q:Q)/1000</f>
        <v>0.93353999999999993</v>
      </c>
      <c r="P85" s="20">
        <f>SUMIF('Income Statement Source'!$C:$C,'1. Income Statement'!$AR85,'Income Statement Source'!R:R)/1000</f>
        <v>0.92283000000000004</v>
      </c>
      <c r="Q85" s="22">
        <f t="shared" ref="Q85:Q92" si="569">SUM(E85:P85)</f>
        <v>10.81657</v>
      </c>
      <c r="R85" s="20">
        <f>SUMIF('Income Statement Source'!$C:$C,'1. Income Statement'!$AR85,'Income Statement Source'!T:T)/1000</f>
        <v>0.91003000000000001</v>
      </c>
      <c r="S85" s="20">
        <f>SUMIF('Income Statement Source'!$C:$C,'1. Income Statement'!$AR85,'Income Statement Source'!U:U)/1000</f>
        <v>0.83401999999999998</v>
      </c>
      <c r="T85" s="20">
        <f>SUMIF('Income Statement Source'!$C:$C,'1. Income Statement'!$AR85,'Income Statement Source'!V:V)/1000</f>
        <v>0.86177999999999999</v>
      </c>
      <c r="U85" s="20">
        <f>SUMIF('Income Statement Source'!$C:$C,'1. Income Statement'!$AR85,'Income Statement Source'!W:W)/1000</f>
        <v>0.85539999999999994</v>
      </c>
      <c r="V85" s="20">
        <f>SUMIF('Income Statement Source'!$C:$C,'1. Income Statement'!$AR85,'Income Statement Source'!X:X)/1000</f>
        <v>0.84942999999999991</v>
      </c>
      <c r="W85" s="20">
        <f>SUMIF('Income Statement Source'!$C:$C,'1. Income Statement'!$AR85,'Income Statement Source'!Y:Y)/1000</f>
        <v>0.94277</v>
      </c>
      <c r="X85" s="20">
        <f>SUMIF('Income Statement Source'!$C:$C,'1. Income Statement'!$AR85,'Income Statement Source'!Z:Z)/1000</f>
        <v>0.95628999999999997</v>
      </c>
      <c r="Y85" s="20">
        <f>SUMIF('Income Statement Source'!$C:$C,'1. Income Statement'!$AR85,'Income Statement Source'!AA:AA)/1000</f>
        <v>0.95155000000000001</v>
      </c>
      <c r="Z85" s="20">
        <f>SUMIF('Income Statement Source'!$C:$C,'1. Income Statement'!$AR85,'Income Statement Source'!AB:AB)/1000</f>
        <v>0.87422</v>
      </c>
      <c r="AA85" s="20">
        <f>SUMIF('Income Statement Source'!$C:$C,'1. Income Statement'!$AR85,'Income Statement Source'!AC:AC)/1000</f>
        <v>0.85490999999999995</v>
      </c>
      <c r="AB85" s="20">
        <f>SUMIF('Income Statement Source'!$C:$C,'1. Income Statement'!$AR85,'Income Statement Source'!AD:AD)/1000</f>
        <v>0.93611999999999995</v>
      </c>
      <c r="AC85" s="20">
        <f>SUMIF('Income Statement Source'!$C:$C,'1. Income Statement'!$AR85,'Income Statement Source'!AE:AE)/1000</f>
        <v>0.85699999999999998</v>
      </c>
      <c r="AD85" s="22">
        <f t="shared" ref="AD85:AD92" si="570">SUM(R85:AC85)</f>
        <v>10.683520000000001</v>
      </c>
      <c r="AE85" s="20">
        <f>SUMIF('Income Statement Source'!$C:$C,'1. Income Statement'!$AR85,'Income Statement Source'!AG:AG)/1000</f>
        <v>0.84021000000000001</v>
      </c>
      <c r="AF85" s="20">
        <f>SUMIF('Income Statement Source'!$C:$C,'1. Income Statement'!$AR85,'Income Statement Source'!AH:AH)/1000</f>
        <v>0.92209000000000008</v>
      </c>
      <c r="AG85" s="20">
        <f>SUMIF('Income Statement Source'!$C:$C,'1. Income Statement'!$AR85,'Income Statement Source'!AI:AI)/1000</f>
        <v>0.95108999999999999</v>
      </c>
      <c r="AH85" s="20">
        <f>SUMIF('Income Statement Source'!$C:$C,'1. Income Statement'!$AR85,'Income Statement Source'!AJ:AJ)/1000</f>
        <v>0.85953000000000002</v>
      </c>
      <c r="AI85" s="20">
        <f>SUMIF('Income Statement Source'!$C:$C,'1. Income Statement'!$AR85,'Income Statement Source'!AK:AK)/1000</f>
        <v>0.95420000000000005</v>
      </c>
      <c r="AJ85" s="20">
        <f>SUMIF('Income Statement Source'!$C:$C,'1. Income Statement'!$AR85,'Income Statement Source'!AL:AL)/1000</f>
        <v>0.83484000000000003</v>
      </c>
      <c r="AK85" s="20">
        <f>SUMIF('Income Statement Source'!$C:$C,'1. Income Statement'!$AR85,'Income Statement Source'!AM:AM)/1000</f>
        <v>0.86563999999999997</v>
      </c>
      <c r="AL85" s="20">
        <f>SUMIF('Income Statement Source'!$C:$C,'1. Income Statement'!$AR85,'Income Statement Source'!AN:AN)/1000</f>
        <v>0.86397000000000002</v>
      </c>
      <c r="AM85" s="20">
        <f>SUMIF('Income Statement Source'!$C:$C,'1. Income Statement'!$AR85,'Income Statement Source'!AO:AO)/1000</f>
        <v>0.87863999999999998</v>
      </c>
      <c r="AN85" s="20">
        <f>SUMIF('Income Statement Source'!$C:$C,'1. Income Statement'!$AR85,'Income Statement Source'!AP:AP)/1000</f>
        <v>0.91394000000000009</v>
      </c>
      <c r="AO85" s="22">
        <f t="shared" ref="AO85:AO92" si="571">SUM(AE85:AN85)</f>
        <v>8.88415</v>
      </c>
      <c r="AP85" s="22">
        <f t="shared" ref="AP85:AP92" si="572">SUM(AO85,AB85:AC85)</f>
        <v>10.67727</v>
      </c>
      <c r="AR85" s="53" t="s">
        <v>45</v>
      </c>
    </row>
    <row r="86" spans="2:44" hidden="1" outlineLevel="1" x14ac:dyDescent="0.2">
      <c r="B86" s="30" t="str">
        <f t="shared" si="568"/>
        <v>Licenses &amp; Permits</v>
      </c>
      <c r="E86" s="20">
        <f>SUMIF('Income Statement Source'!$C:$C,'1. Income Statement'!$AR86,'Income Statement Source'!G:G)/1000</f>
        <v>0.38181999999999999</v>
      </c>
      <c r="F86" s="20">
        <f>SUMIF('Income Statement Source'!$C:$C,'1. Income Statement'!$AR86,'Income Statement Source'!H:H)/1000</f>
        <v>0.33844999999999997</v>
      </c>
      <c r="G86" s="20">
        <f>SUMIF('Income Statement Source'!$C:$C,'1. Income Statement'!$AR86,'Income Statement Source'!I:I)/1000</f>
        <v>0.35331000000000001</v>
      </c>
      <c r="H86" s="20">
        <f>SUMIF('Income Statement Source'!$C:$C,'1. Income Statement'!$AR86,'Income Statement Source'!J:J)/1000</f>
        <v>0.30820999999999998</v>
      </c>
      <c r="I86" s="20">
        <f>SUMIF('Income Statement Source'!$C:$C,'1. Income Statement'!$AR86,'Income Statement Source'!K:K)/1000</f>
        <v>0.32221</v>
      </c>
      <c r="J86" s="20">
        <f>SUMIF('Income Statement Source'!$C:$C,'1. Income Statement'!$AR86,'Income Statement Source'!L:L)/1000</f>
        <v>0.39350000000000002</v>
      </c>
      <c r="K86" s="20">
        <f>SUMIF('Income Statement Source'!$C:$C,'1. Income Statement'!$AR86,'Income Statement Source'!M:M)/1000</f>
        <v>0.32785000000000003</v>
      </c>
      <c r="L86" s="20">
        <f>SUMIF('Income Statement Source'!$C:$C,'1. Income Statement'!$AR86,'Income Statement Source'!N:N)/1000</f>
        <v>0.39250000000000002</v>
      </c>
      <c r="M86" s="20">
        <f>SUMIF('Income Statement Source'!$C:$C,'1. Income Statement'!$AR86,'Income Statement Source'!O:O)/1000</f>
        <v>0.37639999999999996</v>
      </c>
      <c r="N86" s="20">
        <f>SUMIF('Income Statement Source'!$C:$C,'1. Income Statement'!$AR86,'Income Statement Source'!P:P)/1000</f>
        <v>0.32901999999999998</v>
      </c>
      <c r="O86" s="20">
        <f>SUMIF('Income Statement Source'!$C:$C,'1. Income Statement'!$AR86,'Income Statement Source'!Q:Q)/1000</f>
        <v>0.31827999999999995</v>
      </c>
      <c r="P86" s="20">
        <f>SUMIF('Income Statement Source'!$C:$C,'1. Income Statement'!$AR86,'Income Statement Source'!R:R)/1000</f>
        <v>0.39638999999999996</v>
      </c>
      <c r="Q86" s="22">
        <f t="shared" si="569"/>
        <v>4.23794</v>
      </c>
      <c r="R86" s="20">
        <f>SUMIF('Income Statement Source'!$C:$C,'1. Income Statement'!$AR86,'Income Statement Source'!T:T)/1000</f>
        <v>0.39195999999999998</v>
      </c>
      <c r="S86" s="20">
        <f>SUMIF('Income Statement Source'!$C:$C,'1. Income Statement'!$AR86,'Income Statement Source'!U:U)/1000</f>
        <v>0.34997</v>
      </c>
      <c r="T86" s="20">
        <f>SUMIF('Income Statement Source'!$C:$C,'1. Income Statement'!$AR86,'Income Statement Source'!V:V)/1000</f>
        <v>0.40022000000000002</v>
      </c>
      <c r="U86" s="20">
        <f>SUMIF('Income Statement Source'!$C:$C,'1. Income Statement'!$AR86,'Income Statement Source'!W:W)/1000</f>
        <v>0.34367000000000003</v>
      </c>
      <c r="V86" s="20">
        <f>SUMIF('Income Statement Source'!$C:$C,'1. Income Statement'!$AR86,'Income Statement Source'!X:X)/1000</f>
        <v>0.33326999999999996</v>
      </c>
      <c r="W86" s="20">
        <f>SUMIF('Income Statement Source'!$C:$C,'1. Income Statement'!$AR86,'Income Statement Source'!Y:Y)/1000</f>
        <v>0.38301999999999997</v>
      </c>
      <c r="X86" s="20">
        <f>SUMIF('Income Statement Source'!$C:$C,'1. Income Statement'!$AR86,'Income Statement Source'!Z:Z)/1000</f>
        <v>0.33744000000000002</v>
      </c>
      <c r="Y86" s="20">
        <f>SUMIF('Income Statement Source'!$C:$C,'1. Income Statement'!$AR86,'Income Statement Source'!AA:AA)/1000</f>
        <v>0.37530000000000002</v>
      </c>
      <c r="Z86" s="20">
        <f>SUMIF('Income Statement Source'!$C:$C,'1. Income Statement'!$AR86,'Income Statement Source'!AB:AB)/1000</f>
        <v>0.30313999999999997</v>
      </c>
      <c r="AA86" s="20">
        <f>SUMIF('Income Statement Source'!$C:$C,'1. Income Statement'!$AR86,'Income Statement Source'!AC:AC)/1000</f>
        <v>0.36713999999999997</v>
      </c>
      <c r="AB86" s="20">
        <f>SUMIF('Income Statement Source'!$C:$C,'1. Income Statement'!$AR86,'Income Statement Source'!AD:AD)/1000</f>
        <v>0.38732</v>
      </c>
      <c r="AC86" s="20">
        <f>SUMIF('Income Statement Source'!$C:$C,'1. Income Statement'!$AR86,'Income Statement Source'!AE:AE)/1000</f>
        <v>0.31195000000000001</v>
      </c>
      <c r="AD86" s="22">
        <f t="shared" si="570"/>
        <v>4.2843999999999998</v>
      </c>
      <c r="AE86" s="20">
        <f>SUMIF('Income Statement Source'!$C:$C,'1. Income Statement'!$AR86,'Income Statement Source'!AG:AG)/1000</f>
        <v>0.38844999999999996</v>
      </c>
      <c r="AF86" s="20">
        <f>SUMIF('Income Statement Source'!$C:$C,'1. Income Statement'!$AR86,'Income Statement Source'!AH:AH)/1000</f>
        <v>0.30980000000000002</v>
      </c>
      <c r="AG86" s="20">
        <f>SUMIF('Income Statement Source'!$C:$C,'1. Income Statement'!$AR86,'Income Statement Source'!AI:AI)/1000</f>
        <v>0.32974000000000003</v>
      </c>
      <c r="AH86" s="20">
        <f>SUMIF('Income Statement Source'!$C:$C,'1. Income Statement'!$AR86,'Income Statement Source'!AJ:AJ)/1000</f>
        <v>0.35299000000000003</v>
      </c>
      <c r="AI86" s="20">
        <f>SUMIF('Income Statement Source'!$C:$C,'1. Income Statement'!$AR86,'Income Statement Source'!AK:AK)/1000</f>
        <v>0.32306999999999997</v>
      </c>
      <c r="AJ86" s="20">
        <f>SUMIF('Income Statement Source'!$C:$C,'1. Income Statement'!$AR86,'Income Statement Source'!AL:AL)/1000</f>
        <v>0.35145999999999999</v>
      </c>
      <c r="AK86" s="20">
        <f>SUMIF('Income Statement Source'!$C:$C,'1. Income Statement'!$AR86,'Income Statement Source'!AM:AM)/1000</f>
        <v>0.37348999999999999</v>
      </c>
      <c r="AL86" s="20">
        <f>SUMIF('Income Statement Source'!$C:$C,'1. Income Statement'!$AR86,'Income Statement Source'!AN:AN)/1000</f>
        <v>0.37891000000000002</v>
      </c>
      <c r="AM86" s="20">
        <f>SUMIF('Income Statement Source'!$C:$C,'1. Income Statement'!$AR86,'Income Statement Source'!AO:AO)/1000</f>
        <v>0.34783999999999998</v>
      </c>
      <c r="AN86" s="20">
        <f>SUMIF('Income Statement Source'!$C:$C,'1. Income Statement'!$AR86,'Income Statement Source'!AP:AP)/1000</f>
        <v>0.33967000000000003</v>
      </c>
      <c r="AO86" s="22">
        <f t="shared" si="571"/>
        <v>3.4954199999999997</v>
      </c>
      <c r="AP86" s="22">
        <f t="shared" si="572"/>
        <v>4.1946899999999996</v>
      </c>
      <c r="AR86" s="53" t="s">
        <v>48</v>
      </c>
    </row>
    <row r="87" spans="2:44" hidden="1" outlineLevel="1" x14ac:dyDescent="0.2">
      <c r="B87" s="30" t="str">
        <f t="shared" si="568"/>
        <v>Advertising &amp; Marketing</v>
      </c>
      <c r="E87" s="20">
        <f>SUMIF('Income Statement Source'!$C:$C,'1. Income Statement'!$AR87,'Income Statement Source'!G:G)/1000</f>
        <v>1.7324300000000001</v>
      </c>
      <c r="F87" s="20">
        <f>SUMIF('Income Statement Source'!$C:$C,'1. Income Statement'!$AR87,'Income Statement Source'!H:H)/1000</f>
        <v>2.0247000000000002</v>
      </c>
      <c r="G87" s="20">
        <f>SUMIF('Income Statement Source'!$C:$C,'1. Income Statement'!$AR87,'Income Statement Source'!I:I)/1000</f>
        <v>1.85216</v>
      </c>
      <c r="H87" s="20">
        <f>SUMIF('Income Statement Source'!$C:$C,'1. Income Statement'!$AR87,'Income Statement Source'!J:J)/1000</f>
        <v>1.6924300000000001</v>
      </c>
      <c r="I87" s="20">
        <f>SUMIF('Income Statement Source'!$C:$C,'1. Income Statement'!$AR87,'Income Statement Source'!K:K)/1000</f>
        <v>1.8791800000000001</v>
      </c>
      <c r="J87" s="20">
        <f>SUMIF('Income Statement Source'!$C:$C,'1. Income Statement'!$AR87,'Income Statement Source'!L:L)/1000</f>
        <v>1.7120799999999998</v>
      </c>
      <c r="K87" s="20">
        <f>SUMIF('Income Statement Source'!$C:$C,'1. Income Statement'!$AR87,'Income Statement Source'!M:M)/1000</f>
        <v>1.65886</v>
      </c>
      <c r="L87" s="20">
        <f>SUMIF('Income Statement Source'!$C:$C,'1. Income Statement'!$AR87,'Income Statement Source'!N:N)/1000</f>
        <v>1.9972099999999999</v>
      </c>
      <c r="M87" s="20">
        <f>SUMIF('Income Statement Source'!$C:$C,'1. Income Statement'!$AR87,'Income Statement Source'!O:O)/1000</f>
        <v>1.5602499999999999</v>
      </c>
      <c r="N87" s="20">
        <f>SUMIF('Income Statement Source'!$C:$C,'1. Income Statement'!$AR87,'Income Statement Source'!P:P)/1000</f>
        <v>2.0728800000000001</v>
      </c>
      <c r="O87" s="20">
        <f>SUMIF('Income Statement Source'!$C:$C,'1. Income Statement'!$AR87,'Income Statement Source'!Q:Q)/1000</f>
        <v>1.72837</v>
      </c>
      <c r="P87" s="20">
        <f>SUMIF('Income Statement Source'!$C:$C,'1. Income Statement'!$AR87,'Income Statement Source'!R:R)/1000</f>
        <v>1.4898699999999998</v>
      </c>
      <c r="Q87" s="22">
        <f t="shared" si="569"/>
        <v>21.40042</v>
      </c>
      <c r="R87" s="20">
        <f>SUMIF('Income Statement Source'!$C:$C,'1. Income Statement'!$AR87,'Income Statement Source'!T:T)/1000</f>
        <v>1.9813399999999999</v>
      </c>
      <c r="S87" s="20">
        <f>SUMIF('Income Statement Source'!$C:$C,'1. Income Statement'!$AR87,'Income Statement Source'!U:U)/1000</f>
        <v>1.7866</v>
      </c>
      <c r="T87" s="20">
        <f>SUMIF('Income Statement Source'!$C:$C,'1. Income Statement'!$AR87,'Income Statement Source'!V:V)/1000</f>
        <v>1.8029200000000001</v>
      </c>
      <c r="U87" s="20">
        <f>SUMIF('Income Statement Source'!$C:$C,'1. Income Statement'!$AR87,'Income Statement Source'!W:W)/1000</f>
        <v>1.7304600000000001</v>
      </c>
      <c r="V87" s="20">
        <f>SUMIF('Income Statement Source'!$C:$C,'1. Income Statement'!$AR87,'Income Statement Source'!X:X)/1000</f>
        <v>2.0158499999999999</v>
      </c>
      <c r="W87" s="20">
        <f>SUMIF('Income Statement Source'!$C:$C,'1. Income Statement'!$AR87,'Income Statement Source'!Y:Y)/1000</f>
        <v>1.6489100000000001</v>
      </c>
      <c r="X87" s="20">
        <f>SUMIF('Income Statement Source'!$C:$C,'1. Income Statement'!$AR87,'Income Statement Source'!Z:Z)/1000</f>
        <v>1.9358499999999998</v>
      </c>
      <c r="Y87" s="20">
        <f>SUMIF('Income Statement Source'!$C:$C,'1. Income Statement'!$AR87,'Income Statement Source'!AA:AA)/1000</f>
        <v>1.5027900000000001</v>
      </c>
      <c r="Z87" s="20">
        <f>SUMIF('Income Statement Source'!$C:$C,'1. Income Statement'!$AR87,'Income Statement Source'!AB:AB)/1000</f>
        <v>1.5264500000000001</v>
      </c>
      <c r="AA87" s="20">
        <f>SUMIF('Income Statement Source'!$C:$C,'1. Income Statement'!$AR87,'Income Statement Source'!AC:AC)/1000</f>
        <v>1.5839400000000001</v>
      </c>
      <c r="AB87" s="20">
        <f>SUMIF('Income Statement Source'!$C:$C,'1. Income Statement'!$AR87,'Income Statement Source'!AD:AD)/1000</f>
        <v>1.7261500000000001</v>
      </c>
      <c r="AC87" s="20">
        <f>SUMIF('Income Statement Source'!$C:$C,'1. Income Statement'!$AR87,'Income Statement Source'!AE:AE)/1000</f>
        <v>1.82209</v>
      </c>
      <c r="AD87" s="22">
        <f t="shared" si="570"/>
        <v>21.06335</v>
      </c>
      <c r="AE87" s="20">
        <f>SUMIF('Income Statement Source'!$C:$C,'1. Income Statement'!$AR87,'Income Statement Source'!AG:AG)/1000</f>
        <v>1.58904</v>
      </c>
      <c r="AF87" s="20">
        <f>SUMIF('Income Statement Source'!$C:$C,'1. Income Statement'!$AR87,'Income Statement Source'!AH:AH)/1000</f>
        <v>1.8451600000000001</v>
      </c>
      <c r="AG87" s="20">
        <f>SUMIF('Income Statement Source'!$C:$C,'1. Income Statement'!$AR87,'Income Statement Source'!AI:AI)/1000</f>
        <v>2.0616500000000002</v>
      </c>
      <c r="AH87" s="20">
        <f>SUMIF('Income Statement Source'!$C:$C,'1. Income Statement'!$AR87,'Income Statement Source'!AJ:AJ)/1000</f>
        <v>1.6584300000000001</v>
      </c>
      <c r="AI87" s="20">
        <f>SUMIF('Income Statement Source'!$C:$C,'1. Income Statement'!$AR87,'Income Statement Source'!AK:AK)/1000</f>
        <v>1.9757499999999999</v>
      </c>
      <c r="AJ87" s="20">
        <f>SUMIF('Income Statement Source'!$C:$C,'1. Income Statement'!$AR87,'Income Statement Source'!AL:AL)/1000</f>
        <v>1.5146300000000001</v>
      </c>
      <c r="AK87" s="20">
        <f>SUMIF('Income Statement Source'!$C:$C,'1. Income Statement'!$AR87,'Income Statement Source'!AM:AM)/1000</f>
        <v>1.98973</v>
      </c>
      <c r="AL87" s="20">
        <f>SUMIF('Income Statement Source'!$C:$C,'1. Income Statement'!$AR87,'Income Statement Source'!AN:AN)/1000</f>
        <v>1.97723</v>
      </c>
      <c r="AM87" s="20">
        <f>SUMIF('Income Statement Source'!$C:$C,'1. Income Statement'!$AR87,'Income Statement Source'!AO:AO)/1000</f>
        <v>1.5851500000000001</v>
      </c>
      <c r="AN87" s="20">
        <f>SUMIF('Income Statement Source'!$C:$C,'1. Income Statement'!$AR87,'Income Statement Source'!AP:AP)/1000</f>
        <v>1.7056300000000002</v>
      </c>
      <c r="AO87" s="22">
        <f t="shared" si="571"/>
        <v>17.9024</v>
      </c>
      <c r="AP87" s="22">
        <f t="shared" si="572"/>
        <v>21.45064</v>
      </c>
      <c r="AR87" s="53" t="s">
        <v>49</v>
      </c>
    </row>
    <row r="88" spans="2:44" hidden="1" outlineLevel="1" x14ac:dyDescent="0.2">
      <c r="B88" s="30" t="str">
        <f t="shared" ref="B88" si="573">+AR88</f>
        <v>Bank Fees &amp; Charges</v>
      </c>
      <c r="E88" s="20">
        <f>SUMIF('Income Statement Source'!$C:$C,'1. Income Statement'!$AR88,'Income Statement Source'!G:G)/1000</f>
        <v>0.27582999999999996</v>
      </c>
      <c r="F88" s="20">
        <f>SUMIF('Income Statement Source'!$C:$C,'1. Income Statement'!$AR88,'Income Statement Source'!H:H)/1000</f>
        <v>0.30187999999999998</v>
      </c>
      <c r="G88" s="20">
        <f>SUMIF('Income Statement Source'!$C:$C,'1. Income Statement'!$AR88,'Income Statement Source'!I:I)/1000</f>
        <v>0.30227999999999999</v>
      </c>
      <c r="H88" s="20">
        <f>SUMIF('Income Statement Source'!$C:$C,'1. Income Statement'!$AR88,'Income Statement Source'!J:J)/1000</f>
        <v>0.28605000000000003</v>
      </c>
      <c r="I88" s="20">
        <f>SUMIF('Income Statement Source'!$C:$C,'1. Income Statement'!$AR88,'Income Statement Source'!K:K)/1000</f>
        <v>0.26465</v>
      </c>
      <c r="J88" s="20">
        <f>SUMIF('Income Statement Source'!$C:$C,'1. Income Statement'!$AR88,'Income Statement Source'!L:L)/1000</f>
        <v>0.26922000000000001</v>
      </c>
      <c r="K88" s="20">
        <f>SUMIF('Income Statement Source'!$C:$C,'1. Income Statement'!$AR88,'Income Statement Source'!M:M)/1000</f>
        <v>0.29402</v>
      </c>
      <c r="L88" s="20">
        <f>SUMIF('Income Statement Source'!$C:$C,'1. Income Statement'!$AR88,'Income Statement Source'!N:N)/1000</f>
        <v>0.28761000000000003</v>
      </c>
      <c r="M88" s="20">
        <f>SUMIF('Income Statement Source'!$C:$C,'1. Income Statement'!$AR88,'Income Statement Source'!O:O)/1000</f>
        <v>0.28282999999999997</v>
      </c>
      <c r="N88" s="20">
        <f>SUMIF('Income Statement Source'!$C:$C,'1. Income Statement'!$AR88,'Income Statement Source'!P:P)/1000</f>
        <v>0.30581999999999998</v>
      </c>
      <c r="O88" s="20">
        <f>SUMIF('Income Statement Source'!$C:$C,'1. Income Statement'!$AR88,'Income Statement Source'!Q:Q)/1000</f>
        <v>0.26872000000000001</v>
      </c>
      <c r="P88" s="20">
        <f>SUMIF('Income Statement Source'!$C:$C,'1. Income Statement'!$AR88,'Income Statement Source'!R:R)/1000</f>
        <v>0.28573000000000004</v>
      </c>
      <c r="Q88" s="22">
        <f t="shared" ref="Q88" si="574">SUM(E88:P88)</f>
        <v>3.4246400000000001</v>
      </c>
      <c r="R88" s="20">
        <f>SUMIF('Income Statement Source'!$C:$C,'1. Income Statement'!$AR88,'Income Statement Source'!T:T)/1000</f>
        <v>0.30775999999999998</v>
      </c>
      <c r="S88" s="20">
        <f>SUMIF('Income Statement Source'!$C:$C,'1. Income Statement'!$AR88,'Income Statement Source'!U:U)/1000</f>
        <v>0.25660000000000005</v>
      </c>
      <c r="T88" s="20">
        <f>SUMIF('Income Statement Source'!$C:$C,'1. Income Statement'!$AR88,'Income Statement Source'!V:V)/1000</f>
        <v>0.27591000000000004</v>
      </c>
      <c r="U88" s="20">
        <f>SUMIF('Income Statement Source'!$C:$C,'1. Income Statement'!$AR88,'Income Statement Source'!W:W)/1000</f>
        <v>0.25916</v>
      </c>
      <c r="V88" s="20">
        <f>SUMIF('Income Statement Source'!$C:$C,'1. Income Statement'!$AR88,'Income Statement Source'!X:X)/1000</f>
        <v>0.29777999999999999</v>
      </c>
      <c r="W88" s="20">
        <f>SUMIF('Income Statement Source'!$C:$C,'1. Income Statement'!$AR88,'Income Statement Source'!Y:Y)/1000</f>
        <v>0.27501999999999999</v>
      </c>
      <c r="X88" s="20">
        <f>SUMIF('Income Statement Source'!$C:$C,'1. Income Statement'!$AR88,'Income Statement Source'!Z:Z)/1000</f>
        <v>0.27239999999999998</v>
      </c>
      <c r="Y88" s="20">
        <f>SUMIF('Income Statement Source'!$C:$C,'1. Income Statement'!$AR88,'Income Statement Source'!AA:AA)/1000</f>
        <v>0.27504000000000001</v>
      </c>
      <c r="Z88" s="20">
        <f>SUMIF('Income Statement Source'!$C:$C,'1. Income Statement'!$AR88,'Income Statement Source'!AB:AB)/1000</f>
        <v>0.30572000000000005</v>
      </c>
      <c r="AA88" s="20">
        <f>SUMIF('Income Statement Source'!$C:$C,'1. Income Statement'!$AR88,'Income Statement Source'!AC:AC)/1000</f>
        <v>0.30120999999999998</v>
      </c>
      <c r="AB88" s="20">
        <f>SUMIF('Income Statement Source'!$C:$C,'1. Income Statement'!$AR88,'Income Statement Source'!AD:AD)/1000</f>
        <v>0.30768000000000001</v>
      </c>
      <c r="AC88" s="20">
        <f>SUMIF('Income Statement Source'!$C:$C,'1. Income Statement'!$AR88,'Income Statement Source'!AE:AE)/1000</f>
        <v>0.29666999999999999</v>
      </c>
      <c r="AD88" s="22">
        <f t="shared" ref="AD88" si="575">SUM(R88:AC88)</f>
        <v>3.4309500000000002</v>
      </c>
      <c r="AE88" s="20">
        <f>SUMIF('Income Statement Source'!$C:$C,'1. Income Statement'!$AR88,'Income Statement Source'!AG:AG)/1000</f>
        <v>0.30168</v>
      </c>
      <c r="AF88" s="20">
        <f>SUMIF('Income Statement Source'!$C:$C,'1. Income Statement'!$AR88,'Income Statement Source'!AH:AH)/1000</f>
        <v>0.30564999999999998</v>
      </c>
      <c r="AG88" s="20">
        <f>SUMIF('Income Statement Source'!$C:$C,'1. Income Statement'!$AR88,'Income Statement Source'!AI:AI)/1000</f>
        <v>0.29719000000000001</v>
      </c>
      <c r="AH88" s="20">
        <f>SUMIF('Income Statement Source'!$C:$C,'1. Income Statement'!$AR88,'Income Statement Source'!AJ:AJ)/1000</f>
        <v>0.30151999999999995</v>
      </c>
      <c r="AI88" s="20">
        <f>SUMIF('Income Statement Source'!$C:$C,'1. Income Statement'!$AR88,'Income Statement Source'!AK:AK)/1000</f>
        <v>0.26688999999999996</v>
      </c>
      <c r="AJ88" s="20">
        <f>SUMIF('Income Statement Source'!$C:$C,'1. Income Statement'!$AR88,'Income Statement Source'!AL:AL)/1000</f>
        <v>0.25224999999999997</v>
      </c>
      <c r="AK88" s="20">
        <f>SUMIF('Income Statement Source'!$C:$C,'1. Income Statement'!$AR88,'Income Statement Source'!AM:AM)/1000</f>
        <v>0.25897000000000003</v>
      </c>
      <c r="AL88" s="20">
        <f>SUMIF('Income Statement Source'!$C:$C,'1. Income Statement'!$AR88,'Income Statement Source'!AN:AN)/1000</f>
        <v>0.2833</v>
      </c>
      <c r="AM88" s="20">
        <f>SUMIF('Income Statement Source'!$C:$C,'1. Income Statement'!$AR88,'Income Statement Source'!AO:AO)/1000</f>
        <v>0.30147000000000002</v>
      </c>
      <c r="AN88" s="20">
        <f>SUMIF('Income Statement Source'!$C:$C,'1. Income Statement'!$AR88,'Income Statement Source'!AP:AP)/1000</f>
        <v>0.26323000000000002</v>
      </c>
      <c r="AO88" s="22">
        <f t="shared" ref="AO88" si="576">SUM(AE88:AN88)</f>
        <v>2.8321500000000004</v>
      </c>
      <c r="AP88" s="22">
        <f t="shared" ref="AP88" si="577">SUM(AO88,AB88:AC88)</f>
        <v>3.4365000000000006</v>
      </c>
      <c r="AR88" s="53" t="s">
        <v>50</v>
      </c>
    </row>
    <row r="89" spans="2:44" hidden="1" outlineLevel="1" x14ac:dyDescent="0.2">
      <c r="B89" s="30" t="str">
        <f t="shared" si="568"/>
        <v>Meals &amp; Entertainment</v>
      </c>
      <c r="E89" s="20">
        <f>SUMIF('Income Statement Source'!$C:$C,'1. Income Statement'!$AR89,'Income Statement Source'!G:G)/1000</f>
        <v>0.58289999999999997</v>
      </c>
      <c r="F89" s="20">
        <f>SUMIF('Income Statement Source'!$C:$C,'1. Income Statement'!$AR89,'Income Statement Source'!H:H)/1000</f>
        <v>0.67110000000000003</v>
      </c>
      <c r="G89" s="20">
        <f>SUMIF('Income Statement Source'!$C:$C,'1. Income Statement'!$AR89,'Income Statement Source'!I:I)/1000</f>
        <v>0.69820000000000004</v>
      </c>
      <c r="H89" s="20">
        <f>SUMIF('Income Statement Source'!$C:$C,'1. Income Statement'!$AR89,'Income Statement Source'!J:J)/1000</f>
        <v>0.67986999999999997</v>
      </c>
      <c r="I89" s="20">
        <f>SUMIF('Income Statement Source'!$C:$C,'1. Income Statement'!$AR89,'Income Statement Source'!K:K)/1000</f>
        <v>0.70922000000000007</v>
      </c>
      <c r="J89" s="20">
        <f>SUMIF('Income Statement Source'!$C:$C,'1. Income Statement'!$AR89,'Income Statement Source'!L:L)/1000</f>
        <v>0.67915999999999999</v>
      </c>
      <c r="K89" s="20">
        <f>SUMIF('Income Statement Source'!$C:$C,'1. Income Statement'!$AR89,'Income Statement Source'!M:M)/1000</f>
        <v>0.69216999999999995</v>
      </c>
      <c r="L89" s="20">
        <f>SUMIF('Income Statement Source'!$C:$C,'1. Income Statement'!$AR89,'Income Statement Source'!N:N)/1000</f>
        <v>0.71521000000000001</v>
      </c>
      <c r="M89" s="20">
        <f>SUMIF('Income Statement Source'!$C:$C,'1. Income Statement'!$AR89,'Income Statement Source'!O:O)/1000</f>
        <v>0.73026000000000002</v>
      </c>
      <c r="N89" s="20">
        <f>SUMIF('Income Statement Source'!$C:$C,'1. Income Statement'!$AR89,'Income Statement Source'!P:P)/1000</f>
        <v>0.70401999999999998</v>
      </c>
      <c r="O89" s="20">
        <f>SUMIF('Income Statement Source'!$C:$C,'1. Income Statement'!$AR89,'Income Statement Source'!Q:Q)/1000</f>
        <v>0.63375999999999999</v>
      </c>
      <c r="P89" s="20">
        <f>SUMIF('Income Statement Source'!$C:$C,'1. Income Statement'!$AR89,'Income Statement Source'!R:R)/1000</f>
        <v>0.72690999999999995</v>
      </c>
      <c r="Q89" s="22">
        <f t="shared" si="569"/>
        <v>8.2227800000000002</v>
      </c>
      <c r="R89" s="20">
        <f>SUMIF('Income Statement Source'!$C:$C,'1. Income Statement'!$AR89,'Income Statement Source'!T:T)/1000</f>
        <v>0.73623000000000005</v>
      </c>
      <c r="S89" s="20">
        <f>SUMIF('Income Statement Source'!$C:$C,'1. Income Statement'!$AR89,'Income Statement Source'!U:U)/1000</f>
        <v>0.62241999999999997</v>
      </c>
      <c r="T89" s="20">
        <f>SUMIF('Income Statement Source'!$C:$C,'1. Income Statement'!$AR89,'Income Statement Source'!V:V)/1000</f>
        <v>0.69140999999999997</v>
      </c>
      <c r="U89" s="20">
        <f>SUMIF('Income Statement Source'!$C:$C,'1. Income Statement'!$AR89,'Income Statement Source'!W:W)/1000</f>
        <v>0.73296000000000006</v>
      </c>
      <c r="V89" s="20">
        <f>SUMIF('Income Statement Source'!$C:$C,'1. Income Statement'!$AR89,'Income Statement Source'!X:X)/1000</f>
        <v>0.55257000000000001</v>
      </c>
      <c r="W89" s="20">
        <f>SUMIF('Income Statement Source'!$C:$C,'1. Income Statement'!$AR89,'Income Statement Source'!Y:Y)/1000</f>
        <v>0.62148000000000003</v>
      </c>
      <c r="X89" s="20">
        <f>SUMIF('Income Statement Source'!$C:$C,'1. Income Statement'!$AR89,'Income Statement Source'!Z:Z)/1000</f>
        <v>0.74709000000000003</v>
      </c>
      <c r="Y89" s="20">
        <f>SUMIF('Income Statement Source'!$C:$C,'1. Income Statement'!$AR89,'Income Statement Source'!AA:AA)/1000</f>
        <v>0.68764000000000003</v>
      </c>
      <c r="Z89" s="20">
        <f>SUMIF('Income Statement Source'!$C:$C,'1. Income Statement'!$AR89,'Income Statement Source'!AB:AB)/1000</f>
        <v>0.64415</v>
      </c>
      <c r="AA89" s="20">
        <f>SUMIF('Income Statement Source'!$C:$C,'1. Income Statement'!$AR89,'Income Statement Source'!AC:AC)/1000</f>
        <v>0.59289000000000003</v>
      </c>
      <c r="AB89" s="20">
        <f>SUMIF('Income Statement Source'!$C:$C,'1. Income Statement'!$AR89,'Income Statement Source'!AD:AD)/1000</f>
        <v>0.70984999999999998</v>
      </c>
      <c r="AC89" s="20">
        <f>SUMIF('Income Statement Source'!$C:$C,'1. Income Statement'!$AR89,'Income Statement Source'!AE:AE)/1000</f>
        <v>0.64310999999999996</v>
      </c>
      <c r="AD89" s="22">
        <f t="shared" si="570"/>
        <v>7.9817999999999998</v>
      </c>
      <c r="AE89" s="20">
        <f>SUMIF('Income Statement Source'!$C:$C,'1. Income Statement'!$AR89,'Income Statement Source'!AG:AG)/1000</f>
        <v>0.57491999999999999</v>
      </c>
      <c r="AF89" s="20">
        <f>SUMIF('Income Statement Source'!$C:$C,'1. Income Statement'!$AR89,'Income Statement Source'!AH:AH)/1000</f>
        <v>0.71435999999999999</v>
      </c>
      <c r="AG89" s="20">
        <f>SUMIF('Income Statement Source'!$C:$C,'1. Income Statement'!$AR89,'Income Statement Source'!AI:AI)/1000</f>
        <v>0.72236999999999996</v>
      </c>
      <c r="AH89" s="20">
        <f>SUMIF('Income Statement Source'!$C:$C,'1. Income Statement'!$AR89,'Income Statement Source'!AJ:AJ)/1000</f>
        <v>0.68159000000000003</v>
      </c>
      <c r="AI89" s="20">
        <f>SUMIF('Income Statement Source'!$C:$C,'1. Income Statement'!$AR89,'Income Statement Source'!AK:AK)/1000</f>
        <v>0.58496000000000004</v>
      </c>
      <c r="AJ89" s="20">
        <f>SUMIF('Income Statement Source'!$C:$C,'1. Income Statement'!$AR89,'Income Statement Source'!AL:AL)/1000</f>
        <v>0.62612000000000001</v>
      </c>
      <c r="AK89" s="20">
        <f>SUMIF('Income Statement Source'!$C:$C,'1. Income Statement'!$AR89,'Income Statement Source'!AM:AM)/1000</f>
        <v>0.5881900000000001</v>
      </c>
      <c r="AL89" s="20">
        <f>SUMIF('Income Statement Source'!$C:$C,'1. Income Statement'!$AR89,'Income Statement Source'!AN:AN)/1000</f>
        <v>0.72182000000000002</v>
      </c>
      <c r="AM89" s="20">
        <f>SUMIF('Income Statement Source'!$C:$C,'1. Income Statement'!$AR89,'Income Statement Source'!AO:AO)/1000</f>
        <v>0.56904999999999994</v>
      </c>
      <c r="AN89" s="20">
        <f>SUMIF('Income Statement Source'!$C:$C,'1. Income Statement'!$AR89,'Income Statement Source'!AP:AP)/1000</f>
        <v>0.60929</v>
      </c>
      <c r="AO89" s="22">
        <f t="shared" si="571"/>
        <v>6.3926699999999999</v>
      </c>
      <c r="AP89" s="22">
        <f t="shared" si="572"/>
        <v>7.7456300000000002</v>
      </c>
      <c r="AR89" s="53" t="s">
        <v>51</v>
      </c>
    </row>
    <row r="90" spans="2:44" hidden="1" outlineLevel="1" x14ac:dyDescent="0.2">
      <c r="B90" s="30" t="str">
        <f t="shared" si="568"/>
        <v>Training &amp; Education</v>
      </c>
      <c r="E90" s="20">
        <f>SUMIF('Income Statement Source'!$C:$C,'1. Income Statement'!$AR90,'Income Statement Source'!G:G)/1000</f>
        <v>0.47972000000000004</v>
      </c>
      <c r="F90" s="20">
        <f>SUMIF('Income Statement Source'!$C:$C,'1. Income Statement'!$AR90,'Income Statement Source'!H:H)/1000</f>
        <v>0.36898000000000003</v>
      </c>
      <c r="G90" s="20">
        <f>SUMIF('Income Statement Source'!$C:$C,'1. Income Statement'!$AR90,'Income Statement Source'!I:I)/1000</f>
        <v>0.44345000000000001</v>
      </c>
      <c r="H90" s="20">
        <f>SUMIF('Income Statement Source'!$C:$C,'1. Income Statement'!$AR90,'Income Statement Source'!J:J)/1000</f>
        <v>0.41960000000000003</v>
      </c>
      <c r="I90" s="20">
        <f>SUMIF('Income Statement Source'!$C:$C,'1. Income Statement'!$AR90,'Income Statement Source'!K:K)/1000</f>
        <v>0.41008</v>
      </c>
      <c r="J90" s="20">
        <f>SUMIF('Income Statement Source'!$C:$C,'1. Income Statement'!$AR90,'Income Statement Source'!L:L)/1000</f>
        <v>0.46962999999999999</v>
      </c>
      <c r="K90" s="20">
        <f>SUMIF('Income Statement Source'!$C:$C,'1. Income Statement'!$AR90,'Income Statement Source'!M:M)/1000</f>
        <v>0.38048000000000004</v>
      </c>
      <c r="L90" s="20">
        <f>SUMIF('Income Statement Source'!$C:$C,'1. Income Statement'!$AR90,'Income Statement Source'!N:N)/1000</f>
        <v>0.36828</v>
      </c>
      <c r="M90" s="20">
        <f>SUMIF('Income Statement Source'!$C:$C,'1. Income Statement'!$AR90,'Income Statement Source'!O:O)/1000</f>
        <v>0.35897000000000001</v>
      </c>
      <c r="N90" s="20">
        <f>SUMIF('Income Statement Source'!$C:$C,'1. Income Statement'!$AR90,'Income Statement Source'!P:P)/1000</f>
        <v>0.43486999999999998</v>
      </c>
      <c r="O90" s="20">
        <f>SUMIF('Income Statement Source'!$C:$C,'1. Income Statement'!$AR90,'Income Statement Source'!Q:Q)/1000</f>
        <v>0.49741000000000002</v>
      </c>
      <c r="P90" s="20">
        <f>SUMIF('Income Statement Source'!$C:$C,'1. Income Statement'!$AR90,'Income Statement Source'!R:R)/1000</f>
        <v>0.48925000000000002</v>
      </c>
      <c r="Q90" s="22">
        <f t="shared" si="569"/>
        <v>5.1207200000000004</v>
      </c>
      <c r="R90" s="20">
        <f>SUMIF('Income Statement Source'!$C:$C,'1. Income Statement'!$AR90,'Income Statement Source'!T:T)/1000</f>
        <v>0.40044999999999997</v>
      </c>
      <c r="S90" s="20">
        <f>SUMIF('Income Statement Source'!$C:$C,'1. Income Statement'!$AR90,'Income Statement Source'!U:U)/1000</f>
        <v>0.44830999999999999</v>
      </c>
      <c r="T90" s="20">
        <f>SUMIF('Income Statement Source'!$C:$C,'1. Income Statement'!$AR90,'Income Statement Source'!V:V)/1000</f>
        <v>0.40944999999999998</v>
      </c>
      <c r="U90" s="20">
        <f>SUMIF('Income Statement Source'!$C:$C,'1. Income Statement'!$AR90,'Income Statement Source'!W:W)/1000</f>
        <v>0.32956999999999997</v>
      </c>
      <c r="V90" s="20">
        <f>SUMIF('Income Statement Source'!$C:$C,'1. Income Statement'!$AR90,'Income Statement Source'!X:X)/1000</f>
        <v>0.51224000000000003</v>
      </c>
      <c r="W90" s="20">
        <f>SUMIF('Income Statement Source'!$C:$C,'1. Income Statement'!$AR90,'Income Statement Source'!Y:Y)/1000</f>
        <v>0.40300999999999998</v>
      </c>
      <c r="X90" s="20">
        <f>SUMIF('Income Statement Source'!$C:$C,'1. Income Statement'!$AR90,'Income Statement Source'!Z:Z)/1000</f>
        <v>0.41002</v>
      </c>
      <c r="Y90" s="20">
        <f>SUMIF('Income Statement Source'!$C:$C,'1. Income Statement'!$AR90,'Income Statement Source'!AA:AA)/1000</f>
        <v>0.46026</v>
      </c>
      <c r="Z90" s="20">
        <f>SUMIF('Income Statement Source'!$C:$C,'1. Income Statement'!$AR90,'Income Statement Source'!AB:AB)/1000</f>
        <v>0.42083999999999999</v>
      </c>
      <c r="AA90" s="20">
        <f>SUMIF('Income Statement Source'!$C:$C,'1. Income Statement'!$AR90,'Income Statement Source'!AC:AC)/1000</f>
        <v>0.39106000000000002</v>
      </c>
      <c r="AB90" s="20">
        <f>SUMIF('Income Statement Source'!$C:$C,'1. Income Statement'!$AR90,'Income Statement Source'!AD:AD)/1000</f>
        <v>0.43663000000000002</v>
      </c>
      <c r="AC90" s="20">
        <f>SUMIF('Income Statement Source'!$C:$C,'1. Income Statement'!$AR90,'Income Statement Source'!AE:AE)/1000</f>
        <v>0.43779000000000001</v>
      </c>
      <c r="AD90" s="22">
        <f t="shared" si="570"/>
        <v>5.0596299999999994</v>
      </c>
      <c r="AE90" s="20">
        <f>SUMIF('Income Statement Source'!$C:$C,'1. Income Statement'!$AR90,'Income Statement Source'!AG:AG)/1000</f>
        <v>0.47817000000000004</v>
      </c>
      <c r="AF90" s="20">
        <f>SUMIF('Income Statement Source'!$C:$C,'1. Income Statement'!$AR90,'Income Statement Source'!AH:AH)/1000</f>
        <v>0.36648000000000003</v>
      </c>
      <c r="AG90" s="20">
        <f>SUMIF('Income Statement Source'!$C:$C,'1. Income Statement'!$AR90,'Income Statement Source'!AI:AI)/1000</f>
        <v>0.51645000000000008</v>
      </c>
      <c r="AH90" s="20">
        <f>SUMIF('Income Statement Source'!$C:$C,'1. Income Statement'!$AR90,'Income Statement Source'!AJ:AJ)/1000</f>
        <v>0.41800999999999999</v>
      </c>
      <c r="AI90" s="20">
        <f>SUMIF('Income Statement Source'!$C:$C,'1. Income Statement'!$AR90,'Income Statement Source'!AK:AK)/1000</f>
        <v>0.40777999999999998</v>
      </c>
      <c r="AJ90" s="20">
        <f>SUMIF('Income Statement Source'!$C:$C,'1. Income Statement'!$AR90,'Income Statement Source'!AL:AL)/1000</f>
        <v>0.43768000000000001</v>
      </c>
      <c r="AK90" s="20">
        <f>SUMIF('Income Statement Source'!$C:$C,'1. Income Statement'!$AR90,'Income Statement Source'!AM:AM)/1000</f>
        <v>0.50000999999999995</v>
      </c>
      <c r="AL90" s="20">
        <f>SUMIF('Income Statement Source'!$C:$C,'1. Income Statement'!$AR90,'Income Statement Source'!AN:AN)/1000</f>
        <v>0.48143000000000002</v>
      </c>
      <c r="AM90" s="20">
        <f>SUMIF('Income Statement Source'!$C:$C,'1. Income Statement'!$AR90,'Income Statement Source'!AO:AO)/1000</f>
        <v>0.45516000000000001</v>
      </c>
      <c r="AN90" s="20">
        <f>SUMIF('Income Statement Source'!$C:$C,'1. Income Statement'!$AR90,'Income Statement Source'!AP:AP)/1000</f>
        <v>0.44148999999999999</v>
      </c>
      <c r="AO90" s="22">
        <f t="shared" si="571"/>
        <v>4.5026599999999997</v>
      </c>
      <c r="AP90" s="22">
        <f t="shared" si="572"/>
        <v>5.3770799999999994</v>
      </c>
      <c r="AR90" s="53" t="s">
        <v>52</v>
      </c>
    </row>
    <row r="91" spans="2:44" hidden="1" outlineLevel="1" x14ac:dyDescent="0.2">
      <c r="B91" s="30" t="str">
        <f t="shared" si="568"/>
        <v>Dues &amp; Subscriptions</v>
      </c>
      <c r="E91" s="20">
        <f>SUMIF('Income Statement Source'!$C:$C,'1. Income Statement'!$AR91,'Income Statement Source'!G:G)/1000</f>
        <v>0.36695999999999995</v>
      </c>
      <c r="F91" s="20">
        <f>SUMIF('Income Statement Source'!$C:$C,'1. Income Statement'!$AR91,'Income Statement Source'!H:H)/1000</f>
        <v>0.37002999999999997</v>
      </c>
      <c r="G91" s="20">
        <f>SUMIF('Income Statement Source'!$C:$C,'1. Income Statement'!$AR91,'Income Statement Source'!I:I)/1000</f>
        <v>0.35619000000000001</v>
      </c>
      <c r="H91" s="20">
        <f>SUMIF('Income Statement Source'!$C:$C,'1. Income Statement'!$AR91,'Income Statement Source'!J:J)/1000</f>
        <v>0.38763999999999998</v>
      </c>
      <c r="I91" s="20">
        <f>SUMIF('Income Statement Source'!$C:$C,'1. Income Statement'!$AR91,'Income Statement Source'!K:K)/1000</f>
        <v>0.38204000000000005</v>
      </c>
      <c r="J91" s="20">
        <f>SUMIF('Income Statement Source'!$C:$C,'1. Income Statement'!$AR91,'Income Statement Source'!L:L)/1000</f>
        <v>0.36981999999999998</v>
      </c>
      <c r="K91" s="20">
        <f>SUMIF('Income Statement Source'!$C:$C,'1. Income Statement'!$AR91,'Income Statement Source'!M:M)/1000</f>
        <v>0.3609</v>
      </c>
      <c r="L91" s="20">
        <f>SUMIF('Income Statement Source'!$C:$C,'1. Income Statement'!$AR91,'Income Statement Source'!N:N)/1000</f>
        <v>0.38280000000000003</v>
      </c>
      <c r="M91" s="20">
        <f>SUMIF('Income Statement Source'!$C:$C,'1. Income Statement'!$AR91,'Income Statement Source'!O:O)/1000</f>
        <v>0.38242999999999999</v>
      </c>
      <c r="N91" s="20">
        <f>SUMIF('Income Statement Source'!$C:$C,'1. Income Statement'!$AR91,'Income Statement Source'!P:P)/1000</f>
        <v>0.35482999999999998</v>
      </c>
      <c r="O91" s="20">
        <f>SUMIF('Income Statement Source'!$C:$C,'1. Income Statement'!$AR91,'Income Statement Source'!Q:Q)/1000</f>
        <v>0.35192000000000001</v>
      </c>
      <c r="P91" s="20">
        <f>SUMIF('Income Statement Source'!$C:$C,'1. Income Statement'!$AR91,'Income Statement Source'!R:R)/1000</f>
        <v>0.38120999999999999</v>
      </c>
      <c r="Q91" s="22">
        <f t="shared" si="569"/>
        <v>4.4467699999999999</v>
      </c>
      <c r="R91" s="20">
        <f>SUMIF('Income Statement Source'!$C:$C,'1. Income Statement'!$AR91,'Income Statement Source'!T:T)/1000</f>
        <v>0.38336000000000003</v>
      </c>
      <c r="S91" s="20">
        <f>SUMIF('Income Statement Source'!$C:$C,'1. Income Statement'!$AR91,'Income Statement Source'!U:U)/1000</f>
        <v>0.35246</v>
      </c>
      <c r="T91" s="20">
        <f>SUMIF('Income Statement Source'!$C:$C,'1. Income Statement'!$AR91,'Income Statement Source'!V:V)/1000</f>
        <v>0.36895999999999995</v>
      </c>
      <c r="U91" s="20">
        <f>SUMIF('Income Statement Source'!$C:$C,'1. Income Statement'!$AR91,'Income Statement Source'!W:W)/1000</f>
        <v>0.39415</v>
      </c>
      <c r="V91" s="20">
        <f>SUMIF('Income Statement Source'!$C:$C,'1. Income Statement'!$AR91,'Income Statement Source'!X:X)/1000</f>
        <v>0.37863999999999998</v>
      </c>
      <c r="W91" s="20">
        <f>SUMIF('Income Statement Source'!$C:$C,'1. Income Statement'!$AR91,'Income Statement Source'!Y:Y)/1000</f>
        <v>0.38451999999999997</v>
      </c>
      <c r="X91" s="20">
        <f>SUMIF('Income Statement Source'!$C:$C,'1. Income Statement'!$AR91,'Income Statement Source'!Z:Z)/1000</f>
        <v>0.39624999999999999</v>
      </c>
      <c r="Y91" s="20">
        <f>SUMIF('Income Statement Source'!$C:$C,'1. Income Statement'!$AR91,'Income Statement Source'!AA:AA)/1000</f>
        <v>0.35857</v>
      </c>
      <c r="Z91" s="20">
        <f>SUMIF('Income Statement Source'!$C:$C,'1. Income Statement'!$AR91,'Income Statement Source'!AB:AB)/1000</f>
        <v>0.39232999999999996</v>
      </c>
      <c r="AA91" s="20">
        <f>SUMIF('Income Statement Source'!$C:$C,'1. Income Statement'!$AR91,'Income Statement Source'!AC:AC)/1000</f>
        <v>0.35161999999999999</v>
      </c>
      <c r="AB91" s="20">
        <f>SUMIF('Income Statement Source'!$C:$C,'1. Income Statement'!$AR91,'Income Statement Source'!AD:AD)/1000</f>
        <v>0.36310000000000003</v>
      </c>
      <c r="AC91" s="20">
        <f>SUMIF('Income Statement Source'!$C:$C,'1. Income Statement'!$AR91,'Income Statement Source'!AE:AE)/1000</f>
        <v>0.38023000000000001</v>
      </c>
      <c r="AD91" s="22">
        <f t="shared" si="570"/>
        <v>4.5041899999999995</v>
      </c>
      <c r="AE91" s="20">
        <f>SUMIF('Income Statement Source'!$C:$C,'1. Income Statement'!$AR91,'Income Statement Source'!AG:AG)/1000</f>
        <v>0.35881000000000002</v>
      </c>
      <c r="AF91" s="20">
        <f>SUMIF('Income Statement Source'!$C:$C,'1. Income Statement'!$AR91,'Income Statement Source'!AH:AH)/1000</f>
        <v>0.37037999999999999</v>
      </c>
      <c r="AG91" s="20">
        <f>SUMIF('Income Statement Source'!$C:$C,'1. Income Statement'!$AR91,'Income Statement Source'!AI:AI)/1000</f>
        <v>0.36745999999999995</v>
      </c>
      <c r="AH91" s="20">
        <f>SUMIF('Income Statement Source'!$C:$C,'1. Income Statement'!$AR91,'Income Statement Source'!AJ:AJ)/1000</f>
        <v>0.36083999999999999</v>
      </c>
      <c r="AI91" s="20">
        <f>SUMIF('Income Statement Source'!$C:$C,'1. Income Statement'!$AR91,'Income Statement Source'!AK:AK)/1000</f>
        <v>0.36679</v>
      </c>
      <c r="AJ91" s="20">
        <f>SUMIF('Income Statement Source'!$C:$C,'1. Income Statement'!$AR91,'Income Statement Source'!AL:AL)/1000</f>
        <v>0.38480000000000003</v>
      </c>
      <c r="AK91" s="20">
        <f>SUMIF('Income Statement Source'!$C:$C,'1. Income Statement'!$AR91,'Income Statement Source'!AM:AM)/1000</f>
        <v>0.40038999999999997</v>
      </c>
      <c r="AL91" s="20">
        <f>SUMIF('Income Statement Source'!$C:$C,'1. Income Statement'!$AR91,'Income Statement Source'!AN:AN)/1000</f>
        <v>0.38672000000000001</v>
      </c>
      <c r="AM91" s="20">
        <f>SUMIF('Income Statement Source'!$C:$C,'1. Income Statement'!$AR91,'Income Statement Source'!AO:AO)/1000</f>
        <v>0.36336000000000002</v>
      </c>
      <c r="AN91" s="20">
        <f>SUMIF('Income Statement Source'!$C:$C,'1. Income Statement'!$AR91,'Income Statement Source'!AP:AP)/1000</f>
        <v>0.38768000000000002</v>
      </c>
      <c r="AO91" s="22">
        <f t="shared" si="571"/>
        <v>3.7472300000000001</v>
      </c>
      <c r="AP91" s="22">
        <f t="shared" si="572"/>
        <v>4.4905600000000003</v>
      </c>
      <c r="AR91" s="53" t="s">
        <v>53</v>
      </c>
    </row>
    <row r="92" spans="2:44" hidden="1" outlineLevel="1" x14ac:dyDescent="0.2">
      <c r="B92" s="30" t="str">
        <f t="shared" si="568"/>
        <v>Equipment Maintenance</v>
      </c>
      <c r="E92" s="31">
        <f>SUMIF('Income Statement Source'!$C:$C,'1. Income Statement'!$AR92,'Income Statement Source'!G:G)/1000</f>
        <v>0.61363999999999996</v>
      </c>
      <c r="F92" s="31">
        <f>SUMIF('Income Statement Source'!$C:$C,'1. Income Statement'!$AR92,'Income Statement Source'!H:H)/1000</f>
        <v>0.53395000000000004</v>
      </c>
      <c r="G92" s="31">
        <f>SUMIF('Income Statement Source'!$C:$C,'1. Income Statement'!$AR92,'Income Statement Source'!I:I)/1000</f>
        <v>0.54035</v>
      </c>
      <c r="H92" s="31">
        <f>SUMIF('Income Statement Source'!$C:$C,'1. Income Statement'!$AR92,'Income Statement Source'!J:J)/1000</f>
        <v>0.59007000000000009</v>
      </c>
      <c r="I92" s="31">
        <f>SUMIF('Income Statement Source'!$C:$C,'1. Income Statement'!$AR92,'Income Statement Source'!K:K)/1000</f>
        <v>0.49986999999999998</v>
      </c>
      <c r="J92" s="31">
        <f>SUMIF('Income Statement Source'!$C:$C,'1. Income Statement'!$AR92,'Income Statement Source'!L:L)/1000</f>
        <v>0.56913000000000002</v>
      </c>
      <c r="K92" s="31">
        <f>SUMIF('Income Statement Source'!$C:$C,'1. Income Statement'!$AR92,'Income Statement Source'!M:M)/1000</f>
        <v>0.51236999999999999</v>
      </c>
      <c r="L92" s="31">
        <f>SUMIF('Income Statement Source'!$C:$C,'1. Income Statement'!$AR92,'Income Statement Source'!N:N)/1000</f>
        <v>0.56028999999999995</v>
      </c>
      <c r="M92" s="31">
        <f>SUMIF('Income Statement Source'!$C:$C,'1. Income Statement'!$AR92,'Income Statement Source'!O:O)/1000</f>
        <v>0.57574000000000003</v>
      </c>
      <c r="N92" s="31">
        <f>SUMIF('Income Statement Source'!$C:$C,'1. Income Statement'!$AR92,'Income Statement Source'!P:P)/1000</f>
        <v>0.56520000000000004</v>
      </c>
      <c r="O92" s="31">
        <f>SUMIF('Income Statement Source'!$C:$C,'1. Income Statement'!$AR92,'Income Statement Source'!Q:Q)/1000</f>
        <v>0.60729</v>
      </c>
      <c r="P92" s="31">
        <f>SUMIF('Income Statement Source'!$C:$C,'1. Income Statement'!$AR92,'Income Statement Source'!R:R)/1000</f>
        <v>0.56467000000000001</v>
      </c>
      <c r="Q92" s="32">
        <f t="shared" si="569"/>
        <v>6.7325699999999991</v>
      </c>
      <c r="R92" s="31">
        <f>SUMIF('Income Statement Source'!$C:$C,'1. Income Statement'!$AR92,'Income Statement Source'!T:T)/1000</f>
        <v>0.51988000000000001</v>
      </c>
      <c r="S92" s="31">
        <f>SUMIF('Income Statement Source'!$C:$C,'1. Income Statement'!$AR92,'Income Statement Source'!U:U)/1000</f>
        <v>0.52454999999999996</v>
      </c>
      <c r="T92" s="31">
        <f>SUMIF('Income Statement Source'!$C:$C,'1. Income Statement'!$AR92,'Income Statement Source'!V:V)/1000</f>
        <v>0.58396999999999999</v>
      </c>
      <c r="U92" s="31">
        <f>SUMIF('Income Statement Source'!$C:$C,'1. Income Statement'!$AR92,'Income Statement Source'!W:W)/1000</f>
        <v>0.50251999999999997</v>
      </c>
      <c r="V92" s="31">
        <f>SUMIF('Income Statement Source'!$C:$C,'1. Income Statement'!$AR92,'Income Statement Source'!X:X)/1000</f>
        <v>0.57769000000000004</v>
      </c>
      <c r="W92" s="31">
        <f>SUMIF('Income Statement Source'!$C:$C,'1. Income Statement'!$AR92,'Income Statement Source'!Y:Y)/1000</f>
        <v>0.52625999999999995</v>
      </c>
      <c r="X92" s="31">
        <f>SUMIF('Income Statement Source'!$C:$C,'1. Income Statement'!$AR92,'Income Statement Source'!Z:Z)/1000</f>
        <v>0.60214000000000001</v>
      </c>
      <c r="Y92" s="31">
        <f>SUMIF('Income Statement Source'!$C:$C,'1. Income Statement'!$AR92,'Income Statement Source'!AA:AA)/1000</f>
        <v>0.50544999999999995</v>
      </c>
      <c r="Z92" s="31">
        <f>SUMIF('Income Statement Source'!$C:$C,'1. Income Statement'!$AR92,'Income Statement Source'!AB:AB)/1000</f>
        <v>0.53977999999999993</v>
      </c>
      <c r="AA92" s="31">
        <f>SUMIF('Income Statement Source'!$C:$C,'1. Income Statement'!$AR92,'Income Statement Source'!AC:AC)/1000</f>
        <v>0.54583999999999999</v>
      </c>
      <c r="AB92" s="31">
        <f>SUMIF('Income Statement Source'!$C:$C,'1. Income Statement'!$AR92,'Income Statement Source'!AD:AD)/1000</f>
        <v>0.56380999999999992</v>
      </c>
      <c r="AC92" s="31">
        <f>SUMIF('Income Statement Source'!$C:$C,'1. Income Statement'!$AR92,'Income Statement Source'!AE:AE)/1000</f>
        <v>0.50112000000000001</v>
      </c>
      <c r="AD92" s="32">
        <f t="shared" si="570"/>
        <v>6.4930099999999999</v>
      </c>
      <c r="AE92" s="31">
        <f>SUMIF('Income Statement Source'!$C:$C,'1. Income Statement'!$AR92,'Income Statement Source'!AG:AG)/1000</f>
        <v>0.60470000000000002</v>
      </c>
      <c r="AF92" s="31">
        <f>SUMIF('Income Statement Source'!$C:$C,'1. Income Statement'!$AR92,'Income Statement Source'!AH:AH)/1000</f>
        <v>0.49936000000000003</v>
      </c>
      <c r="AG92" s="31">
        <f>SUMIF('Income Statement Source'!$C:$C,'1. Income Statement'!$AR92,'Income Statement Source'!AI:AI)/1000</f>
        <v>0.61956</v>
      </c>
      <c r="AH92" s="31">
        <f>SUMIF('Income Statement Source'!$C:$C,'1. Income Statement'!$AR92,'Income Statement Source'!AJ:AJ)/1000</f>
        <v>0.57586999999999999</v>
      </c>
      <c r="AI92" s="31">
        <f>SUMIF('Income Statement Source'!$C:$C,'1. Income Statement'!$AR92,'Income Statement Source'!AK:AK)/1000</f>
        <v>0.56549000000000005</v>
      </c>
      <c r="AJ92" s="31">
        <f>SUMIF('Income Statement Source'!$C:$C,'1. Income Statement'!$AR92,'Income Statement Source'!AL:AL)/1000</f>
        <v>0.58525000000000005</v>
      </c>
      <c r="AK92" s="31">
        <f>SUMIF('Income Statement Source'!$C:$C,'1. Income Statement'!$AR92,'Income Statement Source'!AM:AM)/1000</f>
        <v>0.60804999999999998</v>
      </c>
      <c r="AL92" s="31">
        <f>SUMIF('Income Statement Source'!$C:$C,'1. Income Statement'!$AR92,'Income Statement Source'!AN:AN)/1000</f>
        <v>0.58172999999999997</v>
      </c>
      <c r="AM92" s="31">
        <f>SUMIF('Income Statement Source'!$C:$C,'1. Income Statement'!$AR92,'Income Statement Source'!AO:AO)/1000</f>
        <v>0.60958000000000001</v>
      </c>
      <c r="AN92" s="31">
        <f>SUMIF('Income Statement Source'!$C:$C,'1. Income Statement'!$AR92,'Income Statement Source'!AP:AP)/1000</f>
        <v>0.61317999999999995</v>
      </c>
      <c r="AO92" s="32">
        <f t="shared" si="571"/>
        <v>5.8627700000000003</v>
      </c>
      <c r="AP92" s="32">
        <f t="shared" si="572"/>
        <v>6.9277000000000006</v>
      </c>
      <c r="AR92" s="53" t="s">
        <v>54</v>
      </c>
    </row>
    <row r="93" spans="2:44" collapsed="1" x14ac:dyDescent="0.2">
      <c r="B93" s="29" t="str">
        <f>+B84</f>
        <v>Other</v>
      </c>
      <c r="E93" s="20">
        <f>SUM(E85:E92)</f>
        <v>5.3395999999999999</v>
      </c>
      <c r="F93" s="20">
        <f t="shared" ref="F93:AP93" si="578">SUM(F85:F92)</f>
        <v>5.5422399999999996</v>
      </c>
      <c r="G93" s="20">
        <f t="shared" si="578"/>
        <v>5.4600800000000005</v>
      </c>
      <c r="H93" s="20">
        <f t="shared" si="578"/>
        <v>5.2343899999999994</v>
      </c>
      <c r="I93" s="20">
        <f t="shared" si="578"/>
        <v>5.326039999999999</v>
      </c>
      <c r="J93" s="20">
        <f t="shared" si="578"/>
        <v>5.3541499999999997</v>
      </c>
      <c r="K93" s="20">
        <f t="shared" si="578"/>
        <v>5.0926900000000002</v>
      </c>
      <c r="L93" s="20">
        <f t="shared" si="578"/>
        <v>5.5810399999999998</v>
      </c>
      <c r="M93" s="20">
        <f t="shared" si="578"/>
        <v>5.2158699999999998</v>
      </c>
      <c r="N93" s="20">
        <f t="shared" si="578"/>
        <v>5.6601599999999994</v>
      </c>
      <c r="O93" s="20">
        <f t="shared" si="578"/>
        <v>5.3392900000000001</v>
      </c>
      <c r="P93" s="20">
        <f t="shared" si="578"/>
        <v>5.2568599999999996</v>
      </c>
      <c r="Q93" s="22">
        <f t="shared" si="578"/>
        <v>64.402410000000003</v>
      </c>
      <c r="R93" s="20">
        <f t="shared" si="578"/>
        <v>5.6310099999999998</v>
      </c>
      <c r="S93" s="20">
        <f t="shared" si="578"/>
        <v>5.1749299999999998</v>
      </c>
      <c r="T93" s="20">
        <f t="shared" si="578"/>
        <v>5.3946199999999989</v>
      </c>
      <c r="U93" s="20">
        <f t="shared" si="578"/>
        <v>5.1478899999999994</v>
      </c>
      <c r="V93" s="20">
        <f t="shared" si="578"/>
        <v>5.5174699999999994</v>
      </c>
      <c r="W93" s="20">
        <f t="shared" si="578"/>
        <v>5.18499</v>
      </c>
      <c r="X93" s="20">
        <f t="shared" si="578"/>
        <v>5.6574800000000005</v>
      </c>
      <c r="Y93" s="20">
        <f t="shared" si="578"/>
        <v>5.1166000000000009</v>
      </c>
      <c r="Z93" s="20">
        <f t="shared" si="578"/>
        <v>5.0066299999999995</v>
      </c>
      <c r="AA93" s="20">
        <f t="shared" si="578"/>
        <v>4.9886099999999995</v>
      </c>
      <c r="AB93" s="20">
        <f t="shared" si="578"/>
        <v>5.4306600000000005</v>
      </c>
      <c r="AC93" s="20">
        <f t="shared" si="578"/>
        <v>5.2499599999999997</v>
      </c>
      <c r="AD93" s="22">
        <f t="shared" si="578"/>
        <v>63.50085</v>
      </c>
      <c r="AE93" s="20">
        <f t="shared" si="578"/>
        <v>5.1359800000000009</v>
      </c>
      <c r="AF93" s="20">
        <f t="shared" si="578"/>
        <v>5.3332800000000002</v>
      </c>
      <c r="AG93" s="20">
        <f t="shared" si="578"/>
        <v>5.8655100000000004</v>
      </c>
      <c r="AH93" s="20">
        <f t="shared" si="578"/>
        <v>5.20878</v>
      </c>
      <c r="AI93" s="20">
        <f t="shared" si="578"/>
        <v>5.4449299999999994</v>
      </c>
      <c r="AJ93" s="20">
        <f t="shared" si="578"/>
        <v>4.9870300000000016</v>
      </c>
      <c r="AK93" s="20">
        <f t="shared" si="578"/>
        <v>5.5844699999999996</v>
      </c>
      <c r="AL93" s="20">
        <f t="shared" si="578"/>
        <v>5.6751100000000001</v>
      </c>
      <c r="AM93" s="20">
        <f t="shared" si="578"/>
        <v>5.1102500000000006</v>
      </c>
      <c r="AN93" s="20">
        <f t="shared" si="578"/>
        <v>5.2741100000000003</v>
      </c>
      <c r="AO93" s="22">
        <f t="shared" si="578"/>
        <v>53.619450000000001</v>
      </c>
      <c r="AP93" s="22">
        <f t="shared" si="578"/>
        <v>64.300070000000005</v>
      </c>
    </row>
    <row r="94" spans="2:44" x14ac:dyDescent="0.2">
      <c r="B94" s="25"/>
      <c r="E94" s="47">
        <f>IFERROR(E93/E$19,0)</f>
        <v>2.8106705256800306E-2</v>
      </c>
      <c r="F94" s="47">
        <f t="shared" ref="F94" si="579">IFERROR(F93/F$19,0)</f>
        <v>2.4385103573244141E-2</v>
      </c>
      <c r="G94" s="47">
        <f t="shared" ref="G94" si="580">IFERROR(G93/G$19,0)</f>
        <v>1.7749689035530813E-2</v>
      </c>
      <c r="H94" s="47">
        <f t="shared" ref="H94" si="581">IFERROR(H93/H$19,0)</f>
        <v>2.0237830533208542E-2</v>
      </c>
      <c r="I94" s="47">
        <f t="shared" ref="I94" si="582">IFERROR(I93/I$19,0)</f>
        <v>1.9597095427608097E-2</v>
      </c>
      <c r="J94" s="47">
        <f t="shared" ref="J94" si="583">IFERROR(J93/J$19,0)</f>
        <v>1.4539242349644099E-2</v>
      </c>
      <c r="K94" s="47">
        <f t="shared" ref="K94" si="584">IFERROR(K93/K$19,0)</f>
        <v>1.6835528625297892E-2</v>
      </c>
      <c r="L94" s="47">
        <f t="shared" ref="L94" si="585">IFERROR(L93/L$19,0)</f>
        <v>2.0131981307872495E-2</v>
      </c>
      <c r="M94" s="47">
        <f t="shared" ref="M94" si="586">IFERROR(M93/M$19,0)</f>
        <v>1.4722448259649492E-2</v>
      </c>
      <c r="N94" s="47">
        <f t="shared" ref="N94" si="587">IFERROR(N93/N$19,0)</f>
        <v>2.1186796911127192E-2</v>
      </c>
      <c r="O94" s="47">
        <f t="shared" ref="O94" si="588">IFERROR(O93/O$19,0)</f>
        <v>2.3699402260655471E-2</v>
      </c>
      <c r="P94" s="47">
        <f t="shared" ref="P94" si="589">IFERROR(P93/P$19,0)</f>
        <v>1.5502751671625695E-2</v>
      </c>
      <c r="Q94" s="48">
        <f t="shared" ref="Q94" si="590">IFERROR(Q93/Q$19,0)</f>
        <v>1.900288584316354E-2</v>
      </c>
      <c r="R94" s="47">
        <f t="shared" ref="R94" si="591">IFERROR(R93/R$19,0)</f>
        <v>2.7806469488811728E-2</v>
      </c>
      <c r="S94" s="47">
        <f t="shared" ref="S94" si="592">IFERROR(S93/S$19,0)</f>
        <v>2.0041497886571256E-2</v>
      </c>
      <c r="T94" s="47">
        <f t="shared" ref="T94" si="593">IFERROR(T93/T$19,0)</f>
        <v>1.5287615297851208E-2</v>
      </c>
      <c r="U94" s="47">
        <f t="shared" ref="U94" si="594">IFERROR(U93/U$19,0)</f>
        <v>1.6102267725064102E-2</v>
      </c>
      <c r="V94" s="47">
        <f t="shared" ref="V94" si="595">IFERROR(V93/V$19,0)</f>
        <v>1.6225823281575982E-2</v>
      </c>
      <c r="W94" s="47">
        <f t="shared" ref="W94" si="596">IFERROR(W93/W$19,0)</f>
        <v>1.1847392765408216E-2</v>
      </c>
      <c r="X94" s="47">
        <f t="shared" ref="X94" si="597">IFERROR(X93/X$19,0)</f>
        <v>1.5244923530304011E-2</v>
      </c>
      <c r="Y94" s="47">
        <f t="shared" ref="Y94" si="598">IFERROR(Y93/Y$19,0)</f>
        <v>1.3426322719507626E-2</v>
      </c>
      <c r="Z94" s="47">
        <f t="shared" ref="Z94" si="599">IFERROR(Z93/Z$19,0)</f>
        <v>1.2576235719033414E-2</v>
      </c>
      <c r="AA94" s="47">
        <f t="shared" ref="AA94" si="600">IFERROR(AA93/AA$19,0)</f>
        <v>1.6340256883416861E-2</v>
      </c>
      <c r="AB94" s="47">
        <f t="shared" ref="AB94" si="601">IFERROR(AB93/AB$19,0)</f>
        <v>1.8553877447981405E-2</v>
      </c>
      <c r="AC94" s="47">
        <f t="shared" ref="AC94" si="602">IFERROR(AC93/AC$19,0)</f>
        <v>1.3447282460245432E-2</v>
      </c>
      <c r="AD94" s="48">
        <f t="shared" ref="AD94" si="603">IFERROR(AD93/AD$19,0)</f>
        <v>1.5680453660516361E-2</v>
      </c>
      <c r="AE94" s="47">
        <f t="shared" ref="AE94" si="604">IFERROR(AE93/AE$19,0)</f>
        <v>2.4175333607723181E-2</v>
      </c>
      <c r="AF94" s="47">
        <f t="shared" ref="AF94" si="605">IFERROR(AF93/AF$19,0)</f>
        <v>1.8874944608856692E-2</v>
      </c>
      <c r="AG94" s="47">
        <f t="shared" ref="AG94" si="606">IFERROR(AG93/AG$19,0)</f>
        <v>1.5368851009311641E-2</v>
      </c>
      <c r="AH94" s="47">
        <f t="shared" ref="AH94" si="607">IFERROR(AH93/AH$19,0)</f>
        <v>1.4927720586663277E-2</v>
      </c>
      <c r="AI94" s="47">
        <f t="shared" ref="AI94" si="608">IFERROR(AI93/AI$19,0)</f>
        <v>1.5750229675723329E-2</v>
      </c>
      <c r="AJ94" s="47">
        <f t="shared" ref="AJ94" si="609">IFERROR(AJ93/AJ$19,0)</f>
        <v>1.0557105276505588E-2</v>
      </c>
      <c r="AK94" s="47">
        <f t="shared" ref="AK94" si="610">IFERROR(AK93/AK$19,0)</f>
        <v>1.4503100010455688E-2</v>
      </c>
      <c r="AL94" s="47">
        <f t="shared" ref="AL94" si="611">IFERROR(AL93/AL$19,0)</f>
        <v>1.6034060600680491E-2</v>
      </c>
      <c r="AM94" s="47">
        <f t="shared" ref="AM94" si="612">IFERROR(AM93/AM$19,0)</f>
        <v>1.1687730998646031E-2</v>
      </c>
      <c r="AN94" s="47">
        <f t="shared" ref="AN94" si="613">IFERROR(AN93/AN$19,0)</f>
        <v>1.5591995377250128E-2</v>
      </c>
      <c r="AO94" s="48">
        <f t="shared" ref="AO94" si="614">IFERROR(AO93/AO$19,0)</f>
        <v>1.50694178081212E-2</v>
      </c>
      <c r="AP94" s="48">
        <f t="shared" ref="AP94" si="615">IFERROR(AP93/AP$19,0)</f>
        <v>1.5160567720344393E-2</v>
      </c>
    </row>
    <row r="95" spans="2:44" x14ac:dyDescent="0.2">
      <c r="B95" s="12" t="str">
        <f>+B47</f>
        <v>Operating Expense</v>
      </c>
      <c r="C95" s="13"/>
      <c r="D95" s="13"/>
      <c r="E95" s="42">
        <f t="shared" ref="E95:AP95" si="616">SUM(E56,E62,E70,E77,E82,E93)</f>
        <v>85.830700000000022</v>
      </c>
      <c r="F95" s="42">
        <f t="shared" si="616"/>
        <v>79.119760000000014</v>
      </c>
      <c r="G95" s="42">
        <f t="shared" si="616"/>
        <v>89.332190000000026</v>
      </c>
      <c r="H95" s="42">
        <f t="shared" si="616"/>
        <v>78.818090000000012</v>
      </c>
      <c r="I95" s="42">
        <f t="shared" si="616"/>
        <v>111.22787</v>
      </c>
      <c r="J95" s="42">
        <f t="shared" si="616"/>
        <v>177.48408000000001</v>
      </c>
      <c r="K95" s="42">
        <f t="shared" si="616"/>
        <v>78.526409999999998</v>
      </c>
      <c r="L95" s="42">
        <f t="shared" si="616"/>
        <v>79.264499999999998</v>
      </c>
      <c r="M95" s="42">
        <f t="shared" si="616"/>
        <v>78.844159999999988</v>
      </c>
      <c r="N95" s="42">
        <f t="shared" si="616"/>
        <v>104.31588000000001</v>
      </c>
      <c r="O95" s="42">
        <f t="shared" si="616"/>
        <v>77.217680000000016</v>
      </c>
      <c r="P95" s="42">
        <f t="shared" si="616"/>
        <v>112.42102</v>
      </c>
      <c r="Q95" s="43">
        <f t="shared" si="616"/>
        <v>1152.4023399999999</v>
      </c>
      <c r="R95" s="42">
        <f t="shared" si="616"/>
        <v>85.8262</v>
      </c>
      <c r="S95" s="42">
        <f t="shared" si="616"/>
        <v>77.473429999999993</v>
      </c>
      <c r="T95" s="42">
        <f t="shared" si="616"/>
        <v>78.537290000000013</v>
      </c>
      <c r="U95" s="42">
        <f t="shared" si="616"/>
        <v>78.86797</v>
      </c>
      <c r="V95" s="42">
        <f t="shared" si="616"/>
        <v>112.23542</v>
      </c>
      <c r="W95" s="42">
        <f t="shared" si="616"/>
        <v>78.652860000000004</v>
      </c>
      <c r="X95" s="42">
        <f t="shared" si="616"/>
        <v>78.94462</v>
      </c>
      <c r="Y95" s="42">
        <f t="shared" si="616"/>
        <v>89.675799999999995</v>
      </c>
      <c r="Z95" s="42">
        <f t="shared" si="616"/>
        <v>78.194080000000014</v>
      </c>
      <c r="AA95" s="42">
        <f t="shared" si="616"/>
        <v>154.26481000000004</v>
      </c>
      <c r="AB95" s="42">
        <f t="shared" si="616"/>
        <v>77.262959999999993</v>
      </c>
      <c r="AC95" s="42">
        <f t="shared" si="616"/>
        <v>112.92008999999999</v>
      </c>
      <c r="AD95" s="43">
        <f t="shared" si="616"/>
        <v>1102.8555299999998</v>
      </c>
      <c r="AE95" s="42">
        <f t="shared" si="616"/>
        <v>99.594989999999996</v>
      </c>
      <c r="AF95" s="42">
        <f t="shared" si="616"/>
        <v>80.531679999999994</v>
      </c>
      <c r="AG95" s="42">
        <f t="shared" si="616"/>
        <v>81.085600000000014</v>
      </c>
      <c r="AH95" s="42">
        <f t="shared" si="616"/>
        <v>80.023759999999996</v>
      </c>
      <c r="AI95" s="42">
        <f t="shared" si="616"/>
        <v>112.44242999999999</v>
      </c>
      <c r="AJ95" s="42">
        <f t="shared" si="616"/>
        <v>90.273330000000016</v>
      </c>
      <c r="AK95" s="42">
        <f t="shared" si="616"/>
        <v>79.618020000000001</v>
      </c>
      <c r="AL95" s="42">
        <f t="shared" si="616"/>
        <v>80.819349999999986</v>
      </c>
      <c r="AM95" s="42">
        <f t="shared" si="616"/>
        <v>79.606750000000005</v>
      </c>
      <c r="AN95" s="42">
        <f t="shared" si="616"/>
        <v>106.63928999999999</v>
      </c>
      <c r="AO95" s="43">
        <f t="shared" si="616"/>
        <v>890.63520000000005</v>
      </c>
      <c r="AP95" s="43">
        <f t="shared" si="616"/>
        <v>1080.81825</v>
      </c>
    </row>
    <row r="96" spans="2:44" x14ac:dyDescent="0.2">
      <c r="B96" s="14"/>
      <c r="C96" s="15"/>
      <c r="D96" s="15"/>
      <c r="E96" s="49">
        <f>IFERROR(E95/E$19,0)</f>
        <v>0.45179754792210103</v>
      </c>
      <c r="F96" s="49">
        <f t="shared" ref="F96" si="617">IFERROR(F95/F$19,0)</f>
        <v>0.34811620252645492</v>
      </c>
      <c r="G96" s="49">
        <f t="shared" ref="G96" si="618">IFERROR(G95/G$19,0)</f>
        <v>0.29040208080521818</v>
      </c>
      <c r="H96" s="49">
        <f t="shared" ref="H96" si="619">IFERROR(H95/H$19,0)</f>
        <v>0.30473601477367551</v>
      </c>
      <c r="I96" s="49">
        <f t="shared" ref="I96" si="620">IFERROR(I95/I$19,0)</f>
        <v>0.4092615118548843</v>
      </c>
      <c r="J96" s="49">
        <f t="shared" ref="J96" si="621">IFERROR(J95/J$19,0)</f>
        <v>0.48195961120320152</v>
      </c>
      <c r="K96" s="49">
        <f t="shared" ref="K96" si="622">IFERROR(K95/K$19,0)</f>
        <v>0.25959436435299976</v>
      </c>
      <c r="L96" s="49">
        <f t="shared" ref="L96" si="623">IFERROR(L95/L$19,0)</f>
        <v>0.28592366877461178</v>
      </c>
      <c r="M96" s="49">
        <f t="shared" ref="M96" si="624">IFERROR(M95/M$19,0)</f>
        <v>0.22254754550545278</v>
      </c>
      <c r="N96" s="49">
        <f t="shared" ref="N96" si="625">IFERROR(N95/N$19,0)</f>
        <v>0.39046941502811144</v>
      </c>
      <c r="O96" s="49">
        <f t="shared" ref="O96" si="626">IFERROR(O95/O$19,0)</f>
        <v>0.34274460835702336</v>
      </c>
      <c r="P96" s="49">
        <f t="shared" ref="P96" si="627">IFERROR(P95/P$19,0)</f>
        <v>0.33153539484233285</v>
      </c>
      <c r="Q96" s="50">
        <f t="shared" ref="Q96" si="628">IFERROR(Q95/Q$19,0)</f>
        <v>0.34003339490578893</v>
      </c>
      <c r="R96" s="49">
        <f t="shared" ref="R96" si="629">IFERROR(R95/R$19,0)</f>
        <v>0.423818038263234</v>
      </c>
      <c r="S96" s="49">
        <f t="shared" ref="S96" si="630">IFERROR(S95/S$19,0)</f>
        <v>0.30003953359957064</v>
      </c>
      <c r="T96" s="49">
        <f t="shared" ref="T96" si="631">IFERROR(T95/T$19,0)</f>
        <v>0.22256393889760118</v>
      </c>
      <c r="U96" s="49">
        <f t="shared" ref="U96" si="632">IFERROR(U95/U$19,0)</f>
        <v>0.24669392078547211</v>
      </c>
      <c r="V96" s="49">
        <f t="shared" ref="V96" si="633">IFERROR(V95/V$19,0)</f>
        <v>0.33006288948620632</v>
      </c>
      <c r="W96" s="49">
        <f t="shared" ref="W96" si="634">IFERROR(W95/W$19,0)</f>
        <v>0.17971709194090349</v>
      </c>
      <c r="X96" s="49">
        <f t="shared" ref="X96" si="635">IFERROR(X95/X$19,0)</f>
        <v>0.21272805118690805</v>
      </c>
      <c r="Y96" s="49">
        <f t="shared" ref="Y96" si="636">IFERROR(Y95/Y$19,0)</f>
        <v>0.23531568442520848</v>
      </c>
      <c r="Z96" s="49">
        <f t="shared" ref="Z96" si="637">IFERROR(Z95/Z$19,0)</f>
        <v>0.19641698745722302</v>
      </c>
      <c r="AA96" s="49">
        <f t="shared" ref="AA96" si="638">IFERROR(AA95/AA$19,0)</f>
        <v>0.5052963898704238</v>
      </c>
      <c r="AB96" s="49">
        <f t="shared" ref="AB96" si="639">IFERROR(AB95/AB$19,0)</f>
        <v>0.26396929491227383</v>
      </c>
      <c r="AC96" s="49">
        <f t="shared" ref="AC96" si="640">IFERROR(AC95/AC$19,0)</f>
        <v>0.28923426953087938</v>
      </c>
      <c r="AD96" s="50">
        <f t="shared" ref="AD96" si="641">IFERROR(AD95/AD$19,0)</f>
        <v>0.27233139449958871</v>
      </c>
      <c r="AE96" s="49">
        <f t="shared" ref="AE96" si="642">IFERROR(AE95/AE$19,0)</f>
        <v>0.46879896512600394</v>
      </c>
      <c r="AF96" s="49">
        <f t="shared" ref="AF96" si="643">IFERROR(AF95/AF$19,0)</f>
        <v>0.2850086624475317</v>
      </c>
      <c r="AG96" s="49">
        <f t="shared" ref="AG96" si="644">IFERROR(AG95/AG$19,0)</f>
        <v>0.21246106568749179</v>
      </c>
      <c r="AH96" s="49">
        <f t="shared" ref="AH96" si="645">IFERROR(AH95/AH$19,0)</f>
        <v>0.22933821923256525</v>
      </c>
      <c r="AI96" s="49">
        <f t="shared" ref="AI96" si="646">IFERROR(AI95/AI$19,0)</f>
        <v>0.32525562271625957</v>
      </c>
      <c r="AJ96" s="49">
        <f t="shared" ref="AJ96" si="647">IFERROR(AJ95/AJ$19,0)</f>
        <v>0.19110072497473046</v>
      </c>
      <c r="AK96" s="49">
        <f t="shared" ref="AK96" si="648">IFERROR(AK95/AK$19,0)</f>
        <v>0.20677129731101809</v>
      </c>
      <c r="AL96" s="49">
        <f t="shared" ref="AL96" si="649">IFERROR(AL95/AL$19,0)</f>
        <v>0.228341363534382</v>
      </c>
      <c r="AM96" s="49">
        <f t="shared" ref="AM96" si="650">IFERROR(AM95/AM$19,0)</f>
        <v>0.18206981648186776</v>
      </c>
      <c r="AN96" s="49">
        <f t="shared" ref="AN96" si="651">IFERROR(AN95/AN$19,0)</f>
        <v>0.31526064430078926</v>
      </c>
      <c r="AO96" s="50">
        <f t="shared" ref="AO96" si="652">IFERROR(AO95/AO$19,0)</f>
        <v>0.25030756457627945</v>
      </c>
      <c r="AP96" s="50">
        <f t="shared" ref="AP96" si="653">IFERROR(AP95/AP$19,0)</f>
        <v>0.25483359928704769</v>
      </c>
    </row>
    <row r="97" spans="2:44" x14ac:dyDescent="0.2">
      <c r="B97" s="2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2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2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2"/>
      <c r="AP97" s="22"/>
    </row>
    <row r="98" spans="2:44" x14ac:dyDescent="0.2">
      <c r="B98" s="12" t="s">
        <v>73</v>
      </c>
      <c r="C98" s="13"/>
      <c r="D98" s="13"/>
      <c r="E98" s="42">
        <f t="shared" ref="E98:AP98" si="654">+E44-E95</f>
        <v>-37.247050000000016</v>
      </c>
      <c r="F98" s="42">
        <f t="shared" si="654"/>
        <v>-30.724590000000006</v>
      </c>
      <c r="G98" s="42">
        <f t="shared" si="654"/>
        <v>83.078210000000013</v>
      </c>
      <c r="H98" s="42">
        <f t="shared" si="654"/>
        <v>23.668409999999966</v>
      </c>
      <c r="I98" s="42">
        <f t="shared" si="654"/>
        <v>-23.941840000000042</v>
      </c>
      <c r="J98" s="42">
        <f t="shared" si="654"/>
        <v>-104.70547999999997</v>
      </c>
      <c r="K98" s="42">
        <f t="shared" si="654"/>
        <v>89.890559999999994</v>
      </c>
      <c r="L98" s="42">
        <f t="shared" si="654"/>
        <v>27.270669999999967</v>
      </c>
      <c r="M98" s="42">
        <f t="shared" si="654"/>
        <v>-19.351120000000037</v>
      </c>
      <c r="N98" s="42">
        <f t="shared" si="654"/>
        <v>32.171459999999982</v>
      </c>
      <c r="O98" s="42">
        <f t="shared" si="654"/>
        <v>7.8599300000000056</v>
      </c>
      <c r="P98" s="42">
        <f t="shared" si="654"/>
        <v>23.842929999999939</v>
      </c>
      <c r="Q98" s="43">
        <f t="shared" si="654"/>
        <v>71.812090000000126</v>
      </c>
      <c r="R98" s="42">
        <f t="shared" si="654"/>
        <v>-38.769229999999993</v>
      </c>
      <c r="S98" s="42">
        <f t="shared" si="654"/>
        <v>-15.426360000000031</v>
      </c>
      <c r="T98" s="42">
        <f t="shared" si="654"/>
        <v>-78.597830000000016</v>
      </c>
      <c r="U98" s="42">
        <f t="shared" si="654"/>
        <v>79.939460000000039</v>
      </c>
      <c r="V98" s="42">
        <f t="shared" si="654"/>
        <v>-55.619569999999982</v>
      </c>
      <c r="W98" s="42">
        <f t="shared" si="654"/>
        <v>35.209309999999988</v>
      </c>
      <c r="X98" s="42">
        <f t="shared" si="654"/>
        <v>-77.880389999999935</v>
      </c>
      <c r="Y98" s="42">
        <f t="shared" si="654"/>
        <v>99.645350000000022</v>
      </c>
      <c r="Z98" s="42">
        <f t="shared" si="654"/>
        <v>20.448340000000002</v>
      </c>
      <c r="AA98" s="42">
        <f t="shared" si="654"/>
        <v>-93.962590000000091</v>
      </c>
      <c r="AB98" s="42">
        <f t="shared" si="654"/>
        <v>-70.569709999999958</v>
      </c>
      <c r="AC98" s="42">
        <f t="shared" si="654"/>
        <v>81.721989999999977</v>
      </c>
      <c r="AD98" s="43">
        <f t="shared" si="654"/>
        <v>-113.86122999999952</v>
      </c>
      <c r="AE98" s="42">
        <f t="shared" si="654"/>
        <v>-19.696399999999954</v>
      </c>
      <c r="AF98" s="42">
        <f t="shared" si="654"/>
        <v>24.362929999999949</v>
      </c>
      <c r="AG98" s="42">
        <f t="shared" si="654"/>
        <v>59.616779999999963</v>
      </c>
      <c r="AH98" s="42">
        <f t="shared" si="654"/>
        <v>-21.974810000000062</v>
      </c>
      <c r="AI98" s="42">
        <f t="shared" si="654"/>
        <v>65.103350000000049</v>
      </c>
      <c r="AJ98" s="42">
        <f t="shared" si="654"/>
        <v>93.687569999999909</v>
      </c>
      <c r="AK98" s="42">
        <f t="shared" si="654"/>
        <v>72.494840000000011</v>
      </c>
      <c r="AL98" s="42">
        <f t="shared" si="654"/>
        <v>-16.345649999999921</v>
      </c>
      <c r="AM98" s="42">
        <f t="shared" si="654"/>
        <v>163.55064999999996</v>
      </c>
      <c r="AN98" s="42">
        <f t="shared" si="654"/>
        <v>4.8595100000000002</v>
      </c>
      <c r="AO98" s="43">
        <f t="shared" si="654"/>
        <v>425.65876999999921</v>
      </c>
      <c r="AP98" s="43">
        <f t="shared" si="654"/>
        <v>436.81104999999866</v>
      </c>
    </row>
    <row r="99" spans="2:44" x14ac:dyDescent="0.2">
      <c r="B99" s="14"/>
      <c r="C99" s="15"/>
      <c r="D99" s="15"/>
      <c r="E99" s="49">
        <f>IFERROR(E98/E$19,0)</f>
        <v>-0.19606185033247889</v>
      </c>
      <c r="F99" s="49">
        <f t="shared" ref="F99" si="655">IFERROR(F98/F$19,0)</f>
        <v>-0.13518402476173197</v>
      </c>
      <c r="G99" s="49">
        <f t="shared" ref="G99" si="656">IFERROR(G98/G$19,0)</f>
        <v>0.27007157278437799</v>
      </c>
      <c r="H99" s="49">
        <f t="shared" ref="H99" si="657">IFERROR(H98/H$19,0)</f>
        <v>9.1509664081296543E-2</v>
      </c>
      <c r="I99" s="49">
        <f t="shared" ref="I99" si="658">IFERROR(I98/I$19,0)</f>
        <v>-8.8093691221343723E-2</v>
      </c>
      <c r="J99" s="49">
        <f t="shared" ref="J99" si="659">IFERROR(J98/J$19,0)</f>
        <v>-0.28432867010745172</v>
      </c>
      <c r="K99" s="49">
        <f t="shared" ref="K99" si="660">IFERROR(K98/K$19,0)</f>
        <v>0.2971622258617857</v>
      </c>
      <c r="L99" s="49">
        <f t="shared" ref="L99" si="661">IFERROR(L98/L$19,0)</f>
        <v>9.8371023804373126E-2</v>
      </c>
      <c r="M99" s="49">
        <f t="shared" ref="M99" si="662">IFERROR(M98/M$19,0)</f>
        <v>-5.462096696548592E-2</v>
      </c>
      <c r="N99" s="49">
        <f t="shared" ref="N99" si="663">IFERROR(N98/N$19,0)</f>
        <v>0.12042242434038114</v>
      </c>
      <c r="O99" s="49">
        <f t="shared" ref="O99" si="664">IFERROR(O98/O$19,0)</f>
        <v>3.4887717807160483E-2</v>
      </c>
      <c r="P99" s="49">
        <f t="shared" ref="P99" si="665">IFERROR(P98/P$19,0)</f>
        <v>7.0314032124491332E-2</v>
      </c>
      <c r="Q99" s="50">
        <f t="shared" ref="Q99" si="666">IFERROR(Q98/Q$19,0)</f>
        <v>2.1189221776467499E-2</v>
      </c>
      <c r="R99" s="49">
        <f t="shared" ref="R99" si="667">IFERROR(R98/R$19,0)</f>
        <v>-0.19144619013280462</v>
      </c>
      <c r="S99" s="49">
        <f t="shared" ref="S99" si="668">IFERROR(S98/S$19,0)</f>
        <v>-5.9743293404449525E-2</v>
      </c>
      <c r="T99" s="49">
        <f t="shared" ref="T99" si="669">IFERROR(T98/T$19,0)</f>
        <v>-0.22273550097799458</v>
      </c>
      <c r="U99" s="49">
        <f t="shared" ref="U99" si="670">IFERROR(U98/U$19,0)</f>
        <v>0.25004547236189073</v>
      </c>
      <c r="V99" s="49">
        <f t="shared" ref="V99" si="671">IFERROR(V98/V$19,0)</f>
        <v>-0.16356651034210332</v>
      </c>
      <c r="W99" s="49">
        <f t="shared" ref="W99" si="672">IFERROR(W98/W$19,0)</f>
        <v>8.0451172436015309E-2</v>
      </c>
      <c r="X99" s="49">
        <f t="shared" ref="X99" si="673">IFERROR(X98/X$19,0)</f>
        <v>-0.20986032474887265</v>
      </c>
      <c r="Y99" s="49">
        <f t="shared" ref="Y99" si="674">IFERROR(Y98/Y$19,0)</f>
        <v>0.26147649349143753</v>
      </c>
      <c r="Z99" s="49">
        <f t="shared" ref="Z99" si="675">IFERROR(Z98/Z$19,0)</f>
        <v>5.1364519427826653E-2</v>
      </c>
      <c r="AA99" s="49">
        <f t="shared" ref="AA99" si="676">IFERROR(AA98/AA$19,0)</f>
        <v>-0.30777568461579036</v>
      </c>
      <c r="AB99" s="49">
        <f t="shared" ref="AB99" si="677">IFERROR(AB98/AB$19,0)</f>
        <v>-0.24110177232225677</v>
      </c>
      <c r="AC99" s="49">
        <f t="shared" ref="AC99" si="678">IFERROR(AC98/AC$19,0)</f>
        <v>0.20932324869967622</v>
      </c>
      <c r="AD99" s="50">
        <f t="shared" ref="AD99" si="679">IFERROR(AD98/AD$19,0)</f>
        <v>-2.8116092001042314E-2</v>
      </c>
      <c r="AE99" s="49">
        <f t="shared" ref="AE99" si="680">IFERROR(AE98/AE$19,0)</f>
        <v>-9.2712012288045847E-2</v>
      </c>
      <c r="AF99" s="49">
        <f t="shared" ref="AF99" si="681">IFERROR(AF98/AF$19,0)</f>
        <v>8.6222541149058723E-2</v>
      </c>
      <c r="AG99" s="49">
        <f t="shared" ref="AG99" si="682">IFERROR(AG98/AG$19,0)</f>
        <v>0.15620831086724077</v>
      </c>
      <c r="AH99" s="49">
        <f t="shared" ref="AH99" si="683">IFERROR(AH98/AH$19,0)</f>
        <v>-6.2977093220488278E-2</v>
      </c>
      <c r="AI99" s="49">
        <f t="shared" ref="AI99" si="684">IFERROR(AI98/AI$19,0)</f>
        <v>0.18832064235150928</v>
      </c>
      <c r="AJ99" s="49">
        <f t="shared" ref="AJ99" si="685">IFERROR(AJ98/AJ$19,0)</f>
        <v>0.19832837171422377</v>
      </c>
      <c r="AK99" s="49">
        <f t="shared" ref="AK99" si="686">IFERROR(AK98/AK$19,0)</f>
        <v>0.18827210366641484</v>
      </c>
      <c r="AL99" s="49">
        <f t="shared" ref="AL99" si="687">IFERROR(AL98/AL$19,0)</f>
        <v>-4.6181861260400553E-2</v>
      </c>
      <c r="AM99" s="49">
        <f t="shared" ref="AM99" si="688">IFERROR(AM98/AM$19,0)</f>
        <v>0.37405919511838104</v>
      </c>
      <c r="AN99" s="49">
        <f t="shared" ref="AN99" si="689">IFERROR(AN98/AN$19,0)</f>
        <v>1.4366302078587813E-2</v>
      </c>
      <c r="AO99" s="50">
        <f t="shared" ref="AO99" si="690">IFERROR(AO98/AO$19,0)</f>
        <v>0.11962878859855805</v>
      </c>
      <c r="AP99" s="50">
        <f t="shared" ref="AP99" si="691">IFERROR(AP98/AP$19,0)</f>
        <v>0.10299061112250298</v>
      </c>
    </row>
    <row r="100" spans="2:44" x14ac:dyDescent="0.2">
      <c r="B100" s="2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2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2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2"/>
      <c r="AP100" s="22"/>
    </row>
    <row r="101" spans="2:44" hidden="1" outlineLevel="1" x14ac:dyDescent="0.2">
      <c r="B101" s="29" t="s">
        <v>71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2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2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2"/>
      <c r="AP101" s="22"/>
    </row>
    <row r="102" spans="2:44" hidden="1" outlineLevel="1" x14ac:dyDescent="0.2">
      <c r="B102" s="30" t="str">
        <f t="shared" ref="B102:B104" si="692">+AR102</f>
        <v>Depreciation</v>
      </c>
      <c r="E102" s="20">
        <f>SUMIF('Income Statement Source'!$C:$C,'1. Income Statement'!$AR102,'Income Statement Source'!G:G)/1000</f>
        <v>3.21286</v>
      </c>
      <c r="F102" s="20">
        <f>SUMIF('Income Statement Source'!$C:$C,'1. Income Statement'!$AR102,'Income Statement Source'!H:H)/1000</f>
        <v>3.1923600000000003</v>
      </c>
      <c r="G102" s="20">
        <f>SUMIF('Income Statement Source'!$C:$C,'1. Income Statement'!$AR102,'Income Statement Source'!I:I)/1000</f>
        <v>3.2050799999999997</v>
      </c>
      <c r="H102" s="20">
        <f>SUMIF('Income Statement Source'!$C:$C,'1. Income Statement'!$AR102,'Income Statement Source'!J:J)/1000</f>
        <v>3.2042199999999998</v>
      </c>
      <c r="I102" s="20">
        <f>SUMIF('Income Statement Source'!$C:$C,'1. Income Statement'!$AR102,'Income Statement Source'!K:K)/1000</f>
        <v>3.1792899999999999</v>
      </c>
      <c r="J102" s="20">
        <f>SUMIF('Income Statement Source'!$C:$C,'1. Income Statement'!$AR102,'Income Statement Source'!L:L)/1000</f>
        <v>3.1701799999999998</v>
      </c>
      <c r="K102" s="20">
        <f>SUMIF('Income Statement Source'!$C:$C,'1. Income Statement'!$AR102,'Income Statement Source'!M:M)/1000</f>
        <v>3.2202899999999999</v>
      </c>
      <c r="L102" s="20">
        <f>SUMIF('Income Statement Source'!$C:$C,'1. Income Statement'!$AR102,'Income Statement Source'!N:N)/1000</f>
        <v>3.17381</v>
      </c>
      <c r="M102" s="20">
        <f>SUMIF('Income Statement Source'!$C:$C,'1. Income Statement'!$AR102,'Income Statement Source'!O:O)/1000</f>
        <v>3.2073700000000001</v>
      </c>
      <c r="N102" s="20">
        <f>SUMIF('Income Statement Source'!$C:$C,'1. Income Statement'!$AR102,'Income Statement Source'!P:P)/1000</f>
        <v>3.1826300000000001</v>
      </c>
      <c r="O102" s="20">
        <f>SUMIF('Income Statement Source'!$C:$C,'1. Income Statement'!$AR102,'Income Statement Source'!Q:Q)/1000</f>
        <v>3.2315200000000002</v>
      </c>
      <c r="P102" s="20">
        <f>SUMIF('Income Statement Source'!$C:$C,'1. Income Statement'!$AR102,'Income Statement Source'!R:R)/1000</f>
        <v>3.1739699999999997</v>
      </c>
      <c r="Q102" s="22">
        <f t="shared" ref="Q102:Q104" si="693">SUM(E102:P102)</f>
        <v>38.353579999999994</v>
      </c>
      <c r="R102" s="20">
        <f>SUMIF('Income Statement Source'!$C:$C,'1. Income Statement'!$AR102,'Income Statement Source'!T:T)/1000</f>
        <v>3.1880600000000001</v>
      </c>
      <c r="S102" s="20">
        <f>SUMIF('Income Statement Source'!$C:$C,'1. Income Statement'!$AR102,'Income Statement Source'!U:U)/1000</f>
        <v>3.2036799999999999</v>
      </c>
      <c r="T102" s="20">
        <f>SUMIF('Income Statement Source'!$C:$C,'1. Income Statement'!$AR102,'Income Statement Source'!V:V)/1000</f>
        <v>3.2176399999999998</v>
      </c>
      <c r="U102" s="20">
        <f>SUMIF('Income Statement Source'!$C:$C,'1. Income Statement'!$AR102,'Income Statement Source'!W:W)/1000</f>
        <v>3.1807800000000004</v>
      </c>
      <c r="V102" s="20">
        <f>SUMIF('Income Statement Source'!$C:$C,'1. Income Statement'!$AR102,'Income Statement Source'!X:X)/1000</f>
        <v>3.2258599999999999</v>
      </c>
      <c r="W102" s="20">
        <f>SUMIF('Income Statement Source'!$C:$C,'1. Income Statement'!$AR102,'Income Statement Source'!Y:Y)/1000</f>
        <v>3.1925300000000001</v>
      </c>
      <c r="X102" s="20">
        <f>SUMIF('Income Statement Source'!$C:$C,'1. Income Statement'!$AR102,'Income Statement Source'!Z:Z)/1000</f>
        <v>3.1800100000000002</v>
      </c>
      <c r="Y102" s="20">
        <f>SUMIF('Income Statement Source'!$C:$C,'1. Income Statement'!$AR102,'Income Statement Source'!AA:AA)/1000</f>
        <v>3.2293000000000003</v>
      </c>
      <c r="Z102" s="20">
        <f>SUMIF('Income Statement Source'!$C:$C,'1. Income Statement'!$AR102,'Income Statement Source'!AB:AB)/1000</f>
        <v>3.2239</v>
      </c>
      <c r="AA102" s="20">
        <f>SUMIF('Income Statement Source'!$C:$C,'1. Income Statement'!$AR102,'Income Statement Source'!AC:AC)/1000</f>
        <v>3.1999299999999997</v>
      </c>
      <c r="AB102" s="20">
        <f>SUMIF('Income Statement Source'!$C:$C,'1. Income Statement'!$AR102,'Income Statement Source'!AD:AD)/1000</f>
        <v>3.1926199999999998</v>
      </c>
      <c r="AC102" s="20">
        <f>SUMIF('Income Statement Source'!$C:$C,'1. Income Statement'!$AR102,'Income Statement Source'!AE:AE)/1000</f>
        <v>3.1934399999999998</v>
      </c>
      <c r="AD102" s="22">
        <f t="shared" ref="AD102:AD104" si="694">SUM(R102:AC102)</f>
        <v>38.427750000000003</v>
      </c>
      <c r="AE102" s="20">
        <f>SUMIF('Income Statement Source'!$C:$C,'1. Income Statement'!$AR102,'Income Statement Source'!AG:AG)/1000</f>
        <v>3.20418</v>
      </c>
      <c r="AF102" s="20">
        <f>SUMIF('Income Statement Source'!$C:$C,'1. Income Statement'!$AR102,'Income Statement Source'!AH:AH)/1000</f>
        <v>3.1887099999999999</v>
      </c>
      <c r="AG102" s="20">
        <f>SUMIF('Income Statement Source'!$C:$C,'1. Income Statement'!$AR102,'Income Statement Source'!AI:AI)/1000</f>
        <v>3.2064499999999998</v>
      </c>
      <c r="AH102" s="20">
        <f>SUMIF('Income Statement Source'!$C:$C,'1. Income Statement'!$AR102,'Income Statement Source'!AJ:AJ)/1000</f>
        <v>3.1915399999999998</v>
      </c>
      <c r="AI102" s="20">
        <f>SUMIF('Income Statement Source'!$C:$C,'1. Income Statement'!$AR102,'Income Statement Source'!AK:AK)/1000</f>
        <v>3.18709</v>
      </c>
      <c r="AJ102" s="20">
        <f>SUMIF('Income Statement Source'!$C:$C,'1. Income Statement'!$AR102,'Income Statement Source'!AL:AL)/1000</f>
        <v>3.18086</v>
      </c>
      <c r="AK102" s="20">
        <f>SUMIF('Income Statement Source'!$C:$C,'1. Income Statement'!$AR102,'Income Statement Source'!AM:AM)/1000</f>
        <v>3.2305900000000003</v>
      </c>
      <c r="AL102" s="20">
        <f>SUMIF('Income Statement Source'!$C:$C,'1. Income Statement'!$AR102,'Income Statement Source'!AN:AN)/1000</f>
        <v>3.1849499999999997</v>
      </c>
      <c r="AM102" s="20">
        <f>SUMIF('Income Statement Source'!$C:$C,'1. Income Statement'!$AR102,'Income Statement Source'!AO:AO)/1000</f>
        <v>3.1779600000000001</v>
      </c>
      <c r="AN102" s="20">
        <f>SUMIF('Income Statement Source'!$C:$C,'1. Income Statement'!$AR102,'Income Statement Source'!AP:AP)/1000</f>
        <v>3.2045300000000001</v>
      </c>
      <c r="AO102" s="22">
        <f t="shared" ref="AO102:AO104" si="695">SUM(AE102:AN102)</f>
        <v>31.956859999999999</v>
      </c>
      <c r="AP102" s="22">
        <f t="shared" ref="AP102:AP104" si="696">SUM(AO102,AB102:AC102)</f>
        <v>38.342919999999999</v>
      </c>
      <c r="AR102" s="4" t="s">
        <v>55</v>
      </c>
    </row>
    <row r="103" spans="2:44" hidden="1" outlineLevel="1" x14ac:dyDescent="0.2">
      <c r="B103" s="30" t="str">
        <f t="shared" si="692"/>
        <v>Miscellaneous Expense</v>
      </c>
      <c r="E103" s="20">
        <f>SUMIF('Income Statement Source'!$C:$C,'1. Income Statement'!$AR103,'Income Statement Source'!G:G)/1000</f>
        <v>0.39435999999999999</v>
      </c>
      <c r="F103" s="20">
        <f>SUMIF('Income Statement Source'!$C:$C,'1. Income Statement'!$AR103,'Income Statement Source'!H:H)/1000</f>
        <v>0.37106</v>
      </c>
      <c r="G103" s="20">
        <f>SUMIF('Income Statement Source'!$C:$C,'1. Income Statement'!$AR103,'Income Statement Source'!I:I)/1000</f>
        <v>0.28931000000000001</v>
      </c>
      <c r="H103" s="20">
        <f>SUMIF('Income Statement Source'!$C:$C,'1. Income Statement'!$AR103,'Income Statement Source'!J:J)/1000</f>
        <v>0.39191999999999999</v>
      </c>
      <c r="I103" s="20">
        <f>SUMIF('Income Statement Source'!$C:$C,'1. Income Statement'!$AR103,'Income Statement Source'!K:K)/1000</f>
        <v>0.31945999999999997</v>
      </c>
      <c r="J103" s="20">
        <f>SUMIF('Income Statement Source'!$C:$C,'1. Income Statement'!$AR103,'Income Statement Source'!L:L)/1000</f>
        <v>0.31491000000000002</v>
      </c>
      <c r="K103" s="20">
        <f>SUMIF('Income Statement Source'!$C:$C,'1. Income Statement'!$AR103,'Income Statement Source'!M:M)/1000</f>
        <v>0.28920999999999997</v>
      </c>
      <c r="L103" s="20">
        <f>SUMIF('Income Statement Source'!$C:$C,'1. Income Statement'!$AR103,'Income Statement Source'!N:N)/1000</f>
        <v>0.32956999999999997</v>
      </c>
      <c r="M103" s="20">
        <f>SUMIF('Income Statement Source'!$C:$C,'1. Income Statement'!$AR103,'Income Statement Source'!O:O)/1000</f>
        <v>0.3468</v>
      </c>
      <c r="N103" s="20">
        <f>SUMIF('Income Statement Source'!$C:$C,'1. Income Statement'!$AR103,'Income Statement Source'!P:P)/1000</f>
        <v>0.34722000000000003</v>
      </c>
      <c r="O103" s="20">
        <f>SUMIF('Income Statement Source'!$C:$C,'1. Income Statement'!$AR103,'Income Statement Source'!Q:Q)/1000</f>
        <v>0.36463000000000001</v>
      </c>
      <c r="P103" s="20">
        <f>SUMIF('Income Statement Source'!$C:$C,'1. Income Statement'!$AR103,'Income Statement Source'!R:R)/1000</f>
        <v>0.35931000000000002</v>
      </c>
      <c r="Q103" s="22">
        <f t="shared" si="693"/>
        <v>4.1177599999999996</v>
      </c>
      <c r="R103" s="20">
        <f>SUMIF('Income Statement Source'!$C:$C,'1. Income Statement'!$AR103,'Income Statement Source'!T:T)/1000</f>
        <v>0.40749000000000002</v>
      </c>
      <c r="S103" s="20">
        <f>SUMIF('Income Statement Source'!$C:$C,'1. Income Statement'!$AR103,'Income Statement Source'!U:U)/1000</f>
        <v>0.33905000000000002</v>
      </c>
      <c r="T103" s="20">
        <f>SUMIF('Income Statement Source'!$C:$C,'1. Income Statement'!$AR103,'Income Statement Source'!V:V)/1000</f>
        <v>0.27279999999999999</v>
      </c>
      <c r="U103" s="20">
        <f>SUMIF('Income Statement Source'!$C:$C,'1. Income Statement'!$AR103,'Income Statement Source'!W:W)/1000</f>
        <v>0.39002999999999999</v>
      </c>
      <c r="V103" s="20">
        <f>SUMIF('Income Statement Source'!$C:$C,'1. Income Statement'!$AR103,'Income Statement Source'!X:X)/1000</f>
        <v>0.29827999999999999</v>
      </c>
      <c r="W103" s="20">
        <f>SUMIF('Income Statement Source'!$C:$C,'1. Income Statement'!$AR103,'Income Statement Source'!Y:Y)/1000</f>
        <v>0.34743999999999997</v>
      </c>
      <c r="X103" s="20">
        <f>SUMIF('Income Statement Source'!$C:$C,'1. Income Statement'!$AR103,'Income Statement Source'!Z:Z)/1000</f>
        <v>0.37175999999999998</v>
      </c>
      <c r="Y103" s="20">
        <f>SUMIF('Income Statement Source'!$C:$C,'1. Income Statement'!$AR103,'Income Statement Source'!AA:AA)/1000</f>
        <v>0.35167000000000004</v>
      </c>
      <c r="Z103" s="20">
        <f>SUMIF('Income Statement Source'!$C:$C,'1. Income Statement'!$AR103,'Income Statement Source'!AB:AB)/1000</f>
        <v>0.35863999999999996</v>
      </c>
      <c r="AA103" s="20">
        <f>SUMIF('Income Statement Source'!$C:$C,'1. Income Statement'!$AR103,'Income Statement Source'!AC:AC)/1000</f>
        <v>0.28187000000000001</v>
      </c>
      <c r="AB103" s="20">
        <f>SUMIF('Income Statement Source'!$C:$C,'1. Income Statement'!$AR103,'Income Statement Source'!AD:AD)/1000</f>
        <v>0.31219999999999998</v>
      </c>
      <c r="AC103" s="20">
        <f>SUMIF('Income Statement Source'!$C:$C,'1. Income Statement'!$AR103,'Income Statement Source'!AE:AE)/1000</f>
        <v>0.40161000000000002</v>
      </c>
      <c r="AD103" s="22">
        <f t="shared" si="694"/>
        <v>4.1328399999999998</v>
      </c>
      <c r="AE103" s="20">
        <f>SUMIF('Income Statement Source'!$C:$C,'1. Income Statement'!$AR103,'Income Statement Source'!AG:AG)/1000</f>
        <v>0.39409</v>
      </c>
      <c r="AF103" s="20">
        <f>SUMIF('Income Statement Source'!$C:$C,'1. Income Statement'!$AR103,'Income Statement Source'!AH:AH)/1000</f>
        <v>0.38302999999999998</v>
      </c>
      <c r="AG103" s="20">
        <f>SUMIF('Income Statement Source'!$C:$C,'1. Income Statement'!$AR103,'Income Statement Source'!AI:AI)/1000</f>
        <v>0.31977999999999995</v>
      </c>
      <c r="AH103" s="20">
        <f>SUMIF('Income Statement Source'!$C:$C,'1. Income Statement'!$AR103,'Income Statement Source'!AJ:AJ)/1000</f>
        <v>0.38530999999999999</v>
      </c>
      <c r="AI103" s="20">
        <f>SUMIF('Income Statement Source'!$C:$C,'1. Income Statement'!$AR103,'Income Statement Source'!AK:AK)/1000</f>
        <v>0.28767000000000004</v>
      </c>
      <c r="AJ103" s="20">
        <f>SUMIF('Income Statement Source'!$C:$C,'1. Income Statement'!$AR103,'Income Statement Source'!AL:AL)/1000</f>
        <v>0.37470999999999999</v>
      </c>
      <c r="AK103" s="20">
        <f>SUMIF('Income Statement Source'!$C:$C,'1. Income Statement'!$AR103,'Income Statement Source'!AM:AM)/1000</f>
        <v>0.34910000000000002</v>
      </c>
      <c r="AL103" s="20">
        <f>SUMIF('Income Statement Source'!$C:$C,'1. Income Statement'!$AR103,'Income Statement Source'!AN:AN)/1000</f>
        <v>0.38989999999999997</v>
      </c>
      <c r="AM103" s="20">
        <f>SUMIF('Income Statement Source'!$C:$C,'1. Income Statement'!$AR103,'Income Statement Source'!AO:AO)/1000</f>
        <v>0.35831999999999997</v>
      </c>
      <c r="AN103" s="20">
        <f>SUMIF('Income Statement Source'!$C:$C,'1. Income Statement'!$AR103,'Income Statement Source'!AP:AP)/1000</f>
        <v>0.32086999999999999</v>
      </c>
      <c r="AO103" s="22">
        <f t="shared" si="695"/>
        <v>3.5627800000000001</v>
      </c>
      <c r="AP103" s="22">
        <f t="shared" si="696"/>
        <v>4.2765899999999997</v>
      </c>
      <c r="AR103" s="4" t="s">
        <v>56</v>
      </c>
    </row>
    <row r="104" spans="2:44" hidden="1" outlineLevel="1" x14ac:dyDescent="0.2">
      <c r="B104" s="30" t="str">
        <f t="shared" si="692"/>
        <v>Miscellaneous Income</v>
      </c>
      <c r="E104" s="31">
        <f>-SUMIF('Income Statement Source'!$C:$C,'1. Income Statement'!$AR104,'Income Statement Source'!G:G)/1000</f>
        <v>0</v>
      </c>
      <c r="F104" s="31">
        <f>-SUMIF('Income Statement Source'!$C:$C,'1. Income Statement'!$AR104,'Income Statement Source'!H:H)/1000</f>
        <v>-250</v>
      </c>
      <c r="G104" s="31">
        <f>-SUMIF('Income Statement Source'!$C:$C,'1. Income Statement'!$AR104,'Income Statement Source'!I:I)/1000</f>
        <v>0</v>
      </c>
      <c r="H104" s="31">
        <f>-SUMIF('Income Statement Source'!$C:$C,'1. Income Statement'!$AR104,'Income Statement Source'!J:J)/1000</f>
        <v>0</v>
      </c>
      <c r="I104" s="31">
        <f>-SUMIF('Income Statement Source'!$C:$C,'1. Income Statement'!$AR104,'Income Statement Source'!K:K)/1000</f>
        <v>0</v>
      </c>
      <c r="J104" s="31">
        <f>-SUMIF('Income Statement Source'!$C:$C,'1. Income Statement'!$AR104,'Income Statement Source'!L:L)/1000</f>
        <v>0</v>
      </c>
      <c r="K104" s="31">
        <f>-SUMIF('Income Statement Source'!$C:$C,'1. Income Statement'!$AR104,'Income Statement Source'!M:M)/1000</f>
        <v>0</v>
      </c>
      <c r="L104" s="31">
        <f>-SUMIF('Income Statement Source'!$C:$C,'1. Income Statement'!$AR104,'Income Statement Source'!N:N)/1000</f>
        <v>0</v>
      </c>
      <c r="M104" s="31">
        <f>-SUMIF('Income Statement Source'!$C:$C,'1. Income Statement'!$AR104,'Income Statement Source'!O:O)/1000</f>
        <v>0</v>
      </c>
      <c r="N104" s="31">
        <f>-SUMIF('Income Statement Source'!$C:$C,'1. Income Statement'!$AR104,'Income Statement Source'!P:P)/1000</f>
        <v>0</v>
      </c>
      <c r="O104" s="31">
        <f>-SUMIF('Income Statement Source'!$C:$C,'1. Income Statement'!$AR104,'Income Statement Source'!Q:Q)/1000</f>
        <v>0</v>
      </c>
      <c r="P104" s="31">
        <f>-SUMIF('Income Statement Source'!$C:$C,'1. Income Statement'!$AR104,'Income Statement Source'!R:R)/1000</f>
        <v>0</v>
      </c>
      <c r="Q104" s="32">
        <f t="shared" si="693"/>
        <v>-250</v>
      </c>
      <c r="R104" s="31">
        <f>-SUMIF('Income Statement Source'!$C:$C,'1. Income Statement'!$AR104,'Income Statement Source'!T:T)/1000</f>
        <v>0</v>
      </c>
      <c r="S104" s="31">
        <f>-SUMIF('Income Statement Source'!$C:$C,'1. Income Statement'!$AR104,'Income Statement Source'!U:U)/1000</f>
        <v>0</v>
      </c>
      <c r="T104" s="31">
        <f>-SUMIF('Income Statement Source'!$C:$C,'1. Income Statement'!$AR104,'Income Statement Source'!V:V)/1000</f>
        <v>0</v>
      </c>
      <c r="U104" s="31">
        <f>-SUMIF('Income Statement Source'!$C:$C,'1. Income Statement'!$AR104,'Income Statement Source'!W:W)/1000</f>
        <v>0</v>
      </c>
      <c r="V104" s="31">
        <f>-SUMIF('Income Statement Source'!$C:$C,'1. Income Statement'!$AR104,'Income Statement Source'!X:X)/1000</f>
        <v>0</v>
      </c>
      <c r="W104" s="31">
        <f>-SUMIF('Income Statement Source'!$C:$C,'1. Income Statement'!$AR104,'Income Statement Source'!Y:Y)/1000</f>
        <v>0</v>
      </c>
      <c r="X104" s="31">
        <f>-SUMIF('Income Statement Source'!$C:$C,'1. Income Statement'!$AR104,'Income Statement Source'!Z:Z)/1000</f>
        <v>0</v>
      </c>
      <c r="Y104" s="31">
        <f>-SUMIF('Income Statement Source'!$C:$C,'1. Income Statement'!$AR104,'Income Statement Source'!AA:AA)/1000</f>
        <v>0</v>
      </c>
      <c r="Z104" s="31">
        <f>-SUMIF('Income Statement Source'!$C:$C,'1. Income Statement'!$AR104,'Income Statement Source'!AB:AB)/1000</f>
        <v>0</v>
      </c>
      <c r="AA104" s="31">
        <f>-SUMIF('Income Statement Source'!$C:$C,'1. Income Statement'!$AR104,'Income Statement Source'!AC:AC)/1000</f>
        <v>0</v>
      </c>
      <c r="AB104" s="31">
        <f>-SUMIF('Income Statement Source'!$C:$C,'1. Income Statement'!$AR104,'Income Statement Source'!AD:AD)/1000</f>
        <v>0</v>
      </c>
      <c r="AC104" s="31">
        <f>-SUMIF('Income Statement Source'!$C:$C,'1. Income Statement'!$AR104,'Income Statement Source'!AE:AE)/1000</f>
        <v>0</v>
      </c>
      <c r="AD104" s="32">
        <f t="shared" si="694"/>
        <v>0</v>
      </c>
      <c r="AE104" s="31">
        <f>-SUMIF('Income Statement Source'!$C:$C,'1. Income Statement'!$AR104,'Income Statement Source'!AG:AG)/1000</f>
        <v>0</v>
      </c>
      <c r="AF104" s="31">
        <f>-SUMIF('Income Statement Source'!$C:$C,'1. Income Statement'!$AR104,'Income Statement Source'!AH:AH)/1000</f>
        <v>0</v>
      </c>
      <c r="AG104" s="31">
        <f>-SUMIF('Income Statement Source'!$C:$C,'1. Income Statement'!$AR104,'Income Statement Source'!AI:AI)/1000</f>
        <v>0</v>
      </c>
      <c r="AH104" s="31">
        <f>-SUMIF('Income Statement Source'!$C:$C,'1. Income Statement'!$AR104,'Income Statement Source'!AJ:AJ)/1000</f>
        <v>0</v>
      </c>
      <c r="AI104" s="31">
        <f>-SUMIF('Income Statement Source'!$C:$C,'1. Income Statement'!$AR104,'Income Statement Source'!AK:AK)/1000</f>
        <v>0</v>
      </c>
      <c r="AJ104" s="31">
        <f>-SUMIF('Income Statement Source'!$C:$C,'1. Income Statement'!$AR104,'Income Statement Source'!AL:AL)/1000</f>
        <v>0</v>
      </c>
      <c r="AK104" s="31">
        <f>-SUMIF('Income Statement Source'!$C:$C,'1. Income Statement'!$AR104,'Income Statement Source'!AM:AM)/1000</f>
        <v>0</v>
      </c>
      <c r="AL104" s="31">
        <f>-SUMIF('Income Statement Source'!$C:$C,'1. Income Statement'!$AR104,'Income Statement Source'!AN:AN)/1000</f>
        <v>0</v>
      </c>
      <c r="AM104" s="31">
        <f>-SUMIF('Income Statement Source'!$C:$C,'1. Income Statement'!$AR104,'Income Statement Source'!AO:AO)/1000</f>
        <v>0</v>
      </c>
      <c r="AN104" s="31">
        <f>-SUMIF('Income Statement Source'!$C:$C,'1. Income Statement'!$AR104,'Income Statement Source'!AP:AP)/1000</f>
        <v>0</v>
      </c>
      <c r="AO104" s="32">
        <f t="shared" si="695"/>
        <v>0</v>
      </c>
      <c r="AP104" s="32">
        <f t="shared" si="696"/>
        <v>0</v>
      </c>
      <c r="AR104" s="4" t="s">
        <v>59</v>
      </c>
    </row>
    <row r="105" spans="2:44" collapsed="1" x14ac:dyDescent="0.2">
      <c r="B105" s="29" t="str">
        <f>+B101</f>
        <v>Other (Income) / Expense</v>
      </c>
      <c r="E105" s="20">
        <f>SUM(E102:E104)</f>
        <v>3.6072199999999999</v>
      </c>
      <c r="F105" s="20">
        <f t="shared" ref="F105:AP105" si="697">SUM(F102:F104)</f>
        <v>-246.43657999999999</v>
      </c>
      <c r="G105" s="20">
        <f t="shared" si="697"/>
        <v>3.4943899999999997</v>
      </c>
      <c r="H105" s="20">
        <f t="shared" si="697"/>
        <v>3.5961399999999997</v>
      </c>
      <c r="I105" s="20">
        <f t="shared" si="697"/>
        <v>3.4987499999999998</v>
      </c>
      <c r="J105" s="20">
        <f t="shared" si="697"/>
        <v>3.4850899999999996</v>
      </c>
      <c r="K105" s="20">
        <f t="shared" si="697"/>
        <v>3.5095000000000001</v>
      </c>
      <c r="L105" s="20">
        <f t="shared" si="697"/>
        <v>3.5033799999999999</v>
      </c>
      <c r="M105" s="20">
        <f t="shared" si="697"/>
        <v>3.5541700000000001</v>
      </c>
      <c r="N105" s="20">
        <f t="shared" si="697"/>
        <v>3.5298500000000002</v>
      </c>
      <c r="O105" s="20">
        <f t="shared" si="697"/>
        <v>3.5961500000000002</v>
      </c>
      <c r="P105" s="20">
        <f t="shared" si="697"/>
        <v>3.5332799999999995</v>
      </c>
      <c r="Q105" s="22">
        <f t="shared" si="697"/>
        <v>-207.52866</v>
      </c>
      <c r="R105" s="20">
        <f t="shared" si="697"/>
        <v>3.5955500000000002</v>
      </c>
      <c r="S105" s="20">
        <f t="shared" si="697"/>
        <v>3.5427299999999997</v>
      </c>
      <c r="T105" s="20">
        <f t="shared" si="697"/>
        <v>3.49044</v>
      </c>
      <c r="U105" s="20">
        <f t="shared" si="697"/>
        <v>3.5708100000000003</v>
      </c>
      <c r="V105" s="20">
        <f t="shared" si="697"/>
        <v>3.5241400000000001</v>
      </c>
      <c r="W105" s="20">
        <f t="shared" si="697"/>
        <v>3.5399700000000003</v>
      </c>
      <c r="X105" s="20">
        <f t="shared" si="697"/>
        <v>3.5517700000000003</v>
      </c>
      <c r="Y105" s="20">
        <f t="shared" si="697"/>
        <v>3.5809700000000002</v>
      </c>
      <c r="Z105" s="20">
        <f t="shared" si="697"/>
        <v>3.5825399999999998</v>
      </c>
      <c r="AA105" s="20">
        <f t="shared" si="697"/>
        <v>3.4817999999999998</v>
      </c>
      <c r="AB105" s="20">
        <f t="shared" si="697"/>
        <v>3.5048199999999996</v>
      </c>
      <c r="AC105" s="20">
        <f t="shared" si="697"/>
        <v>3.5950499999999996</v>
      </c>
      <c r="AD105" s="22">
        <f t="shared" si="697"/>
        <v>42.560590000000005</v>
      </c>
      <c r="AE105" s="20">
        <f t="shared" si="697"/>
        <v>3.5982699999999999</v>
      </c>
      <c r="AF105" s="20">
        <f t="shared" si="697"/>
        <v>3.5717400000000001</v>
      </c>
      <c r="AG105" s="20">
        <f t="shared" si="697"/>
        <v>3.52623</v>
      </c>
      <c r="AH105" s="20">
        <f t="shared" si="697"/>
        <v>3.5768499999999999</v>
      </c>
      <c r="AI105" s="20">
        <f t="shared" si="697"/>
        <v>3.4747599999999998</v>
      </c>
      <c r="AJ105" s="20">
        <f t="shared" si="697"/>
        <v>3.5555699999999999</v>
      </c>
      <c r="AK105" s="20">
        <f t="shared" si="697"/>
        <v>3.5796900000000003</v>
      </c>
      <c r="AL105" s="20">
        <f t="shared" si="697"/>
        <v>3.5748499999999996</v>
      </c>
      <c r="AM105" s="20">
        <f t="shared" si="697"/>
        <v>3.5362800000000001</v>
      </c>
      <c r="AN105" s="20">
        <f t="shared" si="697"/>
        <v>3.5254000000000003</v>
      </c>
      <c r="AO105" s="22">
        <f t="shared" si="697"/>
        <v>35.519639999999995</v>
      </c>
      <c r="AP105" s="22">
        <f t="shared" si="697"/>
        <v>42.619509999999998</v>
      </c>
    </row>
    <row r="106" spans="2:44" x14ac:dyDescent="0.2">
      <c r="B106" s="2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2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2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2"/>
      <c r="AP106" s="22"/>
    </row>
    <row r="107" spans="2:44" x14ac:dyDescent="0.2">
      <c r="B107" s="12" t="s">
        <v>72</v>
      </c>
      <c r="C107" s="13"/>
      <c r="D107" s="13"/>
      <c r="E107" s="42">
        <f>+E98-E105</f>
        <v>-40.854270000000014</v>
      </c>
      <c r="F107" s="42">
        <f t="shared" ref="F107:AP107" si="698">+F98-F105</f>
        <v>215.71198999999999</v>
      </c>
      <c r="G107" s="42">
        <f t="shared" si="698"/>
        <v>79.583820000000017</v>
      </c>
      <c r="H107" s="42">
        <f t="shared" si="698"/>
        <v>20.072269999999968</v>
      </c>
      <c r="I107" s="42">
        <f t="shared" si="698"/>
        <v>-27.440590000000043</v>
      </c>
      <c r="J107" s="42">
        <f t="shared" si="698"/>
        <v>-108.19056999999997</v>
      </c>
      <c r="K107" s="42">
        <f t="shared" si="698"/>
        <v>86.381059999999991</v>
      </c>
      <c r="L107" s="42">
        <f t="shared" si="698"/>
        <v>23.767289999999967</v>
      </c>
      <c r="M107" s="42">
        <f t="shared" si="698"/>
        <v>-22.905290000000036</v>
      </c>
      <c r="N107" s="42">
        <f t="shared" si="698"/>
        <v>28.641609999999982</v>
      </c>
      <c r="O107" s="42">
        <f t="shared" si="698"/>
        <v>4.2637800000000059</v>
      </c>
      <c r="P107" s="42">
        <f t="shared" si="698"/>
        <v>20.309649999999941</v>
      </c>
      <c r="Q107" s="43">
        <f t="shared" si="698"/>
        <v>279.34075000000013</v>
      </c>
      <c r="R107" s="42">
        <f t="shared" si="698"/>
        <v>-42.364779999999996</v>
      </c>
      <c r="S107" s="42">
        <f t="shared" si="698"/>
        <v>-18.96909000000003</v>
      </c>
      <c r="T107" s="42">
        <f t="shared" si="698"/>
        <v>-82.088270000000023</v>
      </c>
      <c r="U107" s="42">
        <f t="shared" si="698"/>
        <v>76.368650000000045</v>
      </c>
      <c r="V107" s="42">
        <f t="shared" si="698"/>
        <v>-59.143709999999984</v>
      </c>
      <c r="W107" s="42">
        <f t="shared" si="698"/>
        <v>31.669339999999988</v>
      </c>
      <c r="X107" s="42">
        <f t="shared" si="698"/>
        <v>-81.432159999999939</v>
      </c>
      <c r="Y107" s="42">
        <f t="shared" si="698"/>
        <v>96.064380000000028</v>
      </c>
      <c r="Z107" s="42">
        <f t="shared" si="698"/>
        <v>16.8658</v>
      </c>
      <c r="AA107" s="42">
        <f t="shared" si="698"/>
        <v>-97.444390000000084</v>
      </c>
      <c r="AB107" s="42">
        <f t="shared" si="698"/>
        <v>-74.074529999999953</v>
      </c>
      <c r="AC107" s="42">
        <f t="shared" si="698"/>
        <v>78.126939999999976</v>
      </c>
      <c r="AD107" s="43">
        <f t="shared" si="698"/>
        <v>-156.42181999999951</v>
      </c>
      <c r="AE107" s="42">
        <f t="shared" si="698"/>
        <v>-23.294669999999954</v>
      </c>
      <c r="AF107" s="42">
        <f t="shared" si="698"/>
        <v>20.791189999999951</v>
      </c>
      <c r="AG107" s="42">
        <f t="shared" si="698"/>
        <v>56.090549999999965</v>
      </c>
      <c r="AH107" s="42">
        <f t="shared" si="698"/>
        <v>-25.551660000000062</v>
      </c>
      <c r="AI107" s="42">
        <f t="shared" si="698"/>
        <v>61.628590000000045</v>
      </c>
      <c r="AJ107" s="42">
        <f t="shared" si="698"/>
        <v>90.131999999999906</v>
      </c>
      <c r="AK107" s="42">
        <f t="shared" si="698"/>
        <v>68.915150000000011</v>
      </c>
      <c r="AL107" s="42">
        <f t="shared" si="698"/>
        <v>-19.920499999999919</v>
      </c>
      <c r="AM107" s="42">
        <f t="shared" si="698"/>
        <v>160.01436999999996</v>
      </c>
      <c r="AN107" s="42">
        <f t="shared" si="698"/>
        <v>1.3341099999999999</v>
      </c>
      <c r="AO107" s="43">
        <f t="shared" si="698"/>
        <v>390.13912999999923</v>
      </c>
      <c r="AP107" s="43">
        <f t="shared" si="698"/>
        <v>394.19153999999867</v>
      </c>
    </row>
    <row r="108" spans="2:44" x14ac:dyDescent="0.2">
      <c r="B108" s="14"/>
      <c r="C108" s="15"/>
      <c r="D108" s="15"/>
      <c r="E108" s="49">
        <f>IFERROR(E107/E$19,0)</f>
        <v>-0.21504961520933016</v>
      </c>
      <c r="F108" s="49">
        <f t="shared" ref="F108" si="699">IFERROR(F107/F$19,0)</f>
        <v>0.94910347046331534</v>
      </c>
      <c r="G108" s="49">
        <f t="shared" ref="G108" si="700">IFERROR(G107/G$19,0)</f>
        <v>0.25871197075128166</v>
      </c>
      <c r="H108" s="49">
        <f t="shared" ref="H108" si="701">IFERROR(H107/H$19,0)</f>
        <v>7.7605833473777308E-2</v>
      </c>
      <c r="I108" s="49">
        <f t="shared" ref="I108" si="702">IFERROR(I107/I$19,0)</f>
        <v>-0.10096729668193806</v>
      </c>
      <c r="J108" s="49">
        <f t="shared" ref="J108" si="703">IFERROR(J107/J$19,0)</f>
        <v>-0.29379246326235425</v>
      </c>
      <c r="K108" s="49">
        <f t="shared" ref="K108" si="704">IFERROR(K107/K$19,0)</f>
        <v>0.28556044218548043</v>
      </c>
      <c r="L108" s="49">
        <f t="shared" ref="L108" si="705">IFERROR(L107/L$19,0)</f>
        <v>8.5733597684084728E-2</v>
      </c>
      <c r="M108" s="49">
        <f t="shared" ref="M108" si="706">IFERROR(M107/M$19,0)</f>
        <v>-6.465305824287558E-2</v>
      </c>
      <c r="N108" s="49">
        <f t="shared" ref="N108" si="707">IFERROR(N107/N$19,0)</f>
        <v>0.10720968564099061</v>
      </c>
      <c r="O108" s="49">
        <f t="shared" ref="O108" si="708">IFERROR(O107/O$19,0)</f>
        <v>1.8925557025547914E-2</v>
      </c>
      <c r="P108" s="49">
        <f t="shared" ref="P108" si="709">IFERROR(P107/P$19,0)</f>
        <v>5.9894206900627349E-2</v>
      </c>
      <c r="Q108" s="50">
        <f t="shared" ref="Q108" si="710">IFERROR(Q107/Q$19,0)</f>
        <v>8.2423629544200086E-2</v>
      </c>
      <c r="R108" s="49">
        <f t="shared" ref="R108" si="711">IFERROR(R107/R$19,0)</f>
        <v>-0.20920136218373281</v>
      </c>
      <c r="S108" s="49">
        <f t="shared" ref="S108" si="712">IFERROR(S107/S$19,0)</f>
        <v>-7.346359798976615E-2</v>
      </c>
      <c r="T108" s="49">
        <f t="shared" ref="T108" si="713">IFERROR(T107/T$19,0)</f>
        <v>-0.2326269305764152</v>
      </c>
      <c r="U108" s="49">
        <f t="shared" ref="U108" si="714">IFERROR(U107/U$19,0)</f>
        <v>0.23887620910736584</v>
      </c>
      <c r="V108" s="49">
        <f t="shared" ref="V108" si="715">IFERROR(V107/V$19,0)</f>
        <v>-0.17393033159705049</v>
      </c>
      <c r="W108" s="49">
        <f t="shared" ref="W108" si="716">IFERROR(W107/W$19,0)</f>
        <v>7.2362552213457082E-2</v>
      </c>
      <c r="X108" s="49">
        <f t="shared" ref="X108" si="717">IFERROR(X107/X$19,0)</f>
        <v>-0.21943109867069438</v>
      </c>
      <c r="Y108" s="49">
        <f t="shared" ref="Y108" si="718">IFERROR(Y107/Y$19,0)</f>
        <v>0.25207977323406444</v>
      </c>
      <c r="Z108" s="49">
        <f t="shared" ref="Z108" si="719">IFERROR(Z107/Z$19,0)</f>
        <v>4.2365478653320451E-2</v>
      </c>
      <c r="AA108" s="49">
        <f t="shared" ref="AA108" si="720">IFERROR(AA107/AA$19,0)</f>
        <v>-0.31918036576277931</v>
      </c>
      <c r="AB108" s="49">
        <f t="shared" ref="AB108" si="721">IFERROR(AB107/AB$19,0)</f>
        <v>-0.25307600763752858</v>
      </c>
      <c r="AC108" s="49">
        <f t="shared" ref="AC108" si="722">IFERROR(AC107/AC$19,0)</f>
        <v>0.2001148637198468</v>
      </c>
      <c r="AD108" s="50">
        <f t="shared" ref="AD108" si="723">IFERROR(AD107/AD$19,0)</f>
        <v>-3.8625705010304962E-2</v>
      </c>
      <c r="AE108" s="49">
        <f t="shared" ref="AE108" si="724">IFERROR(AE107/AE$19,0)</f>
        <v>-0.1096492623670302</v>
      </c>
      <c r="AF108" s="49">
        <f t="shared" ref="AF108" si="725">IFERROR(AF107/AF$19,0)</f>
        <v>7.3581840743822596E-2</v>
      </c>
      <c r="AG108" s="49">
        <f t="shared" ref="AG108" si="726">IFERROR(AG107/AG$19,0)</f>
        <v>0.14696885794761996</v>
      </c>
      <c r="AH108" s="49">
        <f t="shared" ref="AH108" si="727">IFERROR(AH107/AH$19,0)</f>
        <v>-7.3227903848006926E-2</v>
      </c>
      <c r="AI108" s="49">
        <f t="shared" ref="AI108" si="728">IFERROR(AI107/AI$19,0)</f>
        <v>0.17826940788788595</v>
      </c>
      <c r="AJ108" s="49">
        <f t="shared" ref="AJ108" si="729">IFERROR(AJ107/AJ$19,0)</f>
        <v>0.1908015417557144</v>
      </c>
      <c r="AK108" s="49">
        <f t="shared" ref="AK108" si="730">IFERROR(AK107/AK$19,0)</f>
        <v>0.17897550039404914</v>
      </c>
      <c r="AL108" s="49">
        <f t="shared" ref="AL108" si="731">IFERROR(AL107/AL$19,0)</f>
        <v>-5.6281993511289548E-2</v>
      </c>
      <c r="AM108" s="49">
        <f t="shared" ref="AM108" si="732">IFERROR(AM107/AM$19,0)</f>
        <v>0.36597131499981694</v>
      </c>
      <c r="AN108" s="49">
        <f t="shared" ref="AN108" si="733">IFERROR(AN107/AN$19,0)</f>
        <v>3.9440658144678752E-3</v>
      </c>
      <c r="AO108" s="50">
        <f t="shared" ref="AO108" si="734">IFERROR(AO107/AO$19,0)</f>
        <v>0.10964621146369274</v>
      </c>
      <c r="AP108" s="50">
        <f t="shared" ref="AP108" si="735">IFERROR(AP107/AP$19,0)</f>
        <v>9.2941851182383239E-2</v>
      </c>
    </row>
    <row r="109" spans="2:44" s="39" customFormat="1" ht="11.25" hidden="1" outlineLevel="1" x14ac:dyDescent="0.2">
      <c r="B109" s="38" t="s">
        <v>78</v>
      </c>
      <c r="E109" s="54">
        <f>ROUND('Income Statement Source'!G65/1000-'1. Income Statement'!E107,2)</f>
        <v>0</v>
      </c>
      <c r="F109" s="54">
        <f>ROUND('Income Statement Source'!H65/1000-'1. Income Statement'!F107,2)</f>
        <v>0</v>
      </c>
      <c r="G109" s="54">
        <f>ROUND('Income Statement Source'!I65/1000-'1. Income Statement'!G107,2)</f>
        <v>0</v>
      </c>
      <c r="H109" s="54">
        <f>ROUND('Income Statement Source'!J65/1000-'1. Income Statement'!H107,2)</f>
        <v>0</v>
      </c>
      <c r="I109" s="54">
        <f>ROUND('Income Statement Source'!K65/1000-'1. Income Statement'!I107,2)</f>
        <v>0</v>
      </c>
      <c r="J109" s="54">
        <f>ROUND('Income Statement Source'!L65/1000-'1. Income Statement'!J107,2)</f>
        <v>0</v>
      </c>
      <c r="K109" s="54">
        <f>ROUND('Income Statement Source'!M65/1000-'1. Income Statement'!K107,2)</f>
        <v>0</v>
      </c>
      <c r="L109" s="54">
        <f>ROUND('Income Statement Source'!N65/1000-'1. Income Statement'!L107,2)</f>
        <v>0</v>
      </c>
      <c r="M109" s="54">
        <f>ROUND('Income Statement Source'!O65/1000-'1. Income Statement'!M107,2)</f>
        <v>0</v>
      </c>
      <c r="N109" s="54">
        <f>ROUND('Income Statement Source'!P65/1000-'1. Income Statement'!N107,2)</f>
        <v>0</v>
      </c>
      <c r="O109" s="54">
        <f>ROUND('Income Statement Source'!Q65/1000-'1. Income Statement'!O107,2)</f>
        <v>0</v>
      </c>
      <c r="P109" s="54">
        <f>ROUND('Income Statement Source'!R65/1000-'1. Income Statement'!P107,2)</f>
        <v>0</v>
      </c>
      <c r="Q109" s="55">
        <f>SUM(E109:P109)</f>
        <v>0</v>
      </c>
      <c r="R109" s="54">
        <f>ROUND('Income Statement Source'!T65/1000-'1. Income Statement'!R107,2)</f>
        <v>0</v>
      </c>
      <c r="S109" s="54">
        <f>ROUND('Income Statement Source'!U65/1000-'1. Income Statement'!S107,2)</f>
        <v>0</v>
      </c>
      <c r="T109" s="54">
        <f>ROUND('Income Statement Source'!V65/1000-'1. Income Statement'!T107,2)</f>
        <v>0</v>
      </c>
      <c r="U109" s="54">
        <f>ROUND('Income Statement Source'!W65/1000-'1. Income Statement'!U107,2)</f>
        <v>0</v>
      </c>
      <c r="V109" s="54">
        <f>ROUND('Income Statement Source'!X65/1000-'1. Income Statement'!V107,2)</f>
        <v>0</v>
      </c>
      <c r="W109" s="54">
        <f>ROUND('Income Statement Source'!Y65/1000-'1. Income Statement'!W107,2)</f>
        <v>0</v>
      </c>
      <c r="X109" s="54">
        <f>ROUND('Income Statement Source'!Z65/1000-'1. Income Statement'!X107,2)</f>
        <v>0</v>
      </c>
      <c r="Y109" s="54">
        <f>ROUND('Income Statement Source'!AA65/1000-'1. Income Statement'!Y107,2)</f>
        <v>0</v>
      </c>
      <c r="Z109" s="54">
        <f>ROUND('Income Statement Source'!AB65/1000-'1. Income Statement'!Z107,2)</f>
        <v>0</v>
      </c>
      <c r="AA109" s="54">
        <f>ROUND('Income Statement Source'!AC65/1000-'1. Income Statement'!AA107,2)</f>
        <v>0</v>
      </c>
      <c r="AB109" s="54">
        <f>ROUND('Income Statement Source'!AD65/1000-'1. Income Statement'!AB107,2)</f>
        <v>0</v>
      </c>
      <c r="AC109" s="54">
        <f>ROUND('Income Statement Source'!AE65/1000-'1. Income Statement'!AC107,2)</f>
        <v>0</v>
      </c>
      <c r="AD109" s="55">
        <f>SUM(R109:AC109)</f>
        <v>0</v>
      </c>
      <c r="AE109" s="54">
        <f>ROUND('Income Statement Source'!AG65/1000-'1. Income Statement'!AE107,2)</f>
        <v>0</v>
      </c>
      <c r="AF109" s="54">
        <f>ROUND('Income Statement Source'!AH65/1000-'1. Income Statement'!AF107,2)</f>
        <v>0</v>
      </c>
      <c r="AG109" s="54">
        <f>ROUND('Income Statement Source'!AI65/1000-'1. Income Statement'!AG107,2)</f>
        <v>0</v>
      </c>
      <c r="AH109" s="54">
        <f>ROUND('Income Statement Source'!AJ65/1000-'1. Income Statement'!AH107,2)</f>
        <v>0</v>
      </c>
      <c r="AI109" s="54">
        <f>ROUND('Income Statement Source'!AK65/1000-'1. Income Statement'!AI107,2)</f>
        <v>0</v>
      </c>
      <c r="AJ109" s="54">
        <f>ROUND('Income Statement Source'!AL65/1000-'1. Income Statement'!AJ107,2)</f>
        <v>0</v>
      </c>
      <c r="AK109" s="54">
        <f>ROUND('Income Statement Source'!AM65/1000-'1. Income Statement'!AK107,2)</f>
        <v>0</v>
      </c>
      <c r="AL109" s="54">
        <f>ROUND('Income Statement Source'!AN65/1000-'1. Income Statement'!AL107,2)</f>
        <v>0</v>
      </c>
      <c r="AM109" s="54">
        <f>ROUND('Income Statement Source'!AO65/1000-'1. Income Statement'!AM107,2)</f>
        <v>0</v>
      </c>
      <c r="AN109" s="54">
        <f>ROUND('Income Statement Source'!AP65/1000-'1. Income Statement'!AN107,2)</f>
        <v>0</v>
      </c>
      <c r="AO109" s="56">
        <f t="shared" ref="AO109" si="736">SUM(AE109:AN109)</f>
        <v>0</v>
      </c>
      <c r="AP109" s="56">
        <f t="shared" ref="AP109" si="737">SUM(AO109,AB109:AC109)</f>
        <v>0</v>
      </c>
    </row>
    <row r="110" spans="2:44" collapsed="1" x14ac:dyDescent="0.2">
      <c r="B110" s="25"/>
      <c r="Q110" s="17"/>
      <c r="AD110" s="17"/>
      <c r="AO110" s="17"/>
      <c r="AP110" s="17"/>
    </row>
    <row r="111" spans="2:44" x14ac:dyDescent="0.2">
      <c r="B111" s="26" t="s">
        <v>74</v>
      </c>
      <c r="Q111" s="17"/>
      <c r="AD111" s="17"/>
      <c r="AO111" s="17"/>
      <c r="AP111" s="17"/>
    </row>
    <row r="112" spans="2:44" x14ac:dyDescent="0.2">
      <c r="B112" s="29" t="s">
        <v>75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2">
        <f>SUM(E112:P112)</f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2">
        <f>SUM(R112:AC112)</f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2">
        <f>SUM(AE112:AN112)</f>
        <v>0</v>
      </c>
      <c r="AP112" s="22">
        <f>SUM(AO112,AB112:AC112)</f>
        <v>0</v>
      </c>
    </row>
    <row r="113" spans="2:42" x14ac:dyDescent="0.2">
      <c r="B113" s="29" t="s">
        <v>76</v>
      </c>
      <c r="E113" s="20">
        <f>+E102</f>
        <v>3.21286</v>
      </c>
      <c r="F113" s="20">
        <f t="shared" ref="F113:P113" si="738">+F102</f>
        <v>3.1923600000000003</v>
      </c>
      <c r="G113" s="20">
        <f t="shared" si="738"/>
        <v>3.2050799999999997</v>
      </c>
      <c r="H113" s="20">
        <f t="shared" si="738"/>
        <v>3.2042199999999998</v>
      </c>
      <c r="I113" s="20">
        <f t="shared" si="738"/>
        <v>3.1792899999999999</v>
      </c>
      <c r="J113" s="20">
        <f t="shared" si="738"/>
        <v>3.1701799999999998</v>
      </c>
      <c r="K113" s="20">
        <f t="shared" si="738"/>
        <v>3.2202899999999999</v>
      </c>
      <c r="L113" s="20">
        <f t="shared" si="738"/>
        <v>3.17381</v>
      </c>
      <c r="M113" s="20">
        <f t="shared" si="738"/>
        <v>3.2073700000000001</v>
      </c>
      <c r="N113" s="20">
        <f t="shared" si="738"/>
        <v>3.1826300000000001</v>
      </c>
      <c r="O113" s="20">
        <f t="shared" si="738"/>
        <v>3.2315200000000002</v>
      </c>
      <c r="P113" s="20">
        <f t="shared" si="738"/>
        <v>3.1739699999999997</v>
      </c>
      <c r="Q113" s="22">
        <f>SUM(E113:P113)</f>
        <v>38.353579999999994</v>
      </c>
      <c r="R113" s="20">
        <f t="shared" ref="R113:AC113" si="739">+R102</f>
        <v>3.1880600000000001</v>
      </c>
      <c r="S113" s="20">
        <f t="shared" si="739"/>
        <v>3.2036799999999999</v>
      </c>
      <c r="T113" s="20">
        <f t="shared" si="739"/>
        <v>3.2176399999999998</v>
      </c>
      <c r="U113" s="20">
        <f t="shared" si="739"/>
        <v>3.1807800000000004</v>
      </c>
      <c r="V113" s="20">
        <f t="shared" si="739"/>
        <v>3.2258599999999999</v>
      </c>
      <c r="W113" s="20">
        <f t="shared" si="739"/>
        <v>3.1925300000000001</v>
      </c>
      <c r="X113" s="20">
        <f t="shared" si="739"/>
        <v>3.1800100000000002</v>
      </c>
      <c r="Y113" s="20">
        <f t="shared" si="739"/>
        <v>3.2293000000000003</v>
      </c>
      <c r="Z113" s="20">
        <f t="shared" si="739"/>
        <v>3.2239</v>
      </c>
      <c r="AA113" s="20">
        <f t="shared" si="739"/>
        <v>3.1999299999999997</v>
      </c>
      <c r="AB113" s="20">
        <f t="shared" si="739"/>
        <v>3.1926199999999998</v>
      </c>
      <c r="AC113" s="20">
        <f t="shared" si="739"/>
        <v>3.1934399999999998</v>
      </c>
      <c r="AD113" s="22">
        <f>SUM(R113:AC113)</f>
        <v>38.427750000000003</v>
      </c>
      <c r="AE113" s="20">
        <f t="shared" ref="AE113:AN113" si="740">+AE102</f>
        <v>3.20418</v>
      </c>
      <c r="AF113" s="20">
        <f t="shared" si="740"/>
        <v>3.1887099999999999</v>
      </c>
      <c r="AG113" s="20">
        <f t="shared" si="740"/>
        <v>3.2064499999999998</v>
      </c>
      <c r="AH113" s="20">
        <f t="shared" si="740"/>
        <v>3.1915399999999998</v>
      </c>
      <c r="AI113" s="20">
        <f t="shared" si="740"/>
        <v>3.18709</v>
      </c>
      <c r="AJ113" s="20">
        <f t="shared" si="740"/>
        <v>3.18086</v>
      </c>
      <c r="AK113" s="20">
        <f t="shared" si="740"/>
        <v>3.2305900000000003</v>
      </c>
      <c r="AL113" s="20">
        <f t="shared" si="740"/>
        <v>3.1849499999999997</v>
      </c>
      <c r="AM113" s="20">
        <f t="shared" si="740"/>
        <v>3.1779600000000001</v>
      </c>
      <c r="AN113" s="20">
        <f t="shared" si="740"/>
        <v>3.2045300000000001</v>
      </c>
      <c r="AO113" s="22">
        <f>SUM(AE113:AN113)</f>
        <v>31.956859999999999</v>
      </c>
      <c r="AP113" s="22">
        <f>SUM(AO113,AB113:AC113)</f>
        <v>38.342919999999999</v>
      </c>
    </row>
    <row r="114" spans="2:42" s="34" customFormat="1" x14ac:dyDescent="0.2">
      <c r="B114" s="33" t="s">
        <v>77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2">
        <f>SUM(E114:P114)</f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2">
        <f>SUM(R114:AC114)</f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2">
        <f>SUM(AE114:AN114)</f>
        <v>0</v>
      </c>
      <c r="AP114" s="22">
        <f>SUM(AO114,AB114:AC114)</f>
        <v>0</v>
      </c>
    </row>
    <row r="115" spans="2:42" x14ac:dyDescent="0.2">
      <c r="B115" s="12" t="str">
        <f>+B111</f>
        <v>Reported EBITDA</v>
      </c>
      <c r="C115" s="13"/>
      <c r="D115" s="13"/>
      <c r="E115" s="42">
        <f>+E107+SUM(E112:E114)</f>
        <v>-37.641410000000015</v>
      </c>
      <c r="F115" s="42">
        <f t="shared" ref="F115:AP115" si="741">+F107+SUM(F112:F114)</f>
        <v>218.90434999999999</v>
      </c>
      <c r="G115" s="42">
        <f t="shared" si="741"/>
        <v>82.788900000000012</v>
      </c>
      <c r="H115" s="42">
        <f t="shared" si="741"/>
        <v>23.276489999999967</v>
      </c>
      <c r="I115" s="42">
        <f t="shared" si="741"/>
        <v>-24.261300000000041</v>
      </c>
      <c r="J115" s="42">
        <f t="shared" si="741"/>
        <v>-105.02038999999996</v>
      </c>
      <c r="K115" s="42">
        <f t="shared" si="741"/>
        <v>89.601349999999996</v>
      </c>
      <c r="L115" s="42">
        <f t="shared" si="741"/>
        <v>26.941099999999967</v>
      </c>
      <c r="M115" s="42">
        <f t="shared" si="741"/>
        <v>-19.697920000000035</v>
      </c>
      <c r="N115" s="42">
        <f t="shared" si="741"/>
        <v>31.824239999999982</v>
      </c>
      <c r="O115" s="42">
        <f t="shared" si="741"/>
        <v>7.4953000000000056</v>
      </c>
      <c r="P115" s="42">
        <f t="shared" si="741"/>
        <v>23.483619999999942</v>
      </c>
      <c r="Q115" s="43">
        <f t="shared" si="741"/>
        <v>317.69433000000015</v>
      </c>
      <c r="R115" s="42">
        <f t="shared" si="741"/>
        <v>-39.176719999999996</v>
      </c>
      <c r="S115" s="42">
        <f t="shared" si="741"/>
        <v>-15.765410000000029</v>
      </c>
      <c r="T115" s="42">
        <f t="shared" si="741"/>
        <v>-78.87063000000002</v>
      </c>
      <c r="U115" s="42">
        <f t="shared" si="741"/>
        <v>79.549430000000044</v>
      </c>
      <c r="V115" s="42">
        <f t="shared" si="741"/>
        <v>-55.917849999999987</v>
      </c>
      <c r="W115" s="42">
        <f t="shared" si="741"/>
        <v>34.861869999999989</v>
      </c>
      <c r="X115" s="42">
        <f t="shared" si="741"/>
        <v>-78.252149999999943</v>
      </c>
      <c r="Y115" s="42">
        <f t="shared" si="741"/>
        <v>99.293680000000023</v>
      </c>
      <c r="Z115" s="42">
        <f t="shared" si="741"/>
        <v>20.089700000000001</v>
      </c>
      <c r="AA115" s="42">
        <f t="shared" si="741"/>
        <v>-94.244460000000089</v>
      </c>
      <c r="AB115" s="42">
        <f t="shared" si="741"/>
        <v>-70.881909999999948</v>
      </c>
      <c r="AC115" s="42">
        <f t="shared" si="741"/>
        <v>81.320379999999972</v>
      </c>
      <c r="AD115" s="43">
        <f t="shared" si="741"/>
        <v>-117.99406999999951</v>
      </c>
      <c r="AE115" s="42">
        <f t="shared" si="741"/>
        <v>-20.090489999999953</v>
      </c>
      <c r="AF115" s="42">
        <f t="shared" si="741"/>
        <v>23.979899999999951</v>
      </c>
      <c r="AG115" s="42">
        <f t="shared" si="741"/>
        <v>59.296999999999962</v>
      </c>
      <c r="AH115" s="42">
        <f t="shared" si="741"/>
        <v>-22.360120000000062</v>
      </c>
      <c r="AI115" s="42">
        <f t="shared" si="741"/>
        <v>64.815680000000043</v>
      </c>
      <c r="AJ115" s="42">
        <f t="shared" si="741"/>
        <v>93.312859999999901</v>
      </c>
      <c r="AK115" s="42">
        <f t="shared" si="741"/>
        <v>72.145740000000018</v>
      </c>
      <c r="AL115" s="42">
        <f t="shared" si="741"/>
        <v>-16.735549999999918</v>
      </c>
      <c r="AM115" s="42">
        <f t="shared" si="741"/>
        <v>163.19232999999997</v>
      </c>
      <c r="AN115" s="42">
        <f t="shared" si="741"/>
        <v>4.53864</v>
      </c>
      <c r="AO115" s="43">
        <f t="shared" si="741"/>
        <v>422.09598999999923</v>
      </c>
      <c r="AP115" s="43">
        <f t="shared" si="741"/>
        <v>432.53445999999866</v>
      </c>
    </row>
    <row r="116" spans="2:42" x14ac:dyDescent="0.2">
      <c r="B116" s="14"/>
      <c r="C116" s="15"/>
      <c r="D116" s="15"/>
      <c r="E116" s="49">
        <f>IFERROR(E115/E$19,0)</f>
        <v>-0.19813769127282493</v>
      </c>
      <c r="F116" s="49">
        <f t="shared" ref="F116" si="742">IFERROR(F115/F$19,0)</f>
        <v>0.96314942106146373</v>
      </c>
      <c r="G116" s="49">
        <f t="shared" ref="G116" si="743">IFERROR(G115/G$19,0)</f>
        <v>0.26913108060571583</v>
      </c>
      <c r="H116" s="49">
        <f t="shared" ref="H116" si="744">IFERROR(H115/H$19,0)</f>
        <v>8.9994375663243031E-2</v>
      </c>
      <c r="I116" s="49">
        <f t="shared" ref="I116" si="745">IFERROR(I115/I$19,0)</f>
        <v>-8.9269140167522062E-2</v>
      </c>
      <c r="J116" s="49">
        <f t="shared" ref="J116" si="746">IFERROR(J115/J$19,0)</f>
        <v>-0.28518381103707202</v>
      </c>
      <c r="K116" s="49">
        <f t="shared" ref="K116" si="747">IFERROR(K115/K$19,0)</f>
        <v>0.29620614896848918</v>
      </c>
      <c r="L116" s="49">
        <f t="shared" ref="L116" si="748">IFERROR(L115/L$19,0)</f>
        <v>9.7182195722217188E-2</v>
      </c>
      <c r="M116" s="49">
        <f t="shared" ref="M116" si="749">IFERROR(M115/M$19,0)</f>
        <v>-5.559985352831176E-2</v>
      </c>
      <c r="N116" s="49">
        <f t="shared" ref="N116" si="750">IFERROR(N115/N$19,0)</f>
        <v>0.11912272969862514</v>
      </c>
      <c r="O116" s="49">
        <f t="shared" ref="O116" si="751">IFERROR(O115/O$19,0)</f>
        <v>3.3269241746429035E-2</v>
      </c>
      <c r="P116" s="49">
        <f t="shared" ref="P116" si="752">IFERROR(P115/P$19,0)</f>
        <v>6.9254408375117787E-2</v>
      </c>
      <c r="Q116" s="50">
        <f t="shared" ref="Q116" si="753">IFERROR(Q115/Q$19,0)</f>
        <v>9.3740421919153771E-2</v>
      </c>
      <c r="R116" s="49">
        <f t="shared" ref="R116" si="754">IFERROR(R115/R$19,0)</f>
        <v>-0.19345841498269761</v>
      </c>
      <c r="S116" s="49">
        <f t="shared" ref="S116" si="755">IFERROR(S115/S$19,0)</f>
        <v>-6.1056368143323665E-2</v>
      </c>
      <c r="T116" s="49">
        <f t="shared" ref="T116" si="756">IFERROR(T115/T$19,0)</f>
        <v>-0.22350857886916281</v>
      </c>
      <c r="U116" s="49">
        <f t="shared" ref="U116" si="757">IFERROR(U115/U$19,0)</f>
        <v>0.24882548369064741</v>
      </c>
      <c r="V116" s="49">
        <f t="shared" ref="V116" si="758">IFERROR(V115/V$19,0)</f>
        <v>-0.16444369473430276</v>
      </c>
      <c r="W116" s="49">
        <f t="shared" ref="W116" si="759">IFERROR(W115/W$19,0)</f>
        <v>7.9657292767508048E-2</v>
      </c>
      <c r="X116" s="49">
        <f t="shared" ref="X116" si="760">IFERROR(X115/X$19,0)</f>
        <v>-0.21086208750749061</v>
      </c>
      <c r="Y116" s="49">
        <f t="shared" ref="Y116" si="761">IFERROR(Y115/Y$19,0)</f>
        <v>0.2605536863713247</v>
      </c>
      <c r="Z116" s="49">
        <f t="shared" ref="Z116" si="762">IFERROR(Z115/Z$19,0)</f>
        <v>5.0463645750667738E-2</v>
      </c>
      <c r="AA116" s="49">
        <f t="shared" ref="AA116" si="763">IFERROR(AA115/AA$19,0)</f>
        <v>-0.3086989534637718</v>
      </c>
      <c r="AB116" s="49">
        <f t="shared" ref="AB116" si="764">IFERROR(AB115/AB$19,0)</f>
        <v>-0.24216840520652122</v>
      </c>
      <c r="AC116" s="49">
        <f t="shared" ref="AC116" si="765">IFERROR(AC115/AC$19,0)</f>
        <v>0.20829456217466286</v>
      </c>
      <c r="AD116" s="50">
        <f t="shared" ref="AD116" si="766">IFERROR(AD115/AD$19,0)</f>
        <v>-2.9136626468003437E-2</v>
      </c>
      <c r="AE116" s="49">
        <f t="shared" ref="AE116" si="767">IFERROR(AE115/AE$19,0)</f>
        <v>-9.4567015076504446E-2</v>
      </c>
      <c r="AF116" s="49">
        <f t="shared" ref="AF116" si="768">IFERROR(AF115/AF$19,0)</f>
        <v>8.4866964462004923E-2</v>
      </c>
      <c r="AG116" s="49">
        <f t="shared" ref="AG116" si="769">IFERROR(AG115/AG$19,0)</f>
        <v>0.15537042103741219</v>
      </c>
      <c r="AH116" s="49">
        <f t="shared" ref="AH116" si="770">IFERROR(AH115/AH$19,0)</f>
        <v>-6.4081344123626302E-2</v>
      </c>
      <c r="AI116" s="49">
        <f t="shared" ref="AI116" si="771">IFERROR(AI115/AI$19,0)</f>
        <v>0.18748851621383342</v>
      </c>
      <c r="AJ116" s="49">
        <f t="shared" ref="AJ116" si="772">IFERROR(AJ115/AJ$19,0)</f>
        <v>0.19753514349659534</v>
      </c>
      <c r="AK116" s="49">
        <f t="shared" ref="AK116" si="773">IFERROR(AK115/AK$19,0)</f>
        <v>0.18736547649970967</v>
      </c>
      <c r="AL116" s="49">
        <f t="shared" ref="AL116" si="774">IFERROR(AL115/AL$19,0)</f>
        <v>-4.728345756923074E-2</v>
      </c>
      <c r="AM116" s="49">
        <f t="shared" ref="AM116" si="775">IFERROR(AM115/AM$19,0)</f>
        <v>0.37323967596150326</v>
      </c>
      <c r="AN116" s="49">
        <f t="shared" ref="AN116" si="776">IFERROR(AN115/AN$19,0)</f>
        <v>1.3417705337773107E-2</v>
      </c>
      <c r="AO116" s="50">
        <f t="shared" ref="AO116" si="777">IFERROR(AO115/AO$19,0)</f>
        <v>0.11862749111455892</v>
      </c>
      <c r="AP116" s="50">
        <f t="shared" ref="AP116" si="778">IFERROR(AP115/AP$19,0)</f>
        <v>0.10198228356847158</v>
      </c>
    </row>
    <row r="117" spans="2:42" x14ac:dyDescent="0.2">
      <c r="B117" s="25"/>
      <c r="Q117" s="17"/>
      <c r="AD117" s="17"/>
      <c r="AO117" s="17"/>
      <c r="AP117" s="17"/>
    </row>
    <row r="118" spans="2:42" x14ac:dyDescent="0.2">
      <c r="B118" s="26" t="s">
        <v>79</v>
      </c>
      <c r="Q118" s="17"/>
      <c r="AD118" s="17"/>
      <c r="AO118" s="17"/>
      <c r="AP118" s="17"/>
    </row>
    <row r="119" spans="2:42" hidden="1" outlineLevel="1" x14ac:dyDescent="0.2">
      <c r="B119" s="29" t="s">
        <v>81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2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2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2"/>
      <c r="AP119" s="22"/>
    </row>
    <row r="120" spans="2:42" hidden="1" outlineLevel="1" x14ac:dyDescent="0.2">
      <c r="B120" s="30" t="s">
        <v>67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2">
        <f>SUM(E120:P120)</f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2">
        <f>SUM(R120:AC120)</f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2">
        <f>SUM(AE120:AN120)</f>
        <v>0</v>
      </c>
      <c r="AP120" s="22">
        <f>SUM(AO120,AB120:AC120)</f>
        <v>0</v>
      </c>
    </row>
    <row r="121" spans="2:42" s="34" customFormat="1" hidden="1" outlineLevel="1" x14ac:dyDescent="0.2">
      <c r="B121" s="40" t="s">
        <v>67</v>
      </c>
      <c r="C121" s="41"/>
      <c r="D121" s="41"/>
      <c r="E121" s="31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2">
        <f>SUM(E121:P121)</f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</v>
      </c>
      <c r="AD121" s="32">
        <f>SUM(R121:AC121)</f>
        <v>0</v>
      </c>
      <c r="AE121" s="31">
        <v>0</v>
      </c>
      <c r="AF121" s="31">
        <v>0</v>
      </c>
      <c r="AG121" s="31">
        <v>0</v>
      </c>
      <c r="AH121" s="31">
        <v>0</v>
      </c>
      <c r="AI121" s="31">
        <v>0</v>
      </c>
      <c r="AJ121" s="31">
        <v>0</v>
      </c>
      <c r="AK121" s="31">
        <v>0</v>
      </c>
      <c r="AL121" s="31">
        <v>0</v>
      </c>
      <c r="AM121" s="31">
        <v>0</v>
      </c>
      <c r="AN121" s="31">
        <v>0</v>
      </c>
      <c r="AO121" s="32">
        <f>SUM(AE121:AN121)</f>
        <v>0</v>
      </c>
      <c r="AP121" s="32">
        <f>SUM(AO121,AB121:AC121)</f>
        <v>0</v>
      </c>
    </row>
    <row r="122" spans="2:42" s="34" customFormat="1" collapsed="1" x14ac:dyDescent="0.2">
      <c r="B122" s="33" t="str">
        <f>+B119</f>
        <v>Management Adjustments</v>
      </c>
      <c r="E122" s="20">
        <f>SUM(E120:E121)</f>
        <v>0</v>
      </c>
      <c r="F122" s="20">
        <f t="shared" ref="F122:AP122" si="779">SUM(F120:F121)</f>
        <v>0</v>
      </c>
      <c r="G122" s="20">
        <f t="shared" si="779"/>
        <v>0</v>
      </c>
      <c r="H122" s="20">
        <f t="shared" si="779"/>
        <v>0</v>
      </c>
      <c r="I122" s="20">
        <f t="shared" si="779"/>
        <v>0</v>
      </c>
      <c r="J122" s="20">
        <f t="shared" si="779"/>
        <v>0</v>
      </c>
      <c r="K122" s="20">
        <f t="shared" si="779"/>
        <v>0</v>
      </c>
      <c r="L122" s="20">
        <f t="shared" si="779"/>
        <v>0</v>
      </c>
      <c r="M122" s="20">
        <f t="shared" si="779"/>
        <v>0</v>
      </c>
      <c r="N122" s="20">
        <f t="shared" si="779"/>
        <v>0</v>
      </c>
      <c r="O122" s="20">
        <f t="shared" si="779"/>
        <v>0</v>
      </c>
      <c r="P122" s="20">
        <f t="shared" si="779"/>
        <v>0</v>
      </c>
      <c r="Q122" s="22">
        <f t="shared" si="779"/>
        <v>0</v>
      </c>
      <c r="R122" s="20">
        <f t="shared" si="779"/>
        <v>0</v>
      </c>
      <c r="S122" s="20">
        <f t="shared" si="779"/>
        <v>0</v>
      </c>
      <c r="T122" s="20">
        <f t="shared" si="779"/>
        <v>0</v>
      </c>
      <c r="U122" s="20">
        <f t="shared" si="779"/>
        <v>0</v>
      </c>
      <c r="V122" s="20">
        <f t="shared" si="779"/>
        <v>0</v>
      </c>
      <c r="W122" s="20">
        <f t="shared" si="779"/>
        <v>0</v>
      </c>
      <c r="X122" s="20">
        <f t="shared" si="779"/>
        <v>0</v>
      </c>
      <c r="Y122" s="20">
        <f t="shared" si="779"/>
        <v>0</v>
      </c>
      <c r="Z122" s="20">
        <f t="shared" si="779"/>
        <v>0</v>
      </c>
      <c r="AA122" s="20">
        <f t="shared" si="779"/>
        <v>0</v>
      </c>
      <c r="AB122" s="20">
        <f t="shared" si="779"/>
        <v>0</v>
      </c>
      <c r="AC122" s="20">
        <f t="shared" si="779"/>
        <v>0</v>
      </c>
      <c r="AD122" s="22">
        <f t="shared" si="779"/>
        <v>0</v>
      </c>
      <c r="AE122" s="20">
        <f t="shared" si="779"/>
        <v>0</v>
      </c>
      <c r="AF122" s="20">
        <f t="shared" si="779"/>
        <v>0</v>
      </c>
      <c r="AG122" s="20">
        <f t="shared" si="779"/>
        <v>0</v>
      </c>
      <c r="AH122" s="20">
        <f t="shared" si="779"/>
        <v>0</v>
      </c>
      <c r="AI122" s="20">
        <f t="shared" si="779"/>
        <v>0</v>
      </c>
      <c r="AJ122" s="20">
        <f t="shared" si="779"/>
        <v>0</v>
      </c>
      <c r="AK122" s="20">
        <f t="shared" si="779"/>
        <v>0</v>
      </c>
      <c r="AL122" s="20">
        <f t="shared" si="779"/>
        <v>0</v>
      </c>
      <c r="AM122" s="20">
        <f t="shared" si="779"/>
        <v>0</v>
      </c>
      <c r="AN122" s="20">
        <f t="shared" si="779"/>
        <v>0</v>
      </c>
      <c r="AO122" s="22">
        <f t="shared" si="779"/>
        <v>0</v>
      </c>
      <c r="AP122" s="22">
        <f t="shared" si="779"/>
        <v>0</v>
      </c>
    </row>
    <row r="123" spans="2:42" s="34" customFormat="1" x14ac:dyDescent="0.2">
      <c r="B123" s="33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2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2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2"/>
      <c r="AP123" s="22"/>
    </row>
    <row r="124" spans="2:42" x14ac:dyDescent="0.2">
      <c r="B124" s="12" t="str">
        <f>+B118</f>
        <v>Management Adjusted EBITDA</v>
      </c>
      <c r="C124" s="13"/>
      <c r="D124" s="13"/>
      <c r="E124" s="42">
        <f>+E115+SUM(E119:E121)</f>
        <v>-37.641410000000015</v>
      </c>
      <c r="F124" s="42">
        <f t="shared" ref="F124:AP124" si="780">+F115+SUM(F119:F121)</f>
        <v>218.90434999999999</v>
      </c>
      <c r="G124" s="42">
        <f t="shared" si="780"/>
        <v>82.788900000000012</v>
      </c>
      <c r="H124" s="42">
        <f t="shared" si="780"/>
        <v>23.276489999999967</v>
      </c>
      <c r="I124" s="42">
        <f t="shared" si="780"/>
        <v>-24.261300000000041</v>
      </c>
      <c r="J124" s="42">
        <f t="shared" si="780"/>
        <v>-105.02038999999996</v>
      </c>
      <c r="K124" s="42">
        <f t="shared" si="780"/>
        <v>89.601349999999996</v>
      </c>
      <c r="L124" s="42">
        <f t="shared" si="780"/>
        <v>26.941099999999967</v>
      </c>
      <c r="M124" s="42">
        <f t="shared" si="780"/>
        <v>-19.697920000000035</v>
      </c>
      <c r="N124" s="42">
        <f t="shared" si="780"/>
        <v>31.824239999999982</v>
      </c>
      <c r="O124" s="42">
        <f t="shared" si="780"/>
        <v>7.4953000000000056</v>
      </c>
      <c r="P124" s="42">
        <f t="shared" si="780"/>
        <v>23.483619999999942</v>
      </c>
      <c r="Q124" s="43">
        <f t="shared" si="780"/>
        <v>317.69433000000015</v>
      </c>
      <c r="R124" s="42">
        <f t="shared" si="780"/>
        <v>-39.176719999999996</v>
      </c>
      <c r="S124" s="42">
        <f t="shared" si="780"/>
        <v>-15.765410000000029</v>
      </c>
      <c r="T124" s="42">
        <f t="shared" si="780"/>
        <v>-78.87063000000002</v>
      </c>
      <c r="U124" s="42">
        <f t="shared" si="780"/>
        <v>79.549430000000044</v>
      </c>
      <c r="V124" s="42">
        <f t="shared" si="780"/>
        <v>-55.917849999999987</v>
      </c>
      <c r="W124" s="42">
        <f t="shared" si="780"/>
        <v>34.861869999999989</v>
      </c>
      <c r="X124" s="42">
        <f t="shared" si="780"/>
        <v>-78.252149999999943</v>
      </c>
      <c r="Y124" s="42">
        <f t="shared" si="780"/>
        <v>99.293680000000023</v>
      </c>
      <c r="Z124" s="42">
        <f t="shared" si="780"/>
        <v>20.089700000000001</v>
      </c>
      <c r="AA124" s="42">
        <f t="shared" si="780"/>
        <v>-94.244460000000089</v>
      </c>
      <c r="AB124" s="42">
        <f t="shared" si="780"/>
        <v>-70.881909999999948</v>
      </c>
      <c r="AC124" s="42">
        <f t="shared" si="780"/>
        <v>81.320379999999972</v>
      </c>
      <c r="AD124" s="43">
        <f t="shared" si="780"/>
        <v>-117.99406999999951</v>
      </c>
      <c r="AE124" s="42">
        <f t="shared" si="780"/>
        <v>-20.090489999999953</v>
      </c>
      <c r="AF124" s="42">
        <f t="shared" si="780"/>
        <v>23.979899999999951</v>
      </c>
      <c r="AG124" s="42">
        <f t="shared" si="780"/>
        <v>59.296999999999962</v>
      </c>
      <c r="AH124" s="42">
        <f t="shared" si="780"/>
        <v>-22.360120000000062</v>
      </c>
      <c r="AI124" s="42">
        <f t="shared" si="780"/>
        <v>64.815680000000043</v>
      </c>
      <c r="AJ124" s="42">
        <f t="shared" si="780"/>
        <v>93.312859999999901</v>
      </c>
      <c r="AK124" s="42">
        <f t="shared" si="780"/>
        <v>72.145740000000018</v>
      </c>
      <c r="AL124" s="42">
        <f t="shared" si="780"/>
        <v>-16.735549999999918</v>
      </c>
      <c r="AM124" s="42">
        <f t="shared" si="780"/>
        <v>163.19232999999997</v>
      </c>
      <c r="AN124" s="42">
        <f t="shared" si="780"/>
        <v>4.53864</v>
      </c>
      <c r="AO124" s="43">
        <f t="shared" si="780"/>
        <v>422.09598999999923</v>
      </c>
      <c r="AP124" s="43">
        <f t="shared" si="780"/>
        <v>432.53445999999866</v>
      </c>
    </row>
    <row r="125" spans="2:42" x14ac:dyDescent="0.2">
      <c r="B125" s="14"/>
      <c r="C125" s="15"/>
      <c r="D125" s="15"/>
      <c r="E125" s="49">
        <f>IFERROR(E124/E$19,0)</f>
        <v>-0.19813769127282493</v>
      </c>
      <c r="F125" s="49">
        <f t="shared" ref="F125" si="781">IFERROR(F124/F$19,0)</f>
        <v>0.96314942106146373</v>
      </c>
      <c r="G125" s="49">
        <f t="shared" ref="G125" si="782">IFERROR(G124/G$19,0)</f>
        <v>0.26913108060571583</v>
      </c>
      <c r="H125" s="49">
        <f t="shared" ref="H125" si="783">IFERROR(H124/H$19,0)</f>
        <v>8.9994375663243031E-2</v>
      </c>
      <c r="I125" s="49">
        <f t="shared" ref="I125" si="784">IFERROR(I124/I$19,0)</f>
        <v>-8.9269140167522062E-2</v>
      </c>
      <c r="J125" s="49">
        <f t="shared" ref="J125" si="785">IFERROR(J124/J$19,0)</f>
        <v>-0.28518381103707202</v>
      </c>
      <c r="K125" s="49">
        <f t="shared" ref="K125" si="786">IFERROR(K124/K$19,0)</f>
        <v>0.29620614896848918</v>
      </c>
      <c r="L125" s="49">
        <f t="shared" ref="L125" si="787">IFERROR(L124/L$19,0)</f>
        <v>9.7182195722217188E-2</v>
      </c>
      <c r="M125" s="49">
        <f t="shared" ref="M125" si="788">IFERROR(M124/M$19,0)</f>
        <v>-5.559985352831176E-2</v>
      </c>
      <c r="N125" s="49">
        <f t="shared" ref="N125" si="789">IFERROR(N124/N$19,0)</f>
        <v>0.11912272969862514</v>
      </c>
      <c r="O125" s="49">
        <f t="shared" ref="O125" si="790">IFERROR(O124/O$19,0)</f>
        <v>3.3269241746429035E-2</v>
      </c>
      <c r="P125" s="49">
        <f t="shared" ref="P125" si="791">IFERROR(P124/P$19,0)</f>
        <v>6.9254408375117787E-2</v>
      </c>
      <c r="Q125" s="50">
        <f t="shared" ref="Q125" si="792">IFERROR(Q124/Q$19,0)</f>
        <v>9.3740421919153771E-2</v>
      </c>
      <c r="R125" s="49">
        <f t="shared" ref="R125" si="793">IFERROR(R124/R$19,0)</f>
        <v>-0.19345841498269761</v>
      </c>
      <c r="S125" s="49">
        <f t="shared" ref="S125" si="794">IFERROR(S124/S$19,0)</f>
        <v>-6.1056368143323665E-2</v>
      </c>
      <c r="T125" s="49">
        <f t="shared" ref="T125" si="795">IFERROR(T124/T$19,0)</f>
        <v>-0.22350857886916281</v>
      </c>
      <c r="U125" s="49">
        <f t="shared" ref="U125" si="796">IFERROR(U124/U$19,0)</f>
        <v>0.24882548369064741</v>
      </c>
      <c r="V125" s="49">
        <f t="shared" ref="V125" si="797">IFERROR(V124/V$19,0)</f>
        <v>-0.16444369473430276</v>
      </c>
      <c r="W125" s="49">
        <f t="shared" ref="W125" si="798">IFERROR(W124/W$19,0)</f>
        <v>7.9657292767508048E-2</v>
      </c>
      <c r="X125" s="49">
        <f t="shared" ref="X125" si="799">IFERROR(X124/X$19,0)</f>
        <v>-0.21086208750749061</v>
      </c>
      <c r="Y125" s="49">
        <f t="shared" ref="Y125" si="800">IFERROR(Y124/Y$19,0)</f>
        <v>0.2605536863713247</v>
      </c>
      <c r="Z125" s="49">
        <f t="shared" ref="Z125" si="801">IFERROR(Z124/Z$19,0)</f>
        <v>5.0463645750667738E-2</v>
      </c>
      <c r="AA125" s="49">
        <f t="shared" ref="AA125" si="802">IFERROR(AA124/AA$19,0)</f>
        <v>-0.3086989534637718</v>
      </c>
      <c r="AB125" s="49">
        <f t="shared" ref="AB125" si="803">IFERROR(AB124/AB$19,0)</f>
        <v>-0.24216840520652122</v>
      </c>
      <c r="AC125" s="49">
        <f t="shared" ref="AC125" si="804">IFERROR(AC124/AC$19,0)</f>
        <v>0.20829456217466286</v>
      </c>
      <c r="AD125" s="50">
        <f t="shared" ref="AD125" si="805">IFERROR(AD124/AD$19,0)</f>
        <v>-2.9136626468003437E-2</v>
      </c>
      <c r="AE125" s="49">
        <f t="shared" ref="AE125" si="806">IFERROR(AE124/AE$19,0)</f>
        <v>-9.4567015076504446E-2</v>
      </c>
      <c r="AF125" s="49">
        <f t="shared" ref="AF125" si="807">IFERROR(AF124/AF$19,0)</f>
        <v>8.4866964462004923E-2</v>
      </c>
      <c r="AG125" s="49">
        <f t="shared" ref="AG125" si="808">IFERROR(AG124/AG$19,0)</f>
        <v>0.15537042103741219</v>
      </c>
      <c r="AH125" s="49">
        <f t="shared" ref="AH125" si="809">IFERROR(AH124/AH$19,0)</f>
        <v>-6.4081344123626302E-2</v>
      </c>
      <c r="AI125" s="49">
        <f t="shared" ref="AI125" si="810">IFERROR(AI124/AI$19,0)</f>
        <v>0.18748851621383342</v>
      </c>
      <c r="AJ125" s="49">
        <f t="shared" ref="AJ125" si="811">IFERROR(AJ124/AJ$19,0)</f>
        <v>0.19753514349659534</v>
      </c>
      <c r="AK125" s="49">
        <f t="shared" ref="AK125" si="812">IFERROR(AK124/AK$19,0)</f>
        <v>0.18736547649970967</v>
      </c>
      <c r="AL125" s="49">
        <f t="shared" ref="AL125" si="813">IFERROR(AL124/AL$19,0)</f>
        <v>-4.728345756923074E-2</v>
      </c>
      <c r="AM125" s="49">
        <f t="shared" ref="AM125" si="814">IFERROR(AM124/AM$19,0)</f>
        <v>0.37323967596150326</v>
      </c>
      <c r="AN125" s="49">
        <f t="shared" ref="AN125" si="815">IFERROR(AN124/AN$19,0)</f>
        <v>1.3417705337773107E-2</v>
      </c>
      <c r="AO125" s="50">
        <f t="shared" ref="AO125" si="816">IFERROR(AO124/AO$19,0)</f>
        <v>0.11862749111455892</v>
      </c>
      <c r="AP125" s="50">
        <f t="shared" ref="AP125" si="817">IFERROR(AP124/AP$19,0)</f>
        <v>0.10198228356847158</v>
      </c>
    </row>
    <row r="126" spans="2:42" x14ac:dyDescent="0.2">
      <c r="B126" s="25"/>
      <c r="Q126" s="17"/>
      <c r="AD126" s="17"/>
      <c r="AO126" s="17"/>
      <c r="AP126" s="17"/>
    </row>
    <row r="127" spans="2:42" x14ac:dyDescent="0.2">
      <c r="B127" s="26" t="s">
        <v>82</v>
      </c>
      <c r="Q127" s="17"/>
      <c r="AD127" s="17"/>
      <c r="AO127" s="17"/>
      <c r="AP127" s="17"/>
    </row>
    <row r="128" spans="2:42" hidden="1" outlineLevel="1" x14ac:dyDescent="0.2">
      <c r="B128" s="29" t="s">
        <v>83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2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2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2"/>
      <c r="AP128" s="22"/>
    </row>
    <row r="129" spans="2:42" hidden="1" outlineLevel="1" x14ac:dyDescent="0.2">
      <c r="B129" s="102" t="s">
        <v>444</v>
      </c>
      <c r="D129" s="90">
        <v>1</v>
      </c>
      <c r="E129" s="20">
        <f>+'7. POC Lookback Summary'!GX48/1000*'1. Income Statement'!$D129</f>
        <v>109.56312538734115</v>
      </c>
      <c r="F129" s="20">
        <f>+'7. POC Lookback Summary'!GY48/1000*'1. Income Statement'!$D129</f>
        <v>18.543847857064819</v>
      </c>
      <c r="G129" s="20">
        <f>+'7. POC Lookback Summary'!GZ48/1000*'1. Income Statement'!$D129</f>
        <v>-11.274908465696639</v>
      </c>
      <c r="H129" s="20">
        <f>+'7. POC Lookback Summary'!HA48/1000*'1. Income Statement'!$D129</f>
        <v>-94.55425410109946</v>
      </c>
      <c r="I129" s="20">
        <f>+'7. POC Lookback Summary'!HB48/1000*'1. Income Statement'!$D129</f>
        <v>5.1784317623048759</v>
      </c>
      <c r="J129" s="20">
        <f>+'7. POC Lookback Summary'!HC48/1000*'1. Income Statement'!$D129</f>
        <v>58.838598276507298</v>
      </c>
      <c r="K129" s="20">
        <f>+'7. POC Lookback Summary'!HD48/1000*'1. Income Statement'!$D129</f>
        <v>-112.18787919692642</v>
      </c>
      <c r="L129" s="20">
        <f>+'7. POC Lookback Summary'!HE48/1000*'1. Income Statement'!$D129</f>
        <v>-29.306999470459655</v>
      </c>
      <c r="M129" s="20">
        <f>+'7. POC Lookback Summary'!HF48/1000*'1. Income Statement'!$D129</f>
        <v>138.4121754360811</v>
      </c>
      <c r="N129" s="20">
        <f>+'7. POC Lookback Summary'!HG48/1000*'1. Income Statement'!$D129</f>
        <v>-74.630034054760273</v>
      </c>
      <c r="O129" s="20">
        <f>+'7. POC Lookback Summary'!HH48/1000*'1. Income Statement'!$D129</f>
        <v>18.53477007503523</v>
      </c>
      <c r="P129" s="20">
        <f>+'7. POC Lookback Summary'!HI48/1000*'1. Income Statement'!$D129</f>
        <v>68.852246672142655</v>
      </c>
      <c r="Q129" s="22">
        <f>SUM(E129:P129)</f>
        <v>95.969120177534677</v>
      </c>
      <c r="R129" s="20">
        <f>+'7. POC Lookback Summary'!HK48/1000*'1. Income Statement'!$D129</f>
        <v>57.368507414414047</v>
      </c>
      <c r="S129" s="20">
        <f>+'7. POC Lookback Summary'!HL48/1000*'1. Income Statement'!$D129</f>
        <v>37.992683374940242</v>
      </c>
      <c r="T129" s="20">
        <f>+'7. POC Lookback Summary'!HM48/1000*'1. Income Statement'!$D129</f>
        <v>115.39739683660667</v>
      </c>
      <c r="U129" s="20">
        <f>+'7. POC Lookback Summary'!HN48/1000*'1. Income Statement'!$D129</f>
        <v>-91.13384305318931</v>
      </c>
      <c r="V129" s="20">
        <f>+'7. POC Lookback Summary'!HO48/1000*'1. Income Statement'!$D129</f>
        <v>43.058422176767813</v>
      </c>
      <c r="W129" s="20">
        <f>+'7. POC Lookback Summary'!HP48/1000*'1. Income Statement'!$D129</f>
        <v>85.155015195290332</v>
      </c>
      <c r="X129" s="20">
        <f>+'7. POC Lookback Summary'!HQ48/1000*'1. Income Statement'!$D129</f>
        <v>68.773349181903981</v>
      </c>
      <c r="Y129" s="20">
        <f>+'7. POC Lookback Summary'!HR48/1000*'1. Income Statement'!$D129</f>
        <v>-65.669990504207163</v>
      </c>
      <c r="Z129" s="20">
        <f>+'7. POC Lookback Summary'!HS48/1000*'1. Income Statement'!$D129</f>
        <v>91.509853264816741</v>
      </c>
      <c r="AA129" s="20">
        <f>+'7. POC Lookback Summary'!HT48/1000*'1. Income Statement'!$D129</f>
        <v>42.813282568187375</v>
      </c>
      <c r="AB129" s="20">
        <f>+'7. POC Lookback Summary'!HU48/1000*'1. Income Statement'!$D129</f>
        <v>130.73427947555066</v>
      </c>
      <c r="AC129" s="20">
        <f>+'7. POC Lookback Summary'!HV48/1000*'1. Income Statement'!$D129</f>
        <v>-5.0182265134233459</v>
      </c>
      <c r="AD129" s="22">
        <f>SUM(R129:AC129)</f>
        <v>510.98072941765798</v>
      </c>
      <c r="AE129" s="20">
        <f>+'7. POC Lookback Summary'!HX48/1000*'1. Income Statement'!$D129</f>
        <v>13.234364291587367</v>
      </c>
      <c r="AF129" s="20">
        <f>+'7. POC Lookback Summary'!HY48/1000*'1. Income Statement'!$D129</f>
        <v>-56.504903593357533</v>
      </c>
      <c r="AG129" s="20">
        <f>+'7. POC Lookback Summary'!HZ48/1000*'1. Income Statement'!$D129</f>
        <v>26.316059357826987</v>
      </c>
      <c r="AH129" s="20">
        <f>+'7. POC Lookback Summary'!IA48/1000*'1. Income Statement'!$D129</f>
        <v>46.43629938128128</v>
      </c>
      <c r="AI129" s="20">
        <f>+'7. POC Lookback Summary'!IB48/1000*'1. Income Statement'!$D129</f>
        <v>-82.758605983948456</v>
      </c>
      <c r="AJ129" s="20">
        <f>+'7. POC Lookback Summary'!IC48/1000*'1. Income Statement'!$D129</f>
        <v>-59.610798080820182</v>
      </c>
      <c r="AK129" s="20">
        <f>+'7. POC Lookback Summary'!ID48/1000*'1. Income Statement'!$D129</f>
        <v>-56.769827481509381</v>
      </c>
      <c r="AL129" s="20">
        <f>+'7. POC Lookback Summary'!IE48/1000*'1. Income Statement'!$D129</f>
        <v>18.624599500581972</v>
      </c>
      <c r="AM129" s="20">
        <f>+'7. POC Lookback Summary'!IF48/1000*'1. Income Statement'!$D129</f>
        <v>-107.70721252837257</v>
      </c>
      <c r="AN129" s="20">
        <f>+'7. POC Lookback Summary'!IG48/1000*'1. Income Statement'!$D129</f>
        <v>53.605451541538379</v>
      </c>
      <c r="AO129" s="22">
        <f>SUM(AE129:AN129)</f>
        <v>-205.13457359519217</v>
      </c>
      <c r="AP129" s="22">
        <f>SUM(AO129,AB129:AC129)</f>
        <v>-79.418520633064844</v>
      </c>
    </row>
    <row r="130" spans="2:42" s="34" customFormat="1" hidden="1" outlineLevel="1" x14ac:dyDescent="0.2">
      <c r="B130" s="40" t="s">
        <v>67</v>
      </c>
      <c r="C130" s="41"/>
      <c r="D130" s="41"/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>
        <v>0</v>
      </c>
      <c r="N130" s="31">
        <v>0</v>
      </c>
      <c r="O130" s="31">
        <v>0</v>
      </c>
      <c r="P130" s="31">
        <v>0</v>
      </c>
      <c r="Q130" s="32">
        <f>SUM(E130:P130)</f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0</v>
      </c>
      <c r="AC130" s="31">
        <v>0</v>
      </c>
      <c r="AD130" s="32">
        <f>SUM(R130:AC130)</f>
        <v>0</v>
      </c>
      <c r="AE130" s="31">
        <v>0</v>
      </c>
      <c r="AF130" s="31">
        <v>0</v>
      </c>
      <c r="AG130" s="31">
        <v>0</v>
      </c>
      <c r="AH130" s="31">
        <v>0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0</v>
      </c>
      <c r="AO130" s="32">
        <f>SUM(AE130:AN130)</f>
        <v>0</v>
      </c>
      <c r="AP130" s="32">
        <f>SUM(AO130,AB130:AC130)</f>
        <v>0</v>
      </c>
    </row>
    <row r="131" spans="2:42" s="34" customFormat="1" collapsed="1" x14ac:dyDescent="0.2">
      <c r="B131" s="33" t="str">
        <f>+B128</f>
        <v>Diligence Adjustments</v>
      </c>
      <c r="E131" s="20">
        <f>SUM(E129:E130)</f>
        <v>109.56312538734115</v>
      </c>
      <c r="F131" s="20">
        <f t="shared" ref="F131:AP131" si="818">SUM(F129:F130)</f>
        <v>18.543847857064819</v>
      </c>
      <c r="G131" s="20">
        <f t="shared" si="818"/>
        <v>-11.274908465696639</v>
      </c>
      <c r="H131" s="20">
        <f t="shared" si="818"/>
        <v>-94.55425410109946</v>
      </c>
      <c r="I131" s="20">
        <f t="shared" si="818"/>
        <v>5.1784317623048759</v>
      </c>
      <c r="J131" s="20">
        <f t="shared" si="818"/>
        <v>58.838598276507298</v>
      </c>
      <c r="K131" s="20">
        <f t="shared" si="818"/>
        <v>-112.18787919692642</v>
      </c>
      <c r="L131" s="20">
        <f t="shared" si="818"/>
        <v>-29.306999470459655</v>
      </c>
      <c r="M131" s="20">
        <f t="shared" si="818"/>
        <v>138.4121754360811</v>
      </c>
      <c r="N131" s="20">
        <f t="shared" si="818"/>
        <v>-74.630034054760273</v>
      </c>
      <c r="O131" s="20">
        <f t="shared" si="818"/>
        <v>18.53477007503523</v>
      </c>
      <c r="P131" s="20">
        <f t="shared" si="818"/>
        <v>68.852246672142655</v>
      </c>
      <c r="Q131" s="22">
        <f t="shared" si="818"/>
        <v>95.969120177534677</v>
      </c>
      <c r="R131" s="20">
        <f t="shared" si="818"/>
        <v>57.368507414414047</v>
      </c>
      <c r="S131" s="20">
        <f t="shared" si="818"/>
        <v>37.992683374940242</v>
      </c>
      <c r="T131" s="20">
        <f t="shared" si="818"/>
        <v>115.39739683660667</v>
      </c>
      <c r="U131" s="20">
        <f t="shared" si="818"/>
        <v>-91.13384305318931</v>
      </c>
      <c r="V131" s="20">
        <f t="shared" si="818"/>
        <v>43.058422176767813</v>
      </c>
      <c r="W131" s="20">
        <f t="shared" si="818"/>
        <v>85.155015195290332</v>
      </c>
      <c r="X131" s="20">
        <f t="shared" si="818"/>
        <v>68.773349181903981</v>
      </c>
      <c r="Y131" s="20">
        <f t="shared" si="818"/>
        <v>-65.669990504207163</v>
      </c>
      <c r="Z131" s="20">
        <f t="shared" si="818"/>
        <v>91.509853264816741</v>
      </c>
      <c r="AA131" s="20">
        <f t="shared" si="818"/>
        <v>42.813282568187375</v>
      </c>
      <c r="AB131" s="20">
        <f t="shared" si="818"/>
        <v>130.73427947555066</v>
      </c>
      <c r="AC131" s="20">
        <f t="shared" si="818"/>
        <v>-5.0182265134233459</v>
      </c>
      <c r="AD131" s="22">
        <f t="shared" si="818"/>
        <v>510.98072941765798</v>
      </c>
      <c r="AE131" s="20">
        <f t="shared" si="818"/>
        <v>13.234364291587367</v>
      </c>
      <c r="AF131" s="20">
        <f t="shared" si="818"/>
        <v>-56.504903593357533</v>
      </c>
      <c r="AG131" s="20">
        <f t="shared" si="818"/>
        <v>26.316059357826987</v>
      </c>
      <c r="AH131" s="20">
        <f t="shared" si="818"/>
        <v>46.43629938128128</v>
      </c>
      <c r="AI131" s="20">
        <f t="shared" si="818"/>
        <v>-82.758605983948456</v>
      </c>
      <c r="AJ131" s="20">
        <f t="shared" si="818"/>
        <v>-59.610798080820182</v>
      </c>
      <c r="AK131" s="20">
        <f t="shared" si="818"/>
        <v>-56.769827481509381</v>
      </c>
      <c r="AL131" s="20">
        <f t="shared" si="818"/>
        <v>18.624599500581972</v>
      </c>
      <c r="AM131" s="20">
        <f t="shared" si="818"/>
        <v>-107.70721252837257</v>
      </c>
      <c r="AN131" s="20">
        <f t="shared" si="818"/>
        <v>53.605451541538379</v>
      </c>
      <c r="AO131" s="22">
        <f t="shared" si="818"/>
        <v>-205.13457359519217</v>
      </c>
      <c r="AP131" s="22">
        <f t="shared" si="818"/>
        <v>-79.418520633064844</v>
      </c>
    </row>
    <row r="132" spans="2:42" s="34" customFormat="1" x14ac:dyDescent="0.2">
      <c r="B132" s="33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2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2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2"/>
      <c r="AP132" s="22"/>
    </row>
    <row r="133" spans="2:42" x14ac:dyDescent="0.2">
      <c r="B133" s="12" t="str">
        <f>+B127</f>
        <v>Diligence Adjusted EBITDA</v>
      </c>
      <c r="C133" s="13"/>
      <c r="D133" s="13"/>
      <c r="E133" s="42">
        <f>+E124+SUM(E128:E130)</f>
        <v>71.921715387341123</v>
      </c>
      <c r="F133" s="42">
        <f t="shared" ref="F133:AP133" si="819">+F124+SUM(F128:F130)</f>
        <v>237.44819785706483</v>
      </c>
      <c r="G133" s="42">
        <f t="shared" si="819"/>
        <v>71.513991534303372</v>
      </c>
      <c r="H133" s="42">
        <f t="shared" si="819"/>
        <v>-71.277764101099493</v>
      </c>
      <c r="I133" s="42">
        <f t="shared" si="819"/>
        <v>-19.082868237695166</v>
      </c>
      <c r="J133" s="42">
        <f t="shared" si="819"/>
        <v>-46.181791723492665</v>
      </c>
      <c r="K133" s="42">
        <f t="shared" si="819"/>
        <v>-22.586529196926421</v>
      </c>
      <c r="L133" s="42">
        <f t="shared" si="819"/>
        <v>-2.3658994704596878</v>
      </c>
      <c r="M133" s="42">
        <f t="shared" si="819"/>
        <v>118.71425543608106</v>
      </c>
      <c r="N133" s="42">
        <f t="shared" si="819"/>
        <v>-42.805794054760291</v>
      </c>
      <c r="O133" s="42">
        <f t="shared" si="819"/>
        <v>26.030070075035233</v>
      </c>
      <c r="P133" s="42">
        <f t="shared" si="819"/>
        <v>92.3358666721426</v>
      </c>
      <c r="Q133" s="43">
        <f t="shared" si="819"/>
        <v>413.66345017753486</v>
      </c>
      <c r="R133" s="42">
        <f t="shared" si="819"/>
        <v>18.191787414414051</v>
      </c>
      <c r="S133" s="42">
        <f t="shared" si="819"/>
        <v>22.227273374940211</v>
      </c>
      <c r="T133" s="42">
        <f t="shared" si="819"/>
        <v>36.526766836606654</v>
      </c>
      <c r="U133" s="42">
        <f t="shared" si="819"/>
        <v>-11.584413053189266</v>
      </c>
      <c r="V133" s="42">
        <f t="shared" si="819"/>
        <v>-12.859427823232174</v>
      </c>
      <c r="W133" s="42">
        <f t="shared" si="819"/>
        <v>120.01688519529031</v>
      </c>
      <c r="X133" s="42">
        <f t="shared" si="819"/>
        <v>-9.4788008180959622</v>
      </c>
      <c r="Y133" s="42">
        <f t="shared" si="819"/>
        <v>33.62368949579286</v>
      </c>
      <c r="Z133" s="42">
        <f t="shared" si="819"/>
        <v>111.59955326481673</v>
      </c>
      <c r="AA133" s="42">
        <f t="shared" si="819"/>
        <v>-51.431177431812714</v>
      </c>
      <c r="AB133" s="42">
        <f t="shared" si="819"/>
        <v>59.852369475550717</v>
      </c>
      <c r="AC133" s="42">
        <f t="shared" si="819"/>
        <v>76.302153486576628</v>
      </c>
      <c r="AD133" s="43">
        <f t="shared" si="819"/>
        <v>392.98665941765847</v>
      </c>
      <c r="AE133" s="42">
        <f t="shared" si="819"/>
        <v>-6.856125708412586</v>
      </c>
      <c r="AF133" s="42">
        <f t="shared" si="819"/>
        <v>-32.525003593357582</v>
      </c>
      <c r="AG133" s="42">
        <f t="shared" si="819"/>
        <v>85.613059357826955</v>
      </c>
      <c r="AH133" s="42">
        <f t="shared" si="819"/>
        <v>24.076179381281218</v>
      </c>
      <c r="AI133" s="42">
        <f t="shared" si="819"/>
        <v>-17.942925983948413</v>
      </c>
      <c r="AJ133" s="42">
        <f t="shared" si="819"/>
        <v>33.702061919179719</v>
      </c>
      <c r="AK133" s="42">
        <f t="shared" si="819"/>
        <v>15.375912518490637</v>
      </c>
      <c r="AL133" s="42">
        <f t="shared" si="819"/>
        <v>1.889049500582054</v>
      </c>
      <c r="AM133" s="42">
        <f t="shared" si="819"/>
        <v>55.485117471627404</v>
      </c>
      <c r="AN133" s="42">
        <f t="shared" si="819"/>
        <v>58.14409154153838</v>
      </c>
      <c r="AO133" s="43">
        <f t="shared" si="819"/>
        <v>216.96141640480707</v>
      </c>
      <c r="AP133" s="43">
        <f t="shared" si="819"/>
        <v>353.11593936693384</v>
      </c>
    </row>
    <row r="134" spans="2:42" x14ac:dyDescent="0.2">
      <c r="B134" s="14"/>
      <c r="C134" s="15"/>
      <c r="D134" s="15"/>
      <c r="E134" s="49">
        <f>IFERROR(E133/E$19,0)</f>
        <v>0.37858312531940147</v>
      </c>
      <c r="F134" s="49">
        <f t="shared" ref="F134" si="820">IFERROR(F133/F$19,0)</f>
        <v>1.0447398340787648</v>
      </c>
      <c r="G134" s="49">
        <f t="shared" ref="G134" si="821">IFERROR(G133/G$19,0)</f>
        <v>0.23247848226096832</v>
      </c>
      <c r="H134" s="49">
        <f t="shared" ref="H134" si="822">IFERROR(H133/H$19,0)</f>
        <v>-0.27558269648690054</v>
      </c>
      <c r="I134" s="49">
        <f t="shared" ref="I134" si="823">IFERROR(I133/I$19,0)</f>
        <v>-7.0215167345078849E-2</v>
      </c>
      <c r="J134" s="49">
        <f t="shared" ref="J134" si="824">IFERROR(J133/J$19,0)</f>
        <v>-0.12540706965786313</v>
      </c>
      <c r="K134" s="49">
        <f t="shared" ref="K134" si="825">IFERROR(K133/K$19,0)</f>
        <v>-7.4667053922579482E-2</v>
      </c>
      <c r="L134" s="49">
        <f t="shared" ref="L134" si="826">IFERROR(L133/L$19,0)</f>
        <v>-8.5342953850178239E-3</v>
      </c>
      <c r="M134" s="49">
        <f t="shared" ref="M134" si="827">IFERROR(M133/M$19,0)</f>
        <v>0.33508589810338774</v>
      </c>
      <c r="N134" s="49">
        <f t="shared" ref="N134" si="828">IFERROR(N133/N$19,0)</f>
        <v>-0.16022827362790842</v>
      </c>
      <c r="O134" s="49">
        <f t="shared" ref="O134" si="829">IFERROR(O133/O$19,0)</f>
        <v>0.11553916374299024</v>
      </c>
      <c r="P134" s="49">
        <f t="shared" ref="P134" si="830">IFERROR(P133/P$19,0)</f>
        <v>0.27230324022373931</v>
      </c>
      <c r="Q134" s="50">
        <f t="shared" ref="Q134" si="831">IFERROR(Q133/Q$19,0)</f>
        <v>0.12205753358007662</v>
      </c>
      <c r="R134" s="49">
        <f t="shared" ref="R134" si="832">IFERROR(R133/R$19,0)</f>
        <v>8.9832797612835621E-2</v>
      </c>
      <c r="S134" s="49">
        <f t="shared" ref="S134" si="833">IFERROR(S133/S$19,0)</f>
        <v>8.608190881192708E-2</v>
      </c>
      <c r="T134" s="49">
        <f t="shared" ref="T134" si="834">IFERROR(T133/T$19,0)</f>
        <v>0.10351186172007522</v>
      </c>
      <c r="U134" s="49">
        <f t="shared" ref="U134" si="835">IFERROR(U133/U$19,0)</f>
        <v>-3.6235296484614245E-2</v>
      </c>
      <c r="V134" s="49">
        <f t="shared" ref="V134" si="836">IFERROR(V133/V$19,0)</f>
        <v>-3.7817116062605974E-2</v>
      </c>
      <c r="W134" s="49">
        <f t="shared" ref="W134" si="837">IFERROR(W133/W$19,0)</f>
        <v>0.2742314213507665</v>
      </c>
      <c r="X134" s="49">
        <f t="shared" ref="X134" si="838">IFERROR(X133/X$19,0)</f>
        <v>-2.5542042328184286E-2</v>
      </c>
      <c r="Y134" s="49">
        <f t="shared" ref="Y134" si="839">IFERROR(Y133/Y$19,0)</f>
        <v>8.8230955359229465E-2</v>
      </c>
      <c r="Z134" s="49">
        <f t="shared" ref="Z134" si="840">IFERROR(Z133/Z$19,0)</f>
        <v>0.28032874168795385</v>
      </c>
      <c r="AA134" s="49">
        <f t="shared" ref="AA134" si="841">IFERROR(AA133/AA$19,0)</f>
        <v>-0.16846349004079525</v>
      </c>
      <c r="AB134" s="49">
        <f t="shared" ref="AB134" si="842">IFERROR(AB133/AB$19,0)</f>
        <v>0.20448592403513954</v>
      </c>
      <c r="AC134" s="49">
        <f t="shared" ref="AC134" si="843">IFERROR(AC133/AC$19,0)</f>
        <v>0.19544084340813964</v>
      </c>
      <c r="AD134" s="50">
        <f t="shared" ref="AD134" si="844">IFERROR(AD133/AD$19,0)</f>
        <v>9.7041364047878401E-2</v>
      </c>
      <c r="AE134" s="49">
        <f t="shared" ref="AE134" si="845">IFERROR(AE133/AE$19,0)</f>
        <v>-3.2272151810825135E-2</v>
      </c>
      <c r="AF134" s="49">
        <f t="shared" ref="AF134" si="846">IFERROR(AF133/AF$19,0)</f>
        <v>-0.11510883381849239</v>
      </c>
      <c r="AG134" s="49">
        <f t="shared" ref="AG134" si="847">IFERROR(AG133/AG$19,0)</f>
        <v>0.22432394688983501</v>
      </c>
      <c r="AH134" s="49">
        <f t="shared" ref="AH134" si="848">IFERROR(AH133/AH$19,0)</f>
        <v>6.8999358505859254E-2</v>
      </c>
      <c r="AI134" s="49">
        <f t="shared" ref="AI134" si="849">IFERROR(AI133/AI$19,0)</f>
        <v>-5.1902449673676535E-2</v>
      </c>
      <c r="AJ134" s="49">
        <f t="shared" ref="AJ134" si="850">IFERROR(AJ133/AJ$19,0)</f>
        <v>7.1344310284094978E-2</v>
      </c>
      <c r="AK134" s="49">
        <f t="shared" ref="AK134" si="851">IFERROR(AK133/AK$19,0)</f>
        <v>3.9931881988386958E-2</v>
      </c>
      <c r="AL134" s="49">
        <f t="shared" ref="AL134" si="852">IFERROR(AL133/AL$19,0)</f>
        <v>5.3371889126409659E-3</v>
      </c>
      <c r="AM134" s="49">
        <f t="shared" ref="AM134" si="853">IFERROR(AM133/AM$19,0)</f>
        <v>0.12690086149144483</v>
      </c>
      <c r="AN134" s="49">
        <f t="shared" ref="AN134" si="854">IFERROR(AN133/AN$19,0)</f>
        <v>0.17189296516949298</v>
      </c>
      <c r="AO134" s="50">
        <f t="shared" ref="AO134" si="855">IFERROR(AO133/AO$19,0)</f>
        <v>6.0975676401861613E-2</v>
      </c>
      <c r="AP134" s="50">
        <f t="shared" ref="AP134" si="856">IFERROR(AP133/AP$19,0)</f>
        <v>8.3257111724846095E-2</v>
      </c>
    </row>
  </sheetData>
  <pageMargins left="0.7" right="0.7" top="0.75" bottom="0.75" header="0.3" footer="0.3"/>
  <ignoredErrors>
    <ignoredError sqref="AP9 AP20:AP22" formulaRange="1"/>
    <ignoredError sqref="E10:AP17 D42:AP42 D40:D41 D63:AP63 D62 D78:AP78 D77 D94:AP94 D93 D71:AP71 D70 D83:AP83 D82 D96:AP96 D95:AO95 D45:AP45 D43:AO44 D57:AP57 D56 D99:AP99 D97:AO98 D108:AP108 D100:AO101 D116:AP116 D110:AO112 D125:AP125 D117:AO124 D134:AP134 D126:AO128 D36:AP38 E39:AP41 D46:AO47 D105:AO107 D109 D114:AO115 D113 Q113 AD113 AO113 D130:AO133 Q129 AD129 AO129" formula="1"/>
    <ignoredError sqref="AP126:AP133 AP117:AP124 AP110:AP115 AP100:AP101 AP97:AP98 AP43:AP44 AP95 AP46:AP47 AP105:AP10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8428-320B-4E67-AF5C-3D0DDED15268}">
  <dimension ref="B3:AS116"/>
  <sheetViews>
    <sheetView showGridLines="0" workbookViewId="0">
      <pane xSplit="4" ySplit="6" topLeftCell="F7" activePane="bottomRight" state="frozen"/>
      <selection pane="topRight" activeCell="E1" sqref="E1"/>
      <selection pane="bottomLeft" activeCell="A7" sqref="A7"/>
      <selection pane="bottomRight" activeCell="B5" sqref="B5"/>
    </sheetView>
  </sheetViews>
  <sheetFormatPr defaultRowHeight="12" outlineLevelRow="1" outlineLevelCol="1" x14ac:dyDescent="0.2"/>
  <cols>
    <col min="1" max="1" width="1.7109375" style="4" customWidth="1"/>
    <col min="2" max="2" width="21.42578125" style="4" customWidth="1"/>
    <col min="3" max="3" width="9.140625" style="4"/>
    <col min="4" max="4" width="1.7109375" style="4" customWidth="1"/>
    <col min="5" max="16" width="9.140625" style="4" hidden="1" customWidth="1" outlineLevel="1"/>
    <col min="17" max="17" width="9.140625" style="4" collapsed="1"/>
    <col min="18" max="29" width="9.140625" style="4" hidden="1" customWidth="1" outlineLevel="1"/>
    <col min="30" max="30" width="9.140625" style="4" collapsed="1"/>
    <col min="31" max="40" width="9.140625" style="4" customWidth="1" outlineLevel="1"/>
    <col min="41" max="43" width="9.140625" style="4"/>
    <col min="44" max="44" width="0" style="4" hidden="1" customWidth="1" outlineLevel="1"/>
    <col min="45" max="45" width="9.140625" style="4" collapsed="1"/>
    <col min="46" max="16384" width="9.140625" style="4"/>
  </cols>
  <sheetData>
    <row r="3" spans="2:44" ht="12.75" thickBo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5" spans="2:44" x14ac:dyDescent="0.2">
      <c r="B5" s="2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 t="s">
        <v>63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6" t="s">
        <v>63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6" t="s">
        <v>64</v>
      </c>
      <c r="AP5" s="36" t="s">
        <v>65</v>
      </c>
    </row>
    <row r="6" spans="2:44" x14ac:dyDescent="0.2">
      <c r="B6" s="24" t="s">
        <v>68</v>
      </c>
      <c r="C6" s="5"/>
      <c r="D6" s="5"/>
      <c r="E6" s="7">
        <v>44957</v>
      </c>
      <c r="F6" s="7">
        <f>EOMONTH(E6,1)</f>
        <v>44985</v>
      </c>
      <c r="G6" s="7">
        <f t="shared" ref="G6:P6" si="0">EOMONTH(F6,1)</f>
        <v>45016</v>
      </c>
      <c r="H6" s="7">
        <f t="shared" si="0"/>
        <v>45046</v>
      </c>
      <c r="I6" s="7">
        <f t="shared" si="0"/>
        <v>45077</v>
      </c>
      <c r="J6" s="7">
        <f t="shared" si="0"/>
        <v>45107</v>
      </c>
      <c r="K6" s="7">
        <f t="shared" si="0"/>
        <v>45138</v>
      </c>
      <c r="L6" s="7">
        <f t="shared" si="0"/>
        <v>45169</v>
      </c>
      <c r="M6" s="7">
        <f t="shared" si="0"/>
        <v>45199</v>
      </c>
      <c r="N6" s="7">
        <f t="shared" si="0"/>
        <v>45230</v>
      </c>
      <c r="O6" s="7">
        <f t="shared" si="0"/>
        <v>45260</v>
      </c>
      <c r="P6" s="7">
        <f t="shared" si="0"/>
        <v>45291</v>
      </c>
      <c r="Q6" s="6">
        <f>YEAR(P6)</f>
        <v>2023</v>
      </c>
      <c r="R6" s="7">
        <f>EOMONTH(P6,1)</f>
        <v>45322</v>
      </c>
      <c r="S6" s="7">
        <f>EOMONTH(R6,1)</f>
        <v>45351</v>
      </c>
      <c r="T6" s="7">
        <f t="shared" ref="T6:AC6" si="1">EOMONTH(S6,1)</f>
        <v>45382</v>
      </c>
      <c r="U6" s="7">
        <f t="shared" si="1"/>
        <v>45412</v>
      </c>
      <c r="V6" s="7">
        <f t="shared" si="1"/>
        <v>45443</v>
      </c>
      <c r="W6" s="7">
        <f t="shared" si="1"/>
        <v>45473</v>
      </c>
      <c r="X6" s="7">
        <f t="shared" si="1"/>
        <v>45504</v>
      </c>
      <c r="Y6" s="7">
        <f t="shared" si="1"/>
        <v>45535</v>
      </c>
      <c r="Z6" s="7">
        <f t="shared" si="1"/>
        <v>45565</v>
      </c>
      <c r="AA6" s="7">
        <f t="shared" si="1"/>
        <v>45596</v>
      </c>
      <c r="AB6" s="7">
        <f t="shared" si="1"/>
        <v>45626</v>
      </c>
      <c r="AC6" s="7">
        <f t="shared" si="1"/>
        <v>45657</v>
      </c>
      <c r="AD6" s="6">
        <f>YEAR(AC6)</f>
        <v>2024</v>
      </c>
      <c r="AE6" s="7">
        <f>EOMONTH(AC6,1)</f>
        <v>45688</v>
      </c>
      <c r="AF6" s="7">
        <f>EOMONTH(AE6,1)</f>
        <v>45716</v>
      </c>
      <c r="AG6" s="7">
        <f t="shared" ref="AG6:AN6" si="2">EOMONTH(AF6,1)</f>
        <v>45747</v>
      </c>
      <c r="AH6" s="7">
        <f t="shared" si="2"/>
        <v>45777</v>
      </c>
      <c r="AI6" s="7">
        <f t="shared" si="2"/>
        <v>45808</v>
      </c>
      <c r="AJ6" s="7">
        <f t="shared" si="2"/>
        <v>45838</v>
      </c>
      <c r="AK6" s="7">
        <f t="shared" si="2"/>
        <v>45869</v>
      </c>
      <c r="AL6" s="7">
        <f t="shared" si="2"/>
        <v>45900</v>
      </c>
      <c r="AM6" s="7">
        <f t="shared" si="2"/>
        <v>45930</v>
      </c>
      <c r="AN6" s="7">
        <f t="shared" si="2"/>
        <v>45961</v>
      </c>
      <c r="AO6" s="8">
        <f>+AN6</f>
        <v>45961</v>
      </c>
      <c r="AP6" s="37">
        <f>+AO6</f>
        <v>45961</v>
      </c>
      <c r="AR6" s="4" t="s">
        <v>62</v>
      </c>
    </row>
    <row r="7" spans="2:44" ht="5.0999999999999996" customHeight="1" x14ac:dyDescent="0.2">
      <c r="B7" s="25"/>
      <c r="Q7" s="17"/>
      <c r="AD7" s="17"/>
      <c r="AO7" s="17"/>
      <c r="AP7" s="17"/>
    </row>
    <row r="8" spans="2:44" x14ac:dyDescent="0.2">
      <c r="B8" s="26" t="s">
        <v>66</v>
      </c>
      <c r="Q8" s="17"/>
      <c r="AD8" s="17"/>
      <c r="AO8" s="17"/>
      <c r="AP8" s="17"/>
    </row>
    <row r="9" spans="2:44" x14ac:dyDescent="0.2">
      <c r="B9" s="27" t="str">
        <f>+AR9</f>
        <v>Fire Sprinkler Installation</v>
      </c>
      <c r="C9" s="10"/>
      <c r="D9" s="10"/>
      <c r="E9" s="19">
        <f>SUMIF('Income Statement Source'!$C:$C,'1.1 Adjusted Income Stmt'!$AR9,'Income Statement Source'!G:G)/1000</f>
        <v>94.66261999999999</v>
      </c>
      <c r="F9" s="19">
        <f>SUMIF('Income Statement Source'!$C:$C,'1.1 Adjusted Income Stmt'!$AR9,'Income Statement Source'!H:H)/1000</f>
        <v>97.621039999999994</v>
      </c>
      <c r="G9" s="19">
        <f>SUMIF('Income Statement Source'!$C:$C,'1.1 Adjusted Income Stmt'!$AR9,'Income Statement Source'!I:I)/1000</f>
        <v>109.05163</v>
      </c>
      <c r="H9" s="19">
        <f>SUMIF('Income Statement Source'!$C:$C,'1.1 Adjusted Income Stmt'!$AR9,'Income Statement Source'!J:J)/1000</f>
        <v>116.69817</v>
      </c>
      <c r="I9" s="19">
        <f>SUMIF('Income Statement Source'!$C:$C,'1.1 Adjusted Income Stmt'!$AR9,'Income Statement Source'!K:K)/1000</f>
        <v>129.38949</v>
      </c>
      <c r="J9" s="19">
        <f>SUMIF('Income Statement Source'!$C:$C,'1.1 Adjusted Income Stmt'!$AR9,'Income Statement Source'!L:L)/1000</f>
        <v>139.20879000000002</v>
      </c>
      <c r="K9" s="19">
        <f>SUMIF('Income Statement Source'!$C:$C,'1.1 Adjusted Income Stmt'!$AR9,'Income Statement Source'!M:M)/1000</f>
        <v>128.77655000000001</v>
      </c>
      <c r="L9" s="19">
        <f>SUMIF('Income Statement Source'!$C:$C,'1.1 Adjusted Income Stmt'!$AR9,'Income Statement Source'!N:N)/1000</f>
        <v>121.31438</v>
      </c>
      <c r="M9" s="19">
        <f>SUMIF('Income Statement Source'!$C:$C,'1.1 Adjusted Income Stmt'!$AR9,'Income Statement Source'!O:O)/1000</f>
        <v>132.06496999999999</v>
      </c>
      <c r="N9" s="19">
        <f>SUMIF('Income Statement Source'!$C:$C,'1.1 Adjusted Income Stmt'!$AR9,'Income Statement Source'!P:P)/1000</f>
        <v>115.39684</v>
      </c>
      <c r="O9" s="19">
        <f>SUMIF('Income Statement Source'!$C:$C,'1.1 Adjusted Income Stmt'!$AR9,'Income Statement Source'!Q:Q)/1000</f>
        <v>92.353070000000002</v>
      </c>
      <c r="P9" s="19">
        <f>SUMIF('Income Statement Source'!$C:$C,'1.1 Adjusted Income Stmt'!$AR9,'Income Statement Source'!R:R)/1000</f>
        <v>99.500059999999991</v>
      </c>
      <c r="Q9" s="21">
        <f>SUM(E9:P9)</f>
        <v>1376.0376100000001</v>
      </c>
      <c r="R9" s="19">
        <f>SUMIF('Income Statement Source'!$C:$C,'1.1 Adjusted Income Stmt'!$AR9,'Income Statement Source'!T:T)/1000</f>
        <v>121.5151</v>
      </c>
      <c r="S9" s="19">
        <f>SUMIF('Income Statement Source'!$C:$C,'1.1 Adjusted Income Stmt'!$AR9,'Income Statement Source'!U:U)/1000</f>
        <v>125.70488</v>
      </c>
      <c r="T9" s="19">
        <f>SUMIF('Income Statement Source'!$C:$C,'1.1 Adjusted Income Stmt'!$AR9,'Income Statement Source'!V:V)/1000</f>
        <v>139.28441000000001</v>
      </c>
      <c r="U9" s="19">
        <f>SUMIF('Income Statement Source'!$C:$C,'1.1 Adjusted Income Stmt'!$AR9,'Income Statement Source'!W:W)/1000</f>
        <v>169.39376000000001</v>
      </c>
      <c r="V9" s="19">
        <f>SUMIF('Income Statement Source'!$C:$C,'1.1 Adjusted Income Stmt'!$AR9,'Income Statement Source'!X:X)/1000</f>
        <v>179.57191</v>
      </c>
      <c r="W9" s="19">
        <f>SUMIF('Income Statement Source'!$C:$C,'1.1 Adjusted Income Stmt'!$AR9,'Income Statement Source'!Y:Y)/1000</f>
        <v>205.64962</v>
      </c>
      <c r="X9" s="19">
        <f>SUMIF('Income Statement Source'!$C:$C,'1.1 Adjusted Income Stmt'!$AR9,'Income Statement Source'!Z:Z)/1000</f>
        <v>206.52218999999999</v>
      </c>
      <c r="Y9" s="19">
        <f>SUMIF('Income Statement Source'!$C:$C,'1.1 Adjusted Income Stmt'!$AR9,'Income Statement Source'!AA:AA)/1000</f>
        <v>204.16749999999999</v>
      </c>
      <c r="Z9" s="19">
        <f>SUMIF('Income Statement Source'!$C:$C,'1.1 Adjusted Income Stmt'!$AR9,'Income Statement Source'!AB:AB)/1000</f>
        <v>172.58198000000002</v>
      </c>
      <c r="AA9" s="19">
        <f>SUMIF('Income Statement Source'!$C:$C,'1.1 Adjusted Income Stmt'!$AR9,'Income Statement Source'!AC:AC)/1000</f>
        <v>149.03407999999999</v>
      </c>
      <c r="AB9" s="19">
        <f>SUMIF('Income Statement Source'!$C:$C,'1.1 Adjusted Income Stmt'!$AR9,'Income Statement Source'!AD:AD)/1000</f>
        <v>150.49910999999997</v>
      </c>
      <c r="AC9" s="19">
        <f>SUMIF('Income Statement Source'!$C:$C,'1.1 Adjusted Income Stmt'!$AR9,'Income Statement Source'!AE:AE)/1000</f>
        <v>122.23012</v>
      </c>
      <c r="AD9" s="21">
        <f>SUM(R9:AC9)</f>
        <v>1946.1546599999999</v>
      </c>
      <c r="AE9" s="19">
        <f>SUMIF('Income Statement Source'!$C:$C,'1.1 Adjusted Income Stmt'!$AR9,'Income Statement Source'!AG:AG)/1000</f>
        <v>127.52364</v>
      </c>
      <c r="AF9" s="19">
        <f>SUMIF('Income Statement Source'!$C:$C,'1.1 Adjusted Income Stmt'!$AR9,'Income Statement Source'!AH:AH)/1000</f>
        <v>128.71096</v>
      </c>
      <c r="AG9" s="19">
        <f>SUMIF('Income Statement Source'!$C:$C,'1.1 Adjusted Income Stmt'!$AR9,'Income Statement Source'!AI:AI)/1000</f>
        <v>154.37442999999999</v>
      </c>
      <c r="AH9" s="19">
        <f>SUMIF('Income Statement Source'!$C:$C,'1.1 Adjusted Income Stmt'!$AR9,'Income Statement Source'!AJ:AJ)/1000</f>
        <v>180.38214000000002</v>
      </c>
      <c r="AI9" s="19">
        <f>SUMIF('Income Statement Source'!$C:$C,'1.1 Adjusted Income Stmt'!$AR9,'Income Statement Source'!AK:AK)/1000</f>
        <v>173.05318</v>
      </c>
      <c r="AJ9" s="19">
        <f>SUMIF('Income Statement Source'!$C:$C,'1.1 Adjusted Income Stmt'!$AR9,'Income Statement Source'!AL:AL)/1000</f>
        <v>206.02639000000002</v>
      </c>
      <c r="AK9" s="19">
        <f>SUMIF('Income Statement Source'!$C:$C,'1.1 Adjusted Income Stmt'!$AR9,'Income Statement Source'!AM:AM)/1000</f>
        <v>204.11107999999999</v>
      </c>
      <c r="AL9" s="19">
        <f>SUMIF('Income Statement Source'!$C:$C,'1.1 Adjusted Income Stmt'!$AR9,'Income Statement Source'!AN:AN)/1000</f>
        <v>179.90498000000002</v>
      </c>
      <c r="AM9" s="19">
        <f>SUMIF('Income Statement Source'!$C:$C,'1.1 Adjusted Income Stmt'!$AR9,'Income Statement Source'!AO:AO)/1000</f>
        <v>193.30510999999998</v>
      </c>
      <c r="AN9" s="19">
        <f>SUMIF('Income Statement Source'!$C:$C,'1.1 Adjusted Income Stmt'!$AR9,'Income Statement Source'!AP:AP)/1000</f>
        <v>176.64857000000001</v>
      </c>
      <c r="AO9" s="21">
        <f>SUM(AE9:AN9)</f>
        <v>1724.0404800000001</v>
      </c>
      <c r="AP9" s="21">
        <f>SUM(AO9,AB9:AC9)</f>
        <v>1996.76971</v>
      </c>
      <c r="AR9" s="4" t="s">
        <v>5</v>
      </c>
    </row>
    <row r="10" spans="2:44" x14ac:dyDescent="0.2">
      <c r="B10" s="28"/>
      <c r="C10" s="10"/>
      <c r="D10" s="10"/>
      <c r="E10" s="45">
        <f>IFERROR(E9/E$19,0)</f>
        <v>0.31602754250229809</v>
      </c>
      <c r="F10" s="45">
        <f t="shared" ref="F10:AP10" si="3">IFERROR(F9/F$19,0)</f>
        <v>0.39711827840037128</v>
      </c>
      <c r="G10" s="45">
        <f t="shared" si="3"/>
        <v>0.36799420017203599</v>
      </c>
      <c r="H10" s="45">
        <f t="shared" si="3"/>
        <v>0.71118576156172475</v>
      </c>
      <c r="I10" s="45">
        <f t="shared" si="3"/>
        <v>0.46718522364708642</v>
      </c>
      <c r="J10" s="45">
        <f t="shared" si="3"/>
        <v>0.32594438602397235</v>
      </c>
      <c r="K10" s="45">
        <f t="shared" si="3"/>
        <v>0.67667186360825371</v>
      </c>
      <c r="L10" s="45">
        <f t="shared" si="3"/>
        <v>0.48933743836309812</v>
      </c>
      <c r="M10" s="45">
        <f t="shared" si="3"/>
        <v>0.2680475920279799</v>
      </c>
      <c r="N10" s="45">
        <f t="shared" si="3"/>
        <v>0.59938618074941885</v>
      </c>
      <c r="O10" s="45">
        <f t="shared" si="3"/>
        <v>0.3787648164880022</v>
      </c>
      <c r="P10" s="45">
        <f t="shared" si="3"/>
        <v>0.24390599003987662</v>
      </c>
      <c r="Q10" s="46">
        <f t="shared" si="3"/>
        <v>0.3948395802540437</v>
      </c>
      <c r="R10" s="45">
        <f t="shared" si="3"/>
        <v>0.46758931754293448</v>
      </c>
      <c r="S10" s="45">
        <f t="shared" si="3"/>
        <v>0.42438699245173894</v>
      </c>
      <c r="T10" s="45">
        <f t="shared" si="3"/>
        <v>0.29744302120130389</v>
      </c>
      <c r="U10" s="45">
        <f t="shared" si="3"/>
        <v>0.74111579775704384</v>
      </c>
      <c r="V10" s="45">
        <f t="shared" si="3"/>
        <v>0.46873261206916333</v>
      </c>
      <c r="W10" s="45">
        <f t="shared" si="3"/>
        <v>0.39335952411229136</v>
      </c>
      <c r="X10" s="45">
        <f t="shared" si="3"/>
        <v>0.46949753426405416</v>
      </c>
      <c r="Y10" s="45">
        <f t="shared" si="3"/>
        <v>0.64729342885412433</v>
      </c>
      <c r="Z10" s="45">
        <f t="shared" si="3"/>
        <v>0.35248703085877348</v>
      </c>
      <c r="AA10" s="45">
        <f t="shared" si="3"/>
        <v>0.42812478776543827</v>
      </c>
      <c r="AB10" s="45">
        <f t="shared" si="3"/>
        <v>0.35542766688083871</v>
      </c>
      <c r="AC10" s="45">
        <f t="shared" si="3"/>
        <v>0.31715769814832906</v>
      </c>
      <c r="AD10" s="46">
        <f t="shared" si="3"/>
        <v>0.42672628981097188</v>
      </c>
      <c r="AE10" s="45">
        <f t="shared" si="3"/>
        <v>0.56506026801576481</v>
      </c>
      <c r="AF10" s="45">
        <f t="shared" si="3"/>
        <v>0.56938196284324061</v>
      </c>
      <c r="AG10" s="45">
        <f t="shared" si="3"/>
        <v>0.3784009027508391</v>
      </c>
      <c r="AH10" s="45">
        <f t="shared" si="3"/>
        <v>0.45623665497638105</v>
      </c>
      <c r="AI10" s="45">
        <f t="shared" si="3"/>
        <v>0.65813152629026428</v>
      </c>
      <c r="AJ10" s="45">
        <f t="shared" si="3"/>
        <v>0.49912477577896336</v>
      </c>
      <c r="AK10" s="45">
        <f t="shared" si="3"/>
        <v>0.62175207668429</v>
      </c>
      <c r="AL10" s="45">
        <f t="shared" si="3"/>
        <v>0.48288146758716266</v>
      </c>
      <c r="AM10" s="45">
        <f t="shared" si="3"/>
        <v>0.58661781252690692</v>
      </c>
      <c r="AN10" s="45">
        <f t="shared" si="3"/>
        <v>0.45079166395654607</v>
      </c>
      <c r="AO10" s="46">
        <f t="shared" si="3"/>
        <v>0.51417407964816086</v>
      </c>
      <c r="AP10" s="46">
        <f t="shared" si="3"/>
        <v>0.47977911677762536</v>
      </c>
    </row>
    <row r="11" spans="2:44" x14ac:dyDescent="0.2">
      <c r="B11" s="29" t="str">
        <f>+AR11</f>
        <v>Fire Alarm Installation</v>
      </c>
      <c r="E11" s="20">
        <f>SUMIF('Income Statement Source'!$C:$C,'1.1 Adjusted Income Stmt'!$AR11,'Income Statement Source'!G:G)/1000</f>
        <v>77.60896000000001</v>
      </c>
      <c r="F11" s="20">
        <f>SUMIF('Income Statement Source'!$C:$C,'1.1 Adjusted Income Stmt'!$AR11,'Income Statement Source'!H:H)/1000</f>
        <v>86.547800000000009</v>
      </c>
      <c r="G11" s="20">
        <f>SUMIF('Income Statement Source'!$C:$C,'1.1 Adjusted Income Stmt'!$AR11,'Income Statement Source'!I:I)/1000</f>
        <v>84.034520000000001</v>
      </c>
      <c r="H11" s="20">
        <f>SUMIF('Income Statement Source'!$C:$C,'1.1 Adjusted Income Stmt'!$AR11,'Income Statement Source'!J:J)/1000</f>
        <v>100.14304</v>
      </c>
      <c r="I11" s="20">
        <f>SUMIF('Income Statement Source'!$C:$C,'1.1 Adjusted Income Stmt'!$AR11,'Income Statement Source'!K:K)/1000</f>
        <v>101.76325999999999</v>
      </c>
      <c r="J11" s="20">
        <f>SUMIF('Income Statement Source'!$C:$C,'1.1 Adjusted Income Stmt'!$AR11,'Income Statement Source'!L:L)/1000</f>
        <v>116.44295</v>
      </c>
      <c r="K11" s="20">
        <f>SUMIF('Income Statement Source'!$C:$C,'1.1 Adjusted Income Stmt'!$AR11,'Income Statement Source'!M:M)/1000</f>
        <v>129.76729</v>
      </c>
      <c r="L11" s="20">
        <f>SUMIF('Income Statement Source'!$C:$C,'1.1 Adjusted Income Stmt'!$AR11,'Income Statement Source'!N:N)/1000</f>
        <v>114.08083999999999</v>
      </c>
      <c r="M11" s="20">
        <f>SUMIF('Income Statement Source'!$C:$C,'1.1 Adjusted Income Stmt'!$AR11,'Income Statement Source'!O:O)/1000</f>
        <v>107.71489</v>
      </c>
      <c r="N11" s="20">
        <f>SUMIF('Income Statement Source'!$C:$C,'1.1 Adjusted Income Stmt'!$AR11,'Income Statement Source'!P:P)/1000</f>
        <v>108.33409</v>
      </c>
      <c r="O11" s="20">
        <f>SUMIF('Income Statement Source'!$C:$C,'1.1 Adjusted Income Stmt'!$AR11,'Income Statement Source'!Q:Q)/1000</f>
        <v>89.036940000000001</v>
      </c>
      <c r="P11" s="20">
        <f>SUMIF('Income Statement Source'!$C:$C,'1.1 Adjusted Income Stmt'!$AR11,'Income Statement Source'!R:R)/1000</f>
        <v>77.219560000000001</v>
      </c>
      <c r="Q11" s="22">
        <f>SUM(E11:P11)</f>
        <v>1192.6941399999998</v>
      </c>
      <c r="R11" s="20">
        <f>SUMIF('Income Statement Source'!$C:$C,'1.1 Adjusted Income Stmt'!$AR11,'Income Statement Source'!T:T)/1000</f>
        <v>85.347549999999998</v>
      </c>
      <c r="S11" s="20">
        <f>SUMIF('Income Statement Source'!$C:$C,'1.1 Adjusted Income Stmt'!$AR11,'Income Statement Source'!U:U)/1000</f>
        <v>86.647639999999996</v>
      </c>
      <c r="T11" s="20">
        <f>SUMIF('Income Statement Source'!$C:$C,'1.1 Adjusted Income Stmt'!$AR11,'Income Statement Source'!V:V)/1000</f>
        <v>94.090940000000003</v>
      </c>
      <c r="U11" s="20">
        <f>SUMIF('Income Statement Source'!$C:$C,'1.1 Adjusted Income Stmt'!$AR11,'Income Statement Source'!W:W)/1000</f>
        <v>105.72794999999999</v>
      </c>
      <c r="V11" s="20">
        <f>SUMIF('Income Statement Source'!$C:$C,'1.1 Adjusted Income Stmt'!$AR11,'Income Statement Source'!X:X)/1000</f>
        <v>117.38177</v>
      </c>
      <c r="W11" s="20">
        <f>SUMIF('Income Statement Source'!$C:$C,'1.1 Adjusted Income Stmt'!$AR11,'Income Statement Source'!Y:Y)/1000</f>
        <v>119.70302000000001</v>
      </c>
      <c r="X11" s="20">
        <f>SUMIF('Income Statement Source'!$C:$C,'1.1 Adjusted Income Stmt'!$AR11,'Income Statement Source'!Z:Z)/1000</f>
        <v>117.26527</v>
      </c>
      <c r="Y11" s="20">
        <f>SUMIF('Income Statement Source'!$C:$C,'1.1 Adjusted Income Stmt'!$AR11,'Income Statement Source'!AA:AA)/1000</f>
        <v>130.83706000000001</v>
      </c>
      <c r="Z11" s="20">
        <f>SUMIF('Income Statement Source'!$C:$C,'1.1 Adjusted Income Stmt'!$AR11,'Income Statement Source'!AB:AB)/1000</f>
        <v>108.45174</v>
      </c>
      <c r="AA11" s="20">
        <f>SUMIF('Income Statement Source'!$C:$C,'1.1 Adjusted Income Stmt'!$AR11,'Income Statement Source'!AC:AC)/1000</f>
        <v>113.57406</v>
      </c>
      <c r="AB11" s="20">
        <f>SUMIF('Income Statement Source'!$C:$C,'1.1 Adjusted Income Stmt'!$AR11,'Income Statement Source'!AD:AD)/1000</f>
        <v>98.336740000000006</v>
      </c>
      <c r="AC11" s="20">
        <f>SUMIF('Income Statement Source'!$C:$C,'1.1 Adjusted Income Stmt'!$AR11,'Income Statement Source'!AE:AE)/1000</f>
        <v>93.0428</v>
      </c>
      <c r="AD11" s="22">
        <f>SUM(R11:AC11)</f>
        <v>1270.4065399999997</v>
      </c>
      <c r="AE11" s="20">
        <f>SUMIF('Income Statement Source'!$C:$C,'1.1 Adjusted Income Stmt'!$AR11,'Income Statement Source'!AG:AG)/1000</f>
        <v>88.38627000000001</v>
      </c>
      <c r="AF11" s="20">
        <f>SUMIF('Income Statement Source'!$C:$C,'1.1 Adjusted Income Stmt'!$AR11,'Income Statement Source'!AH:AH)/1000</f>
        <v>97.323350000000005</v>
      </c>
      <c r="AG11" s="20">
        <f>SUMIF('Income Statement Source'!$C:$C,'1.1 Adjusted Income Stmt'!$AR11,'Income Statement Source'!AI:AI)/1000</f>
        <v>95.141469999999998</v>
      </c>
      <c r="AH11" s="20">
        <f>SUMIF('Income Statement Source'!$C:$C,'1.1 Adjusted Income Stmt'!$AR11,'Income Statement Source'!AJ:AJ)/1000</f>
        <v>113.54869000000001</v>
      </c>
      <c r="AI11" s="20">
        <f>SUMIF('Income Statement Source'!$C:$C,'1.1 Adjusted Income Stmt'!$AR11,'Income Statement Source'!AK:AK)/1000</f>
        <v>116.15574000000001</v>
      </c>
      <c r="AJ11" s="20">
        <f>SUMIF('Income Statement Source'!$C:$C,'1.1 Adjusted Income Stmt'!$AR11,'Income Statement Source'!AL:AL)/1000</f>
        <v>132.59604999999999</v>
      </c>
      <c r="AK11" s="20">
        <f>SUMIF('Income Statement Source'!$C:$C,'1.1 Adjusted Income Stmt'!$AR11,'Income Statement Source'!AM:AM)/1000</f>
        <v>126.67882</v>
      </c>
      <c r="AL11" s="20">
        <f>SUMIF('Income Statement Source'!$C:$C,'1.1 Adjusted Income Stmt'!$AR11,'Income Statement Source'!AN:AN)/1000</f>
        <v>120.13104</v>
      </c>
      <c r="AM11" s="20">
        <f>SUMIF('Income Statement Source'!$C:$C,'1.1 Adjusted Income Stmt'!$AR11,'Income Statement Source'!AO:AO)/1000</f>
        <v>116.06038000000001</v>
      </c>
      <c r="AN11" s="20">
        <f>SUMIF('Income Statement Source'!$C:$C,'1.1 Adjusted Income Stmt'!$AR11,'Income Statement Source'!AP:AP)/1000</f>
        <v>104.13039999999999</v>
      </c>
      <c r="AO11" s="22">
        <f>SUM(AE11:AN11)</f>
        <v>1110.15221</v>
      </c>
      <c r="AP11" s="22">
        <f>SUM(AO11,AB11:AC11)</f>
        <v>1301.5317499999999</v>
      </c>
      <c r="AR11" s="4" t="s">
        <v>6</v>
      </c>
    </row>
    <row r="12" spans="2:44" x14ac:dyDescent="0.2">
      <c r="B12" s="25"/>
      <c r="E12" s="47">
        <f>IFERROR(E11/E$19,0)</f>
        <v>0.25909454972785623</v>
      </c>
      <c r="F12" s="47">
        <f t="shared" ref="F12:AP12" si="4">IFERROR(F11/F$19,0)</f>
        <v>0.35207280454438572</v>
      </c>
      <c r="G12" s="47">
        <f t="shared" si="4"/>
        <v>0.28357408297556819</v>
      </c>
      <c r="H12" s="47">
        <f t="shared" si="4"/>
        <v>0.61029495293290592</v>
      </c>
      <c r="I12" s="47">
        <f t="shared" si="4"/>
        <v>0.36743549558898947</v>
      </c>
      <c r="J12" s="47">
        <f t="shared" si="4"/>
        <v>0.27264029695660813</v>
      </c>
      <c r="K12" s="47">
        <f t="shared" si="4"/>
        <v>0.68187782604591196</v>
      </c>
      <c r="L12" s="47">
        <f t="shared" si="4"/>
        <v>0.46016000751032526</v>
      </c>
      <c r="M12" s="47">
        <f t="shared" si="4"/>
        <v>0.21862509710227271</v>
      </c>
      <c r="N12" s="47">
        <f t="shared" si="4"/>
        <v>0.5627013395692968</v>
      </c>
      <c r="O12" s="47">
        <f t="shared" si="4"/>
        <v>0.36516447411822112</v>
      </c>
      <c r="P12" s="47">
        <f t="shared" si="4"/>
        <v>0.1892894660791527</v>
      </c>
      <c r="Q12" s="48">
        <f t="shared" si="4"/>
        <v>0.34223109178611588</v>
      </c>
      <c r="R12" s="47">
        <f t="shared" si="4"/>
        <v>0.32841681946080342</v>
      </c>
      <c r="S12" s="47">
        <f t="shared" si="4"/>
        <v>0.29252747659948436</v>
      </c>
      <c r="T12" s="47">
        <f t="shared" si="4"/>
        <v>0.20093198844917828</v>
      </c>
      <c r="U12" s="47">
        <f t="shared" si="4"/>
        <v>0.46257107705423645</v>
      </c>
      <c r="V12" s="47">
        <f t="shared" si="4"/>
        <v>0.30639905573985238</v>
      </c>
      <c r="W12" s="47">
        <f t="shared" si="4"/>
        <v>0.22896382197061244</v>
      </c>
      <c r="X12" s="47">
        <f t="shared" si="4"/>
        <v>0.26658517963521772</v>
      </c>
      <c r="Y12" s="47">
        <f t="shared" si="4"/>
        <v>0.41480631926527384</v>
      </c>
      <c r="Z12" s="47">
        <f t="shared" si="4"/>
        <v>0.22150534965508958</v>
      </c>
      <c r="AA12" s="47">
        <f t="shared" si="4"/>
        <v>0.32626007644130228</v>
      </c>
      <c r="AB12" s="47">
        <f t="shared" si="4"/>
        <v>0.23223790537278033</v>
      </c>
      <c r="AC12" s="47">
        <f t="shared" si="4"/>
        <v>0.2414236382756996</v>
      </c>
      <c r="AD12" s="48">
        <f t="shared" si="4"/>
        <v>0.27855744484654366</v>
      </c>
      <c r="AE12" s="47">
        <f t="shared" si="4"/>
        <v>0.39164165495208386</v>
      </c>
      <c r="AF12" s="47">
        <f t="shared" si="4"/>
        <v>0.43053179040448231</v>
      </c>
      <c r="AG12" s="47">
        <f t="shared" si="4"/>
        <v>0.23320972350823821</v>
      </c>
      <c r="AH12" s="47">
        <f t="shared" si="4"/>
        <v>0.287196251816006</v>
      </c>
      <c r="AI12" s="47">
        <f t="shared" si="4"/>
        <v>0.44174718114729306</v>
      </c>
      <c r="AJ12" s="47">
        <f t="shared" si="4"/>
        <v>0.32123056529518479</v>
      </c>
      <c r="AK12" s="47">
        <f t="shared" si="4"/>
        <v>0.38588213538880578</v>
      </c>
      <c r="AL12" s="47">
        <f t="shared" si="4"/>
        <v>0.32244273003433332</v>
      </c>
      <c r="AM12" s="47">
        <f t="shared" si="4"/>
        <v>0.35220531023024476</v>
      </c>
      <c r="AN12" s="47">
        <f t="shared" si="4"/>
        <v>0.2657316517448215</v>
      </c>
      <c r="AO12" s="48">
        <f t="shared" si="4"/>
        <v>0.33108937839216035</v>
      </c>
      <c r="AP12" s="48">
        <f t="shared" si="4"/>
        <v>0.31272897938392552</v>
      </c>
    </row>
    <row r="13" spans="2:44" x14ac:dyDescent="0.2">
      <c r="B13" s="27" t="str">
        <f>+AR13</f>
        <v>Inspection &amp; Testing Services</v>
      </c>
      <c r="C13" s="10"/>
      <c r="D13" s="10"/>
      <c r="E13" s="19">
        <f>SUMIF('Income Statement Source'!$C:$C,'1.1 Adjusted Income Stmt'!$AR13,'Income Statement Source'!G:G)/1000</f>
        <v>42.704440000000005</v>
      </c>
      <c r="F13" s="19">
        <f>SUMIF('Income Statement Source'!$C:$C,'1.1 Adjusted Income Stmt'!$AR13,'Income Statement Source'!H:H)/1000</f>
        <v>43.110900000000001</v>
      </c>
      <c r="G13" s="19">
        <f>SUMIF('Income Statement Source'!$C:$C,'1.1 Adjusted Income Stmt'!$AR13,'Income Statement Source'!I:I)/1000</f>
        <v>43.659190000000002</v>
      </c>
      <c r="H13" s="19">
        <f>SUMIF('Income Statement Source'!$C:$C,'1.1 Adjusted Income Stmt'!$AR13,'Income Statement Source'!J:J)/1000</f>
        <v>41.802620000000005</v>
      </c>
      <c r="I13" s="19">
        <f>SUMIF('Income Statement Source'!$C:$C,'1.1 Adjusted Income Stmt'!$AR13,'Income Statement Source'!K:K)/1000</f>
        <v>40.62426</v>
      </c>
      <c r="J13" s="19">
        <f>SUMIF('Income Statement Source'!$C:$C,'1.1 Adjusted Income Stmt'!$AR13,'Income Statement Source'!L:L)/1000</f>
        <v>44.833880000000001</v>
      </c>
      <c r="K13" s="19">
        <f>SUMIF('Income Statement Source'!$C:$C,'1.1 Adjusted Income Stmt'!$AR13,'Income Statement Source'!M:M)/1000</f>
        <v>43.952750000000002</v>
      </c>
      <c r="L13" s="19">
        <f>SUMIF('Income Statement Source'!$C:$C,'1.1 Adjusted Income Stmt'!$AR13,'Income Statement Source'!N:N)/1000</f>
        <v>41.827370000000002</v>
      </c>
      <c r="M13" s="19">
        <f>SUMIF('Income Statement Source'!$C:$C,'1.1 Adjusted Income Stmt'!$AR13,'Income Statement Source'!O:O)/1000</f>
        <v>43.051760000000002</v>
      </c>
      <c r="N13" s="19">
        <f>SUMIF('Income Statement Source'!$C:$C,'1.1 Adjusted Income Stmt'!$AR13,'Income Statement Source'!P:P)/1000</f>
        <v>43.424129999999998</v>
      </c>
      <c r="O13" s="19">
        <f>SUMIF('Income Statement Source'!$C:$C,'1.1 Adjusted Income Stmt'!$AR13,'Income Statement Source'!Q:Q)/1000</f>
        <v>43.902169999999998</v>
      </c>
      <c r="P13" s="19">
        <f>SUMIF('Income Statement Source'!$C:$C,'1.1 Adjusted Income Stmt'!$AR13,'Income Statement Source'!R:R)/1000</f>
        <v>43.466339999999995</v>
      </c>
      <c r="Q13" s="21">
        <f>SUM(E13:P13)</f>
        <v>516.35980999999992</v>
      </c>
      <c r="R13" s="19">
        <f>SUMIF('Income Statement Source'!$C:$C,'1.1 Adjusted Income Stmt'!$AR13,'Income Statement Source'!T:T)/1000</f>
        <v>44.167989999999996</v>
      </c>
      <c r="S13" s="19">
        <f>SUMIF('Income Statement Source'!$C:$C,'1.1 Adjusted Income Stmt'!$AR13,'Income Statement Source'!U:U)/1000</f>
        <v>45.858220000000003</v>
      </c>
      <c r="T13" s="19">
        <f>SUMIF('Income Statement Source'!$C:$C,'1.1 Adjusted Income Stmt'!$AR13,'Income Statement Source'!V:V)/1000</f>
        <v>47.050959999999996</v>
      </c>
      <c r="U13" s="19">
        <f>SUMIF('Income Statement Source'!$C:$C,'1.1 Adjusted Income Stmt'!$AR13,'Income Statement Source'!W:W)/1000</f>
        <v>44.577980000000004</v>
      </c>
      <c r="V13" s="19">
        <f>SUMIF('Income Statement Source'!$C:$C,'1.1 Adjusted Income Stmt'!$AR13,'Income Statement Source'!X:X)/1000</f>
        <v>43.088850000000001</v>
      </c>
      <c r="W13" s="19">
        <f>SUMIF('Income Statement Source'!$C:$C,'1.1 Adjusted Income Stmt'!$AR13,'Income Statement Source'!Y:Y)/1000</f>
        <v>43.93139</v>
      </c>
      <c r="X13" s="19">
        <f>SUMIF('Income Statement Source'!$C:$C,'1.1 Adjusted Income Stmt'!$AR13,'Income Statement Source'!Z:Z)/1000</f>
        <v>47.318370000000002</v>
      </c>
      <c r="Y13" s="19">
        <f>SUMIF('Income Statement Source'!$C:$C,'1.1 Adjusted Income Stmt'!$AR13,'Income Statement Source'!AA:AA)/1000</f>
        <v>46.082660000000004</v>
      </c>
      <c r="Z13" s="19">
        <f>SUMIF('Income Statement Source'!$C:$C,'1.1 Adjusted Income Stmt'!$AR13,'Income Statement Source'!AB:AB)/1000</f>
        <v>43.866599999999998</v>
      </c>
      <c r="AA13" s="19">
        <f>SUMIF('Income Statement Source'!$C:$C,'1.1 Adjusted Income Stmt'!$AR13,'Income Statement Source'!AC:AC)/1000</f>
        <v>42.687550000000002</v>
      </c>
      <c r="AB13" s="19">
        <f>SUMIF('Income Statement Source'!$C:$C,'1.1 Adjusted Income Stmt'!$AR13,'Income Statement Source'!AD:AD)/1000</f>
        <v>43.86092</v>
      </c>
      <c r="AC13" s="19">
        <f>SUMIF('Income Statement Source'!$C:$C,'1.1 Adjusted Income Stmt'!$AR13,'Income Statement Source'!AE:AE)/1000</f>
        <v>46.839489999999998</v>
      </c>
      <c r="AD13" s="21">
        <f>SUM(R13:AC13)</f>
        <v>539.33097999999995</v>
      </c>
      <c r="AE13" s="19">
        <f>SUMIF('Income Statement Source'!$C:$C,'1.1 Adjusted Income Stmt'!$AR13,'Income Statement Source'!AG:AG)/1000</f>
        <v>49.428440000000002</v>
      </c>
      <c r="AF13" s="19">
        <f>SUMIF('Income Statement Source'!$C:$C,'1.1 Adjusted Income Stmt'!$AR13,'Income Statement Source'!AH:AH)/1000</f>
        <v>47.090199999999996</v>
      </c>
      <c r="AG13" s="19">
        <f>SUMIF('Income Statement Source'!$C:$C,'1.1 Adjusted Income Stmt'!$AR13,'Income Statement Source'!AI:AI)/1000</f>
        <v>46.459309999999995</v>
      </c>
      <c r="AH13" s="19">
        <f>SUMIF('Income Statement Source'!$C:$C,'1.1 Adjusted Income Stmt'!$AR13,'Income Statement Source'!AJ:AJ)/1000</f>
        <v>46.912179999999999</v>
      </c>
      <c r="AI13" s="19">
        <f>SUMIF('Income Statement Source'!$C:$C,'1.1 Adjusted Income Stmt'!$AR13,'Income Statement Source'!AK:AK)/1000</f>
        <v>48.693080000000002</v>
      </c>
      <c r="AJ13" s="19">
        <f>SUMIF('Income Statement Source'!$C:$C,'1.1 Adjusted Income Stmt'!$AR13,'Income Statement Source'!AL:AL)/1000</f>
        <v>47.850819999999999</v>
      </c>
      <c r="AK13" s="19">
        <f>SUMIF('Income Statement Source'!$C:$C,'1.1 Adjusted Income Stmt'!$AR13,'Income Statement Source'!AM:AM)/1000</f>
        <v>45.19238</v>
      </c>
      <c r="AL13" s="19">
        <f>SUMIF('Income Statement Source'!$C:$C,'1.1 Adjusted Income Stmt'!$AR13,'Income Statement Source'!AN:AN)/1000</f>
        <v>47.098750000000003</v>
      </c>
      <c r="AM13" s="19">
        <f>SUMIF('Income Statement Source'!$C:$C,'1.1 Adjusted Income Stmt'!$AR13,'Income Statement Source'!AO:AO)/1000</f>
        <v>47.704370000000004</v>
      </c>
      <c r="AN13" s="19">
        <f>SUMIF('Income Statement Source'!$C:$C,'1.1 Adjusted Income Stmt'!$AR13,'Income Statement Source'!AP:AP)/1000</f>
        <v>48.084209999999999</v>
      </c>
      <c r="AO13" s="21">
        <f>SUM(AE13:AN13)</f>
        <v>474.51373999999998</v>
      </c>
      <c r="AP13" s="21">
        <f>SUM(AO13,AB13:AC13)</f>
        <v>565.2141499999999</v>
      </c>
      <c r="AR13" s="4" t="s">
        <v>7</v>
      </c>
    </row>
    <row r="14" spans="2:44" x14ac:dyDescent="0.2">
      <c r="B14" s="28"/>
      <c r="C14" s="10"/>
      <c r="D14" s="10"/>
      <c r="E14" s="45">
        <f>IFERROR(E13/E$19,0)</f>
        <v>0.14256714241732207</v>
      </c>
      <c r="F14" s="45">
        <f t="shared" ref="F14:AP14" si="5">IFERROR(F13/F$19,0)</f>
        <v>0.17537332513862347</v>
      </c>
      <c r="G14" s="45">
        <f t="shared" si="5"/>
        <v>0.14732772636419053</v>
      </c>
      <c r="H14" s="45">
        <f t="shared" si="5"/>
        <v>0.25475487867526447</v>
      </c>
      <c r="I14" s="45">
        <f t="shared" si="5"/>
        <v>0.14668157354664113</v>
      </c>
      <c r="J14" s="45">
        <f t="shared" si="5"/>
        <v>0.1049743445774685</v>
      </c>
      <c r="K14" s="45">
        <f t="shared" si="5"/>
        <v>0.23095500891433782</v>
      </c>
      <c r="L14" s="45">
        <f t="shared" si="5"/>
        <v>0.16871617436667855</v>
      </c>
      <c r="M14" s="45">
        <f t="shared" si="5"/>
        <v>8.7380632430889921E-2</v>
      </c>
      <c r="N14" s="45">
        <f t="shared" si="5"/>
        <v>0.22555057342182211</v>
      </c>
      <c r="O14" s="45">
        <f t="shared" si="5"/>
        <v>0.18005462475124079</v>
      </c>
      <c r="P14" s="45">
        <f t="shared" si="5"/>
        <v>0.10654969143847642</v>
      </c>
      <c r="Q14" s="46">
        <f t="shared" si="5"/>
        <v>0.14816403938294806</v>
      </c>
      <c r="R14" s="45">
        <f t="shared" si="5"/>
        <v>0.16995813936986556</v>
      </c>
      <c r="S14" s="45">
        <f t="shared" si="5"/>
        <v>0.15482002023302663</v>
      </c>
      <c r="T14" s="45">
        <f t="shared" si="5"/>
        <v>0.10047771816545513</v>
      </c>
      <c r="U14" s="45">
        <f t="shared" si="5"/>
        <v>0.19503342513973093</v>
      </c>
      <c r="V14" s="45">
        <f t="shared" si="5"/>
        <v>0.11247387863478407</v>
      </c>
      <c r="W14" s="45">
        <f t="shared" si="5"/>
        <v>8.4030452689343532E-2</v>
      </c>
      <c r="X14" s="45">
        <f t="shared" si="5"/>
        <v>0.10757128829785406</v>
      </c>
      <c r="Y14" s="45">
        <f t="shared" si="5"/>
        <v>0.14610064286489674</v>
      </c>
      <c r="Z14" s="45">
        <f t="shared" si="5"/>
        <v>8.9594565944077539E-2</v>
      </c>
      <c r="AA14" s="45">
        <f t="shared" si="5"/>
        <v>0.12262697420601071</v>
      </c>
      <c r="AB14" s="45">
        <f t="shared" si="5"/>
        <v>0.1035845624791211</v>
      </c>
      <c r="AC14" s="45">
        <f t="shared" si="5"/>
        <v>0.12153718601308482</v>
      </c>
      <c r="AD14" s="46">
        <f t="shared" si="5"/>
        <v>0.11825715232494187</v>
      </c>
      <c r="AE14" s="45">
        <f t="shared" si="5"/>
        <v>0.21901858787908776</v>
      </c>
      <c r="AF14" s="45">
        <f t="shared" si="5"/>
        <v>0.20831412108713016</v>
      </c>
      <c r="AG14" s="45">
        <f t="shared" si="5"/>
        <v>0.11388054903380751</v>
      </c>
      <c r="AH14" s="45">
        <f t="shared" si="5"/>
        <v>0.11865396474867124</v>
      </c>
      <c r="AI14" s="45">
        <f t="shared" si="5"/>
        <v>0.18518267656320411</v>
      </c>
      <c r="AJ14" s="45">
        <f t="shared" si="5"/>
        <v>0.11592461433382166</v>
      </c>
      <c r="AK14" s="45">
        <f t="shared" si="5"/>
        <v>0.13766257135725102</v>
      </c>
      <c r="AL14" s="45">
        <f t="shared" si="5"/>
        <v>0.12641736499746076</v>
      </c>
      <c r="AM14" s="45">
        <f t="shared" si="5"/>
        <v>0.1447671671864971</v>
      </c>
      <c r="AN14" s="45">
        <f t="shared" si="5"/>
        <v>0.12270668840362529</v>
      </c>
      <c r="AO14" s="46">
        <f t="shared" si="5"/>
        <v>0.14151794483671673</v>
      </c>
      <c r="AP14" s="46">
        <f t="shared" si="5"/>
        <v>0.13580832297241538</v>
      </c>
    </row>
    <row r="15" spans="2:44" x14ac:dyDescent="0.2">
      <c r="B15" s="29" t="str">
        <f>+AR15</f>
        <v>Maintenance Contracts</v>
      </c>
      <c r="E15" s="20">
        <f>SUMIF('Income Statement Source'!$C:$C,'1.1 Adjusted Income Stmt'!$AR15,'Income Statement Source'!G:G)/1000</f>
        <v>0</v>
      </c>
      <c r="F15" s="20">
        <f>SUMIF('Income Statement Source'!$C:$C,'1.1 Adjusted Income Stmt'!$AR15,'Income Statement Source'!H:H)/1000</f>
        <v>0</v>
      </c>
      <c r="G15" s="20">
        <f>SUMIF('Income Statement Source'!$C:$C,'1.1 Adjusted Income Stmt'!$AR15,'Income Statement Source'!I:I)/1000</f>
        <v>70.870190000000008</v>
      </c>
      <c r="H15" s="20">
        <f>SUMIF('Income Statement Source'!$C:$C,'1.1 Adjusted Income Stmt'!$AR15,'Income Statement Source'!J:J)/1000</f>
        <v>0</v>
      </c>
      <c r="I15" s="20">
        <f>SUMIF('Income Statement Source'!$C:$C,'1.1 Adjusted Income Stmt'!$AR15,'Income Statement Source'!K:K)/1000</f>
        <v>0</v>
      </c>
      <c r="J15" s="20">
        <f>SUMIF('Income Statement Source'!$C:$C,'1.1 Adjusted Income Stmt'!$AR15,'Income Statement Source'!L:L)/1000</f>
        <v>67.769469999999998</v>
      </c>
      <c r="K15" s="20">
        <f>SUMIF('Income Statement Source'!$C:$C,'1.1 Adjusted Income Stmt'!$AR15,'Income Statement Source'!M:M)/1000</f>
        <v>0</v>
      </c>
      <c r="L15" s="20">
        <f>SUMIF('Income Statement Source'!$C:$C,'1.1 Adjusted Income Stmt'!$AR15,'Income Statement Source'!N:N)/1000</f>
        <v>0</v>
      </c>
      <c r="M15" s="20">
        <f>SUMIF('Income Statement Source'!$C:$C,'1.1 Adjusted Income Stmt'!$AR15,'Income Statement Source'!O:O)/1000</f>
        <v>71.448449999999994</v>
      </c>
      <c r="N15" s="20">
        <f>SUMIF('Income Statement Source'!$C:$C,'1.1 Adjusted Income Stmt'!$AR15,'Income Statement Source'!P:P)/1000</f>
        <v>0</v>
      </c>
      <c r="O15" s="20">
        <f>SUMIF('Income Statement Source'!$C:$C,'1.1 Adjusted Income Stmt'!$AR15,'Income Statement Source'!Q:Q)/1000</f>
        <v>0</v>
      </c>
      <c r="P15" s="20">
        <f>SUMIF('Income Statement Source'!$C:$C,'1.1 Adjusted Income Stmt'!$AR15,'Income Statement Source'!R:R)/1000</f>
        <v>70.382649999999998</v>
      </c>
      <c r="Q15" s="22">
        <f>SUM(E15:P15)</f>
        <v>280.47075999999998</v>
      </c>
      <c r="R15" s="20">
        <f>SUMIF('Income Statement Source'!$C:$C,'1.1 Adjusted Income Stmt'!$AR15,'Income Statement Source'!T:T)/1000</f>
        <v>0</v>
      </c>
      <c r="S15" s="20">
        <f>SUMIF('Income Statement Source'!$C:$C,'1.1 Adjusted Income Stmt'!$AR15,'Income Statement Source'!U:U)/1000</f>
        <v>0</v>
      </c>
      <c r="T15" s="20">
        <f>SUMIF('Income Statement Source'!$C:$C,'1.1 Adjusted Income Stmt'!$AR15,'Income Statement Source'!V:V)/1000</f>
        <v>72.448869999999999</v>
      </c>
      <c r="U15" s="20">
        <f>SUMIF('Income Statement Source'!$C:$C,'1.1 Adjusted Income Stmt'!$AR15,'Income Statement Source'!W:W)/1000</f>
        <v>0</v>
      </c>
      <c r="V15" s="20">
        <f>SUMIF('Income Statement Source'!$C:$C,'1.1 Adjusted Income Stmt'!$AR15,'Income Statement Source'!X:X)/1000</f>
        <v>0</v>
      </c>
      <c r="W15" s="20">
        <f>SUMIF('Income Statement Source'!$C:$C,'1.1 Adjusted Income Stmt'!$AR15,'Income Statement Source'!Y:Y)/1000</f>
        <v>68.364159999999998</v>
      </c>
      <c r="X15" s="20">
        <f>SUMIF('Income Statement Source'!$C:$C,'1.1 Adjusted Income Stmt'!$AR15,'Income Statement Source'!Z:Z)/1000</f>
        <v>0</v>
      </c>
      <c r="Y15" s="20">
        <f>SUMIF('Income Statement Source'!$C:$C,'1.1 Adjusted Income Stmt'!$AR15,'Income Statement Source'!AA:AA)/1000</f>
        <v>0</v>
      </c>
      <c r="Z15" s="20">
        <f>SUMIF('Income Statement Source'!$C:$C,'1.1 Adjusted Income Stmt'!$AR15,'Income Statement Source'!AB:AB)/1000</f>
        <v>73.202110000000005</v>
      </c>
      <c r="AA15" s="20">
        <f>SUMIF('Income Statement Source'!$C:$C,'1.1 Adjusted Income Stmt'!$AR15,'Income Statement Source'!AC:AC)/1000</f>
        <v>0</v>
      </c>
      <c r="AB15" s="20">
        <f>SUMIF('Income Statement Source'!$C:$C,'1.1 Adjusted Income Stmt'!$AR15,'Income Statement Source'!AD:AD)/1000</f>
        <v>0</v>
      </c>
      <c r="AC15" s="20">
        <f>SUMIF('Income Statement Source'!$C:$C,'1.1 Adjusted Income Stmt'!$AR15,'Income Statement Source'!AE:AE)/1000</f>
        <v>75.406840000000003</v>
      </c>
      <c r="AD15" s="22">
        <f>SUM(R15:AC15)</f>
        <v>289.42198000000002</v>
      </c>
      <c r="AE15" s="20">
        <f>SUMIF('Income Statement Source'!$C:$C,'1.1 Adjusted Income Stmt'!$AR15,'Income Statement Source'!AG:AG)/1000</f>
        <v>0</v>
      </c>
      <c r="AF15" s="20">
        <f>SUMIF('Income Statement Source'!$C:$C,'1.1 Adjusted Income Stmt'!$AR15,'Income Statement Source'!AH:AH)/1000</f>
        <v>0</v>
      </c>
      <c r="AG15" s="20">
        <f>SUMIF('Income Statement Source'!$C:$C,'1.1 Adjusted Income Stmt'!$AR15,'Income Statement Source'!AI:AI)/1000</f>
        <v>76.3279</v>
      </c>
      <c r="AH15" s="20">
        <f>SUMIF('Income Statement Source'!$C:$C,'1.1 Adjusted Income Stmt'!$AR15,'Income Statement Source'!AJ:AJ)/1000</f>
        <v>0</v>
      </c>
      <c r="AI15" s="20">
        <f>SUMIF('Income Statement Source'!$C:$C,'1.1 Adjusted Income Stmt'!$AR15,'Income Statement Source'!AK:AK)/1000</f>
        <v>0</v>
      </c>
      <c r="AJ15" s="20">
        <f>SUMIF('Income Statement Source'!$C:$C,'1.1 Adjusted Income Stmt'!$AR15,'Income Statement Source'!AL:AL)/1000</f>
        <v>78.258899999999997</v>
      </c>
      <c r="AK15" s="20">
        <f>SUMIF('Income Statement Source'!$C:$C,'1.1 Adjusted Income Stmt'!$AR15,'Income Statement Source'!AM:AM)/1000</f>
        <v>0</v>
      </c>
      <c r="AL15" s="20">
        <f>SUMIF('Income Statement Source'!$C:$C,'1.1 Adjusted Income Stmt'!$AR15,'Income Statement Source'!AN:AN)/1000</f>
        <v>0</v>
      </c>
      <c r="AM15" s="20">
        <f>SUMIF('Income Statement Source'!$C:$C,'1.1 Adjusted Income Stmt'!$AR15,'Income Statement Source'!AO:AO)/1000</f>
        <v>72.932100000000005</v>
      </c>
      <c r="AN15" s="20">
        <f>SUMIF('Income Statement Source'!$C:$C,'1.1 Adjusted Income Stmt'!$AR15,'Income Statement Source'!AP:AP)/1000</f>
        <v>0</v>
      </c>
      <c r="AO15" s="22">
        <f>SUM(AE15:AN15)</f>
        <v>227.51889999999997</v>
      </c>
      <c r="AP15" s="22">
        <f>SUM(AO15,AB15:AC15)</f>
        <v>302.92573999999996</v>
      </c>
      <c r="AR15" s="4" t="s">
        <v>8</v>
      </c>
    </row>
    <row r="16" spans="2:44" x14ac:dyDescent="0.2">
      <c r="B16" s="25"/>
      <c r="E16" s="47">
        <f>IFERROR(E15/E$19,0)</f>
        <v>0</v>
      </c>
      <c r="F16" s="47">
        <f t="shared" ref="F16:AP16" si="6">IFERROR(F15/F$19,0)</f>
        <v>0</v>
      </c>
      <c r="G16" s="47">
        <f t="shared" si="6"/>
        <v>0.23915111479846954</v>
      </c>
      <c r="H16" s="47">
        <f t="shared" si="6"/>
        <v>0</v>
      </c>
      <c r="I16" s="47">
        <f t="shared" si="6"/>
        <v>0</v>
      </c>
      <c r="J16" s="47">
        <f t="shared" si="6"/>
        <v>0.15867588742291353</v>
      </c>
      <c r="K16" s="47">
        <f t="shared" si="6"/>
        <v>0</v>
      </c>
      <c r="L16" s="47">
        <f t="shared" si="6"/>
        <v>0</v>
      </c>
      <c r="M16" s="47">
        <f t="shared" si="6"/>
        <v>0.14501638834758013</v>
      </c>
      <c r="N16" s="47">
        <f t="shared" si="6"/>
        <v>0</v>
      </c>
      <c r="O16" s="47">
        <f t="shared" si="6"/>
        <v>0</v>
      </c>
      <c r="P16" s="47">
        <f t="shared" si="6"/>
        <v>0.17253004601082778</v>
      </c>
      <c r="Q16" s="48">
        <f t="shared" si="6"/>
        <v>8.0478147070364311E-2</v>
      </c>
      <c r="R16" s="47">
        <f t="shared" si="6"/>
        <v>0</v>
      </c>
      <c r="S16" s="47">
        <f t="shared" si="6"/>
        <v>0</v>
      </c>
      <c r="T16" s="47">
        <f t="shared" si="6"/>
        <v>0.15471516715632788</v>
      </c>
      <c r="U16" s="47">
        <f t="shared" si="6"/>
        <v>0</v>
      </c>
      <c r="V16" s="47">
        <f t="shared" si="6"/>
        <v>0</v>
      </c>
      <c r="W16" s="47">
        <f t="shared" si="6"/>
        <v>0.1307646152904953</v>
      </c>
      <c r="X16" s="47">
        <f t="shared" si="6"/>
        <v>0</v>
      </c>
      <c r="Y16" s="47">
        <f t="shared" si="6"/>
        <v>0</v>
      </c>
      <c r="Z16" s="47">
        <f t="shared" si="6"/>
        <v>0.14951036259114267</v>
      </c>
      <c r="AA16" s="47">
        <f t="shared" si="6"/>
        <v>0</v>
      </c>
      <c r="AB16" s="47">
        <f t="shared" si="6"/>
        <v>0</v>
      </c>
      <c r="AC16" s="47">
        <f t="shared" si="6"/>
        <v>0.19566257317786606</v>
      </c>
      <c r="AD16" s="48">
        <f t="shared" si="6"/>
        <v>6.3460510232596481E-2</v>
      </c>
      <c r="AE16" s="47">
        <f t="shared" si="6"/>
        <v>0</v>
      </c>
      <c r="AF16" s="47">
        <f t="shared" si="6"/>
        <v>0</v>
      </c>
      <c r="AG16" s="47">
        <f t="shared" si="6"/>
        <v>0.18709410791071923</v>
      </c>
      <c r="AH16" s="47">
        <f t="shared" si="6"/>
        <v>0</v>
      </c>
      <c r="AI16" s="47">
        <f t="shared" si="6"/>
        <v>0</v>
      </c>
      <c r="AJ16" s="47">
        <f t="shared" si="6"/>
        <v>0.18959200282647437</v>
      </c>
      <c r="AK16" s="47">
        <f t="shared" si="6"/>
        <v>0</v>
      </c>
      <c r="AL16" s="47">
        <f t="shared" si="6"/>
        <v>0</v>
      </c>
      <c r="AM16" s="47">
        <f t="shared" si="6"/>
        <v>0.22132508015434066</v>
      </c>
      <c r="AN16" s="47">
        <f t="shared" si="6"/>
        <v>0</v>
      </c>
      <c r="AO16" s="48">
        <f t="shared" si="6"/>
        <v>6.7854741444389938E-2</v>
      </c>
      <c r="AP16" s="48">
        <f t="shared" si="6"/>
        <v>7.2786282393280374E-2</v>
      </c>
    </row>
    <row r="17" spans="2:44" x14ac:dyDescent="0.2">
      <c r="B17" s="27" t="str">
        <f>+AR17</f>
        <v>WIP Adjustment</v>
      </c>
      <c r="C17" s="10"/>
      <c r="D17" s="10"/>
      <c r="E17" s="19">
        <f>SUMIF('Income Statement Source'!$C:$C,'1.1 Adjusted Income Stmt'!$AR17,'Income Statement Source'!G:G)/1000+'1. Income Statement'!E129</f>
        <v>84.563125387341145</v>
      </c>
      <c r="F17" s="19">
        <f>SUMIF('Income Statement Source'!$C:$C,'1.1 Adjusted Income Stmt'!$AR17,'Income Statement Source'!H:H)/1000+'1. Income Statement'!F129</f>
        <v>18.543847857064819</v>
      </c>
      <c r="G17" s="19">
        <f>SUMIF('Income Statement Source'!$C:$C,'1.1 Adjusted Income Stmt'!$AR17,'Income Statement Source'!I:I)/1000+'1. Income Statement'!G129</f>
        <v>-11.274908465696639</v>
      </c>
      <c r="H17" s="19">
        <f>SUMIF('Income Statement Source'!$C:$C,'1.1 Adjusted Income Stmt'!$AR17,'Income Statement Source'!J:J)/1000+'1. Income Statement'!H129</f>
        <v>-94.55425410109946</v>
      </c>
      <c r="I17" s="19">
        <f>SUMIF('Income Statement Source'!$C:$C,'1.1 Adjusted Income Stmt'!$AR17,'Income Statement Source'!K:K)/1000+'1. Income Statement'!I129</f>
        <v>5.1784317623048759</v>
      </c>
      <c r="J17" s="19">
        <f>SUMIF('Income Statement Source'!$C:$C,'1.1 Adjusted Income Stmt'!$AR17,'Income Statement Source'!L:L)/1000+'1. Income Statement'!J129</f>
        <v>58.838598276507298</v>
      </c>
      <c r="K17" s="19">
        <f>SUMIF('Income Statement Source'!$C:$C,'1.1 Adjusted Income Stmt'!$AR17,'Income Statement Source'!M:M)/1000+'1. Income Statement'!K129</f>
        <v>-112.18787919692642</v>
      </c>
      <c r="L17" s="19">
        <f>SUMIF('Income Statement Source'!$C:$C,'1.1 Adjusted Income Stmt'!$AR17,'Income Statement Source'!N:N)/1000+'1. Income Statement'!L129</f>
        <v>-29.306999470459655</v>
      </c>
      <c r="M17" s="19">
        <f>SUMIF('Income Statement Source'!$C:$C,'1.1 Adjusted Income Stmt'!$AR17,'Income Statement Source'!O:O)/1000+'1. Income Statement'!M129</f>
        <v>138.4121754360811</v>
      </c>
      <c r="N17" s="19">
        <f>SUMIF('Income Statement Source'!$C:$C,'1.1 Adjusted Income Stmt'!$AR17,'Income Statement Source'!P:P)/1000+'1. Income Statement'!N129</f>
        <v>-74.630034054760273</v>
      </c>
      <c r="O17" s="19">
        <f>SUMIF('Income Statement Source'!$C:$C,'1.1 Adjusted Income Stmt'!$AR17,'Income Statement Source'!Q:Q)/1000+'1. Income Statement'!O129</f>
        <v>18.53477007503523</v>
      </c>
      <c r="P17" s="19">
        <f>SUMIF('Income Statement Source'!$C:$C,'1.1 Adjusted Income Stmt'!$AR17,'Income Statement Source'!R:R)/1000+'1. Income Statement'!P129</f>
        <v>117.37569667214265</v>
      </c>
      <c r="Q17" s="21">
        <f>SUM(E17:P17)</f>
        <v>119.49257017753467</v>
      </c>
      <c r="R17" s="19">
        <f>SUMIF('Income Statement Source'!$C:$C,'1.1 Adjusted Income Stmt'!$AR17,'Income Statement Source'!T:T)/1000+'1. Income Statement'!R129</f>
        <v>8.8450574144140504</v>
      </c>
      <c r="S17" s="19">
        <f>SUMIF('Income Statement Source'!$C:$C,'1.1 Adjusted Income Stmt'!$AR17,'Income Statement Source'!U:U)/1000+'1. Income Statement'!S129</f>
        <v>37.992683374940242</v>
      </c>
      <c r="T17" s="19">
        <f>SUMIF('Income Statement Source'!$C:$C,'1.1 Adjusted Income Stmt'!$AR17,'Income Statement Source'!V:V)/1000+'1. Income Statement'!T129</f>
        <v>115.39739683660667</v>
      </c>
      <c r="U17" s="19">
        <f>SUMIF('Income Statement Source'!$C:$C,'1.1 Adjusted Income Stmt'!$AR17,'Income Statement Source'!W:W)/1000+'1. Income Statement'!U129</f>
        <v>-91.13384305318931</v>
      </c>
      <c r="V17" s="19">
        <f>SUMIF('Income Statement Source'!$C:$C,'1.1 Adjusted Income Stmt'!$AR17,'Income Statement Source'!X:X)/1000+'1. Income Statement'!V129</f>
        <v>43.058422176767813</v>
      </c>
      <c r="W17" s="19">
        <f>SUMIF('Income Statement Source'!$C:$C,'1.1 Adjusted Income Stmt'!$AR17,'Income Statement Source'!Y:Y)/1000+'1. Income Statement'!W129</f>
        <v>85.155015195290332</v>
      </c>
      <c r="X17" s="19">
        <f>SUMIF('Income Statement Source'!$C:$C,'1.1 Adjusted Income Stmt'!$AR17,'Income Statement Source'!Z:Z)/1000+'1. Income Statement'!X129</f>
        <v>68.773349181903981</v>
      </c>
      <c r="Y17" s="19">
        <f>SUMIF('Income Statement Source'!$C:$C,'1.1 Adjusted Income Stmt'!$AR17,'Income Statement Source'!AA:AA)/1000+'1. Income Statement'!Y129</f>
        <v>-65.669990504207163</v>
      </c>
      <c r="Z17" s="19">
        <f>SUMIF('Income Statement Source'!$C:$C,'1.1 Adjusted Income Stmt'!$AR17,'Income Statement Source'!AB:AB)/1000+'1. Income Statement'!Z129</f>
        <v>91.509853264816741</v>
      </c>
      <c r="AA17" s="19">
        <f>SUMIF('Income Statement Source'!$C:$C,'1.1 Adjusted Income Stmt'!$AR17,'Income Statement Source'!AC:AC)/1000+'1. Income Statement'!AA129</f>
        <v>42.813282568187375</v>
      </c>
      <c r="AB17" s="19">
        <f>SUMIF('Income Statement Source'!$C:$C,'1.1 Adjusted Income Stmt'!$AR17,'Income Statement Source'!AD:AD)/1000+'1. Income Statement'!AB129</f>
        <v>130.73427947555066</v>
      </c>
      <c r="AC17" s="19">
        <f>SUMIF('Income Statement Source'!$C:$C,'1.1 Adjusted Income Stmt'!$AR17,'Income Statement Source'!AE:AE)/1000+'1. Income Statement'!AC129</f>
        <v>47.873003486576657</v>
      </c>
      <c r="AD17" s="21">
        <f>SUM(R17:AC17)</f>
        <v>515.34850941765797</v>
      </c>
      <c r="AE17" s="19">
        <f>SUMIF('Income Statement Source'!$C:$C,'1.1 Adjusted Income Stmt'!$AR17,'Income Statement Source'!AG:AG)/1000+'1. Income Statement'!AE129</f>
        <v>-39.656865708412631</v>
      </c>
      <c r="AF17" s="19">
        <f>SUMIF('Income Statement Source'!$C:$C,'1.1 Adjusted Income Stmt'!$AR17,'Income Statement Source'!AH:AH)/1000+'1. Income Statement'!AF129</f>
        <v>-47.070703593357536</v>
      </c>
      <c r="AG17" s="19">
        <f>SUMIF('Income Statement Source'!$C:$C,'1.1 Adjusted Income Stmt'!$AR17,'Income Statement Source'!AI:AI)/1000+'1. Income Statement'!AG129</f>
        <v>35.66216935782699</v>
      </c>
      <c r="AH17" s="19">
        <f>SUMIF('Income Statement Source'!$C:$C,'1.1 Adjusted Income Stmt'!$AR17,'Income Statement Source'!AJ:AJ)/1000+'1. Income Statement'!AH129</f>
        <v>54.52666938128128</v>
      </c>
      <c r="AI17" s="19">
        <f>SUMIF('Income Statement Source'!$C:$C,'1.1 Adjusted Income Stmt'!$AR17,'Income Statement Source'!AK:AK)/1000+'1. Income Statement'!AI129</f>
        <v>-74.955805983948451</v>
      </c>
      <c r="AJ17" s="19">
        <f>SUMIF('Income Statement Source'!$C:$C,'1.1 Adjusted Income Stmt'!$AR17,'Income Statement Source'!AL:AL)/1000+'1. Income Statement'!AJ129</f>
        <v>-51.956838080820184</v>
      </c>
      <c r="AK17" s="19">
        <f>SUMIF('Income Statement Source'!$C:$C,'1.1 Adjusted Income Stmt'!$AR17,'Income Statement Source'!AM:AM)/1000+'1. Income Statement'!AK129</f>
        <v>-47.698567481509379</v>
      </c>
      <c r="AL17" s="19">
        <f>SUMIF('Income Statement Source'!$C:$C,'1.1 Adjusted Income Stmt'!$AR17,'Income Statement Source'!AN:AN)/1000+'1. Income Statement'!AL129</f>
        <v>25.430739500581971</v>
      </c>
      <c r="AM17" s="19">
        <f>SUMIF('Income Statement Source'!$C:$C,'1.1 Adjusted Income Stmt'!$AR17,'Income Statement Source'!AO:AO)/1000+'1. Income Statement'!AM129</f>
        <v>-100.47717252837256</v>
      </c>
      <c r="AN17" s="19">
        <f>SUMIF('Income Statement Source'!$C:$C,'1.1 Adjusted Income Stmt'!$AR17,'Income Statement Source'!AP:AP)/1000+'1. Income Statement'!AN129</f>
        <v>62.999811541538378</v>
      </c>
      <c r="AO17" s="21">
        <f>SUM(AE17:AN17)</f>
        <v>-183.19656359519209</v>
      </c>
      <c r="AP17" s="21">
        <f>SUM(AO17,AB17:AC17)</f>
        <v>-4.5892806330647673</v>
      </c>
      <c r="AR17" s="4" t="s">
        <v>9</v>
      </c>
    </row>
    <row r="18" spans="2:44" x14ac:dyDescent="0.2">
      <c r="B18" s="28"/>
      <c r="C18" s="10"/>
      <c r="D18" s="10"/>
      <c r="E18" s="45">
        <f>IFERROR(E17/E$19,0)</f>
        <v>0.2823107653525237</v>
      </c>
      <c r="F18" s="45">
        <f t="shared" ref="F18:AP18" si="7">IFERROR(F17/F$19,0)</f>
        <v>7.5435591916619568E-2</v>
      </c>
      <c r="G18" s="45">
        <f t="shared" si="7"/>
        <v>-3.8047124310264337E-2</v>
      </c>
      <c r="H18" s="45">
        <f t="shared" si="7"/>
        <v>-0.57623559316989503</v>
      </c>
      <c r="I18" s="45">
        <f t="shared" si="7"/>
        <v>1.8697707217283099E-2</v>
      </c>
      <c r="J18" s="45">
        <f t="shared" si="7"/>
        <v>0.13776508501903742</v>
      </c>
      <c r="K18" s="45">
        <f t="shared" si="7"/>
        <v>-0.58950469856850352</v>
      </c>
      <c r="L18" s="45">
        <f t="shared" si="7"/>
        <v>-0.11821362024010179</v>
      </c>
      <c r="M18" s="45">
        <f t="shared" si="7"/>
        <v>0.2809302900912774</v>
      </c>
      <c r="N18" s="45">
        <f t="shared" si="7"/>
        <v>-0.38763809374053765</v>
      </c>
      <c r="O18" s="45">
        <f t="shared" si="7"/>
        <v>7.60160846425358E-2</v>
      </c>
      <c r="P18" s="45">
        <f t="shared" si="7"/>
        <v>0.28772480643166654</v>
      </c>
      <c r="Q18" s="46">
        <f t="shared" si="7"/>
        <v>3.4287141506528042E-2</v>
      </c>
      <c r="R18" s="45">
        <f t="shared" si="7"/>
        <v>3.4035723626396543E-2</v>
      </c>
      <c r="S18" s="45">
        <f t="shared" si="7"/>
        <v>0.12826551071575004</v>
      </c>
      <c r="T18" s="45">
        <f t="shared" si="7"/>
        <v>0.2464321050277348</v>
      </c>
      <c r="U18" s="45">
        <f t="shared" si="7"/>
        <v>-0.39872029995101127</v>
      </c>
      <c r="V18" s="45">
        <f t="shared" si="7"/>
        <v>0.11239445355620023</v>
      </c>
      <c r="W18" s="45">
        <f t="shared" si="7"/>
        <v>0.16288158593725749</v>
      </c>
      <c r="X18" s="45">
        <f t="shared" si="7"/>
        <v>0.156345997802874</v>
      </c>
      <c r="Y18" s="45">
        <f t="shared" si="7"/>
        <v>-0.20820039098429494</v>
      </c>
      <c r="Z18" s="45">
        <f t="shared" si="7"/>
        <v>0.18690269095091672</v>
      </c>
      <c r="AA18" s="45">
        <f t="shared" si="7"/>
        <v>0.12298816158724876</v>
      </c>
      <c r="AB18" s="45">
        <f t="shared" si="7"/>
        <v>0.30874986526725973</v>
      </c>
      <c r="AC18" s="45">
        <f t="shared" si="7"/>
        <v>0.12421890438502052</v>
      </c>
      <c r="AD18" s="46">
        <f t="shared" si="7"/>
        <v>0.11299860278494613</v>
      </c>
      <c r="AE18" s="45">
        <f t="shared" si="7"/>
        <v>-0.17572051084693657</v>
      </c>
      <c r="AF18" s="45">
        <f t="shared" si="7"/>
        <v>-0.20822787433485301</v>
      </c>
      <c r="AG18" s="45">
        <f t="shared" si="7"/>
        <v>8.7414716796395911E-2</v>
      </c>
      <c r="AH18" s="45">
        <f t="shared" si="7"/>
        <v>0.1379131284589418</v>
      </c>
      <c r="AI18" s="45">
        <f t="shared" si="7"/>
        <v>-0.28506138400076159</v>
      </c>
      <c r="AJ18" s="45">
        <f t="shared" si="7"/>
        <v>-0.12587195823444403</v>
      </c>
      <c r="AK18" s="45">
        <f t="shared" si="7"/>
        <v>-0.14529678343034685</v>
      </c>
      <c r="AL18" s="45">
        <f t="shared" si="7"/>
        <v>6.8258437381043313E-2</v>
      </c>
      <c r="AM18" s="45">
        <f t="shared" si="7"/>
        <v>-0.30491537009798936</v>
      </c>
      <c r="AN18" s="45">
        <f t="shared" si="7"/>
        <v>0.16076999589500723</v>
      </c>
      <c r="AO18" s="46">
        <f t="shared" si="7"/>
        <v>-5.4636144321427799E-2</v>
      </c>
      <c r="AP18" s="46">
        <f t="shared" si="7"/>
        <v>-1.1027015272464622E-3</v>
      </c>
    </row>
    <row r="19" spans="2:44" x14ac:dyDescent="0.2">
      <c r="B19" s="12" t="str">
        <f>+B8</f>
        <v>Revenue</v>
      </c>
      <c r="C19" s="13"/>
      <c r="D19" s="13"/>
      <c r="E19" s="42">
        <f>SUM(E9,E11,E13,E15,E17)</f>
        <v>299.53914538734114</v>
      </c>
      <c r="F19" s="42">
        <f t="shared" ref="F19:AP19" si="8">SUM(F9,F11,F13,F15,F17)</f>
        <v>245.82358785706481</v>
      </c>
      <c r="G19" s="42">
        <f t="shared" si="8"/>
        <v>296.34062153430341</v>
      </c>
      <c r="H19" s="42">
        <f t="shared" si="8"/>
        <v>164.08957589890053</v>
      </c>
      <c r="I19" s="42">
        <f t="shared" si="8"/>
        <v>276.95544176230482</v>
      </c>
      <c r="J19" s="42">
        <f t="shared" si="8"/>
        <v>427.09368827650735</v>
      </c>
      <c r="K19" s="42">
        <f t="shared" si="8"/>
        <v>190.30871080307361</v>
      </c>
      <c r="L19" s="42">
        <f t="shared" si="8"/>
        <v>247.91559052954031</v>
      </c>
      <c r="M19" s="42">
        <f t="shared" si="8"/>
        <v>492.69224543608107</v>
      </c>
      <c r="N19" s="42">
        <f t="shared" si="8"/>
        <v>192.52502594523972</v>
      </c>
      <c r="O19" s="42">
        <f t="shared" si="8"/>
        <v>243.82695007503526</v>
      </c>
      <c r="P19" s="42">
        <f t="shared" si="8"/>
        <v>407.9443066721426</v>
      </c>
      <c r="Q19" s="43">
        <f t="shared" si="8"/>
        <v>3485.0548901775346</v>
      </c>
      <c r="R19" s="42">
        <f t="shared" si="8"/>
        <v>259.87569741441405</v>
      </c>
      <c r="S19" s="42">
        <f t="shared" si="8"/>
        <v>296.20342337494026</v>
      </c>
      <c r="T19" s="42">
        <f t="shared" si="8"/>
        <v>468.27257683660667</v>
      </c>
      <c r="U19" s="42">
        <f t="shared" si="8"/>
        <v>228.56584694681072</v>
      </c>
      <c r="V19" s="42">
        <f t="shared" si="8"/>
        <v>383.10095217676781</v>
      </c>
      <c r="W19" s="42">
        <f t="shared" si="8"/>
        <v>522.80320519529027</v>
      </c>
      <c r="X19" s="42">
        <f t="shared" si="8"/>
        <v>439.87917918190402</v>
      </c>
      <c r="Y19" s="42">
        <f t="shared" si="8"/>
        <v>315.41722949579287</v>
      </c>
      <c r="Z19" s="42">
        <f t="shared" si="8"/>
        <v>489.61228326481677</v>
      </c>
      <c r="AA19" s="42">
        <f t="shared" si="8"/>
        <v>348.10897256818737</v>
      </c>
      <c r="AB19" s="42">
        <f t="shared" si="8"/>
        <v>423.43104947555071</v>
      </c>
      <c r="AC19" s="42">
        <f t="shared" si="8"/>
        <v>385.39225348657664</v>
      </c>
      <c r="AD19" s="43">
        <f t="shared" si="8"/>
        <v>4560.6626694176575</v>
      </c>
      <c r="AE19" s="42">
        <f t="shared" si="8"/>
        <v>225.68148429158742</v>
      </c>
      <c r="AF19" s="42">
        <f t="shared" si="8"/>
        <v>226.05380640664245</v>
      </c>
      <c r="AG19" s="42">
        <f t="shared" si="8"/>
        <v>407.965279357827</v>
      </c>
      <c r="AH19" s="42">
        <f t="shared" si="8"/>
        <v>395.36967938128129</v>
      </c>
      <c r="AI19" s="42">
        <f t="shared" si="8"/>
        <v>262.94619401605161</v>
      </c>
      <c r="AJ19" s="42">
        <f t="shared" si="8"/>
        <v>412.77532191917976</v>
      </c>
      <c r="AK19" s="42">
        <f t="shared" si="8"/>
        <v>328.28371251849063</v>
      </c>
      <c r="AL19" s="42">
        <f t="shared" si="8"/>
        <v>372.56550950058198</v>
      </c>
      <c r="AM19" s="42">
        <f t="shared" si="8"/>
        <v>329.52478747162741</v>
      </c>
      <c r="AN19" s="42">
        <f t="shared" si="8"/>
        <v>391.86299154153835</v>
      </c>
      <c r="AO19" s="43">
        <f t="shared" si="8"/>
        <v>3353.0287664048078</v>
      </c>
      <c r="AP19" s="43">
        <f t="shared" si="8"/>
        <v>4161.8520693669343</v>
      </c>
    </row>
    <row r="20" spans="2:44" x14ac:dyDescent="0.2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8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8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8"/>
      <c r="AP20" s="18"/>
    </row>
    <row r="21" spans="2:44" x14ac:dyDescent="0.2">
      <c r="B21" s="25"/>
      <c r="Q21" s="17"/>
      <c r="AD21" s="17"/>
      <c r="AO21" s="17"/>
      <c r="AP21" s="17"/>
    </row>
    <row r="22" spans="2:44" x14ac:dyDescent="0.2">
      <c r="B22" s="26" t="s">
        <v>69</v>
      </c>
      <c r="Q22" s="17"/>
      <c r="AD22" s="17"/>
      <c r="AO22" s="17"/>
      <c r="AP22" s="17"/>
    </row>
    <row r="23" spans="2:44" s="34" customFormat="1" hidden="1" outlineLevel="1" x14ac:dyDescent="0.2">
      <c r="B23" s="29" t="s">
        <v>89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2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2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2"/>
      <c r="AP23" s="52"/>
    </row>
    <row r="24" spans="2:44" s="34" customFormat="1" hidden="1" outlineLevel="1" x14ac:dyDescent="0.2">
      <c r="B24" s="30" t="str">
        <f t="shared" ref="B24:B29" si="9">+AR24</f>
        <v>Sprinkler Materials &amp; Fittings</v>
      </c>
      <c r="C24" s="4"/>
      <c r="D24" s="4"/>
      <c r="E24" s="20">
        <f>SUMIF('Income Statement Source'!$C:$C,'1.1 Adjusted Income Stmt'!$AR24,'Income Statement Source'!G:G)/1000</f>
        <v>18.773900000000001</v>
      </c>
      <c r="F24" s="20">
        <f>SUMIF('Income Statement Source'!$C:$C,'1.1 Adjusted Income Stmt'!$AR24,'Income Statement Source'!H:H)/1000</f>
        <v>22.360709999999997</v>
      </c>
      <c r="G24" s="20">
        <f>SUMIF('Income Statement Source'!$C:$C,'1.1 Adjusted Income Stmt'!$AR24,'Income Statement Source'!I:I)/1000</f>
        <v>30.529229999999998</v>
      </c>
      <c r="H24" s="20">
        <f>SUMIF('Income Statement Source'!$C:$C,'1.1 Adjusted Income Stmt'!$AR24,'Income Statement Source'!J:J)/1000</f>
        <v>26.313189999999999</v>
      </c>
      <c r="I24" s="20">
        <f>SUMIF('Income Statement Source'!$C:$C,'1.1 Adjusted Income Stmt'!$AR24,'Income Statement Source'!K:K)/1000</f>
        <v>25.1539</v>
      </c>
      <c r="J24" s="20">
        <f>SUMIF('Income Statement Source'!$C:$C,'1.1 Adjusted Income Stmt'!$AR24,'Income Statement Source'!L:L)/1000</f>
        <v>35.273470000000003</v>
      </c>
      <c r="K24" s="20">
        <f>SUMIF('Income Statement Source'!$C:$C,'1.1 Adjusted Income Stmt'!$AR24,'Income Statement Source'!M:M)/1000</f>
        <v>32.34572</v>
      </c>
      <c r="L24" s="20">
        <f>SUMIF('Income Statement Source'!$C:$C,'1.1 Adjusted Income Stmt'!$AR24,'Income Statement Source'!N:N)/1000</f>
        <v>27.19652</v>
      </c>
      <c r="M24" s="20">
        <f>SUMIF('Income Statement Source'!$C:$C,'1.1 Adjusted Income Stmt'!$AR24,'Income Statement Source'!O:O)/1000</f>
        <v>34.613930000000003</v>
      </c>
      <c r="N24" s="20">
        <f>SUMIF('Income Statement Source'!$C:$C,'1.1 Adjusted Income Stmt'!$AR24,'Income Statement Source'!P:P)/1000</f>
        <v>26.913349999999998</v>
      </c>
      <c r="O24" s="20">
        <f>SUMIF('Income Statement Source'!$C:$C,'1.1 Adjusted Income Stmt'!$AR24,'Income Statement Source'!Q:Q)/1000</f>
        <v>22.136310000000002</v>
      </c>
      <c r="P24" s="20">
        <f>SUMIF('Income Statement Source'!$C:$C,'1.1 Adjusted Income Stmt'!$AR24,'Income Statement Source'!R:R)/1000</f>
        <v>34.797609999999999</v>
      </c>
      <c r="Q24" s="22">
        <f t="shared" ref="Q24:Q29" si="10">SUM(E24:P24)</f>
        <v>336.40783999999996</v>
      </c>
      <c r="R24" s="20">
        <f>SUMIF('Income Statement Source'!$C:$C,'1.1 Adjusted Income Stmt'!$AR24,'Income Statement Source'!T:T)/1000</f>
        <v>28.669280000000001</v>
      </c>
      <c r="S24" s="20">
        <f>SUMIF('Income Statement Source'!$C:$C,'1.1 Adjusted Income Stmt'!$AR24,'Income Statement Source'!U:U)/1000</f>
        <v>36.196469999999998</v>
      </c>
      <c r="T24" s="20">
        <f>SUMIF('Income Statement Source'!$C:$C,'1.1 Adjusted Income Stmt'!$AR24,'Income Statement Source'!V:V)/1000</f>
        <v>51.793140000000001</v>
      </c>
      <c r="U24" s="20">
        <f>SUMIF('Income Statement Source'!$C:$C,'1.1 Adjusted Income Stmt'!$AR24,'Income Statement Source'!W:W)/1000</f>
        <v>42.456910000000001</v>
      </c>
      <c r="V24" s="20">
        <f>SUMIF('Income Statement Source'!$C:$C,'1.1 Adjusted Income Stmt'!$AR24,'Income Statement Source'!X:X)/1000</f>
        <v>49.582239999999999</v>
      </c>
      <c r="W24" s="20">
        <f>SUMIF('Income Statement Source'!$C:$C,'1.1 Adjusted Income Stmt'!$AR24,'Income Statement Source'!Y:Y)/1000</f>
        <v>54.228879999999997</v>
      </c>
      <c r="X24" s="20">
        <f>SUMIF('Income Statement Source'!$C:$C,'1.1 Adjusted Income Stmt'!$AR24,'Income Statement Source'!Z:Z)/1000</f>
        <v>47.745800000000003</v>
      </c>
      <c r="Y24" s="20">
        <f>SUMIF('Income Statement Source'!$C:$C,'1.1 Adjusted Income Stmt'!$AR24,'Income Statement Source'!AA:AA)/1000</f>
        <v>56.038959999999996</v>
      </c>
      <c r="Z24" s="20">
        <f>SUMIF('Income Statement Source'!$C:$C,'1.1 Adjusted Income Stmt'!$AR24,'Income Statement Source'!AB:AB)/1000</f>
        <v>52.247599999999998</v>
      </c>
      <c r="AA24" s="20">
        <f>SUMIF('Income Statement Source'!$C:$C,'1.1 Adjusted Income Stmt'!$AR24,'Income Statement Source'!AC:AC)/1000</f>
        <v>44.138160000000006</v>
      </c>
      <c r="AB24" s="20">
        <f>SUMIF('Income Statement Source'!$C:$C,'1.1 Adjusted Income Stmt'!$AR24,'Income Statement Source'!AD:AD)/1000</f>
        <v>37.548879999999997</v>
      </c>
      <c r="AC24" s="20">
        <f>SUMIF('Income Statement Source'!$C:$C,'1.1 Adjusted Income Stmt'!$AR24,'Income Statement Source'!AE:AE)/1000</f>
        <v>53.877369999999999</v>
      </c>
      <c r="AD24" s="22">
        <f t="shared" ref="AD24:AD29" si="11">SUM(R24:AC24)</f>
        <v>554.52368999999999</v>
      </c>
      <c r="AE24" s="20">
        <f>SUMIF('Income Statement Source'!$C:$C,'1.1 Adjusted Income Stmt'!$AR24,'Income Statement Source'!AG:AG)/1000</f>
        <v>22.322970000000002</v>
      </c>
      <c r="AF24" s="20">
        <f>SUMIF('Income Statement Source'!$C:$C,'1.1 Adjusted Income Stmt'!$AR24,'Income Statement Source'!AH:AH)/1000</f>
        <v>26.3794</v>
      </c>
      <c r="AG24" s="20">
        <f>SUMIF('Income Statement Source'!$C:$C,'1.1 Adjusted Income Stmt'!$AR24,'Income Statement Source'!AI:AI)/1000</f>
        <v>39.4709</v>
      </c>
      <c r="AH24" s="20">
        <f>SUMIF('Income Statement Source'!$C:$C,'1.1 Adjusted Income Stmt'!$AR24,'Income Statement Source'!AJ:AJ)/1000</f>
        <v>33.337890000000002</v>
      </c>
      <c r="AI24" s="20">
        <f>SUMIF('Income Statement Source'!$C:$C,'1.1 Adjusted Income Stmt'!$AR24,'Income Statement Source'!AK:AK)/1000</f>
        <v>32.727869999999996</v>
      </c>
      <c r="AJ24" s="20">
        <f>SUMIF('Income Statement Source'!$C:$C,'1.1 Adjusted Income Stmt'!$AR24,'Income Statement Source'!AL:AL)/1000</f>
        <v>43.805150000000005</v>
      </c>
      <c r="AK24" s="20">
        <f>SUMIF('Income Statement Source'!$C:$C,'1.1 Adjusted Income Stmt'!$AR24,'Income Statement Source'!AM:AM)/1000</f>
        <v>38.107980000000005</v>
      </c>
      <c r="AL24" s="20">
        <f>SUMIF('Income Statement Source'!$C:$C,'1.1 Adjusted Income Stmt'!$AR24,'Income Statement Source'!AN:AN)/1000</f>
        <v>37.875250000000001</v>
      </c>
      <c r="AM24" s="20">
        <f>SUMIF('Income Statement Source'!$C:$C,'1.1 Adjusted Income Stmt'!$AR24,'Income Statement Source'!AO:AO)/1000</f>
        <v>46.607320000000001</v>
      </c>
      <c r="AN24" s="20">
        <f>SUMIF('Income Statement Source'!$C:$C,'1.1 Adjusted Income Stmt'!$AR24,'Income Statement Source'!AP:AP)/1000</f>
        <v>35.486980000000003</v>
      </c>
      <c r="AO24" s="22">
        <f t="shared" ref="AO24:AO29" si="12">SUM(AE24:AN24)</f>
        <v>356.12171000000006</v>
      </c>
      <c r="AP24" s="22">
        <f t="shared" ref="AP24:AP29" si="13">SUM(AO24,AB24:AC24)</f>
        <v>447.54796000000005</v>
      </c>
      <c r="AR24" s="34" t="s">
        <v>14</v>
      </c>
    </row>
    <row r="25" spans="2:44" s="34" customFormat="1" hidden="1" outlineLevel="1" x14ac:dyDescent="0.2">
      <c r="B25" s="30" t="str">
        <f t="shared" si="9"/>
        <v>Alarm Equipment &amp; Devices</v>
      </c>
      <c r="C25" s="4"/>
      <c r="D25" s="4"/>
      <c r="E25" s="20">
        <f>SUMIF('Income Statement Source'!$C:$C,'1.1 Adjusted Income Stmt'!$AR25,'Income Statement Source'!G:G)/1000</f>
        <v>14.566600000000001</v>
      </c>
      <c r="F25" s="20">
        <f>SUMIF('Income Statement Source'!$C:$C,'1.1 Adjusted Income Stmt'!$AR25,'Income Statement Source'!H:H)/1000</f>
        <v>19.503430000000002</v>
      </c>
      <c r="G25" s="20">
        <f>SUMIF('Income Statement Source'!$C:$C,'1.1 Adjusted Income Stmt'!$AR25,'Income Statement Source'!I:I)/1000</f>
        <v>26.003689999999999</v>
      </c>
      <c r="H25" s="20">
        <f>SUMIF('Income Statement Source'!$C:$C,'1.1 Adjusted Income Stmt'!$AR25,'Income Statement Source'!J:J)/1000</f>
        <v>20.261150000000001</v>
      </c>
      <c r="I25" s="20">
        <f>SUMIF('Income Statement Source'!$C:$C,'1.1 Adjusted Income Stmt'!$AR25,'Income Statement Source'!K:K)/1000</f>
        <v>22.372119999999999</v>
      </c>
      <c r="J25" s="20">
        <f>SUMIF('Income Statement Source'!$C:$C,'1.1 Adjusted Income Stmt'!$AR25,'Income Statement Source'!L:L)/1000</f>
        <v>28.26905</v>
      </c>
      <c r="K25" s="20">
        <f>SUMIF('Income Statement Source'!$C:$C,'1.1 Adjusted Income Stmt'!$AR25,'Income Statement Source'!M:M)/1000</f>
        <v>24.855630000000001</v>
      </c>
      <c r="L25" s="20">
        <f>SUMIF('Income Statement Source'!$C:$C,'1.1 Adjusted Income Stmt'!$AR25,'Income Statement Source'!N:N)/1000</f>
        <v>20.789750000000002</v>
      </c>
      <c r="M25" s="20">
        <f>SUMIF('Income Statement Source'!$C:$C,'1.1 Adjusted Income Stmt'!$AR25,'Income Statement Source'!O:O)/1000</f>
        <v>29.16329</v>
      </c>
      <c r="N25" s="20">
        <f>SUMIF('Income Statement Source'!$C:$C,'1.1 Adjusted Income Stmt'!$AR25,'Income Statement Source'!P:P)/1000</f>
        <v>21.531179999999999</v>
      </c>
      <c r="O25" s="20">
        <f>SUMIF('Income Statement Source'!$C:$C,'1.1 Adjusted Income Stmt'!$AR25,'Income Statement Source'!Q:Q)/1000</f>
        <v>17.531209999999998</v>
      </c>
      <c r="P25" s="20">
        <f>SUMIF('Income Statement Source'!$C:$C,'1.1 Adjusted Income Stmt'!$AR25,'Income Statement Source'!R:R)/1000</f>
        <v>24.994979999999998</v>
      </c>
      <c r="Q25" s="22">
        <f t="shared" si="10"/>
        <v>269.84207999999995</v>
      </c>
      <c r="R25" s="20">
        <f>SUMIF('Income Statement Source'!$C:$C,'1.1 Adjusted Income Stmt'!$AR25,'Income Statement Source'!T:T)/1000</f>
        <v>14.941879999999999</v>
      </c>
      <c r="S25" s="20">
        <f>SUMIF('Income Statement Source'!$C:$C,'1.1 Adjusted Income Stmt'!$AR25,'Income Statement Source'!U:U)/1000</f>
        <v>20.169270000000001</v>
      </c>
      <c r="T25" s="20">
        <f>SUMIF('Income Statement Source'!$C:$C,'1.1 Adjusted Income Stmt'!$AR25,'Income Statement Source'!V:V)/1000</f>
        <v>26.325569999999999</v>
      </c>
      <c r="U25" s="20">
        <f>SUMIF('Income Statement Source'!$C:$C,'1.1 Adjusted Income Stmt'!$AR25,'Income Statement Source'!W:W)/1000</f>
        <v>25.805049999999998</v>
      </c>
      <c r="V25" s="20">
        <f>SUMIF('Income Statement Source'!$C:$C,'1.1 Adjusted Income Stmt'!$AR25,'Income Statement Source'!X:X)/1000</f>
        <v>27.245720000000002</v>
      </c>
      <c r="W25" s="20">
        <f>SUMIF('Income Statement Source'!$C:$C,'1.1 Adjusted Income Stmt'!$AR25,'Income Statement Source'!Y:Y)/1000</f>
        <v>32.459939999999996</v>
      </c>
      <c r="X25" s="20">
        <f>SUMIF('Income Statement Source'!$C:$C,'1.1 Adjusted Income Stmt'!$AR25,'Income Statement Source'!Z:Z)/1000</f>
        <v>27.853060000000003</v>
      </c>
      <c r="Y25" s="20">
        <f>SUMIF('Income Statement Source'!$C:$C,'1.1 Adjusted Income Stmt'!$AR25,'Income Statement Source'!AA:AA)/1000</f>
        <v>28.974900000000002</v>
      </c>
      <c r="Z25" s="20">
        <f>SUMIF('Income Statement Source'!$C:$C,'1.1 Adjusted Income Stmt'!$AR25,'Income Statement Source'!AB:AB)/1000</f>
        <v>30.560509999999997</v>
      </c>
      <c r="AA25" s="20">
        <f>SUMIF('Income Statement Source'!$C:$C,'1.1 Adjusted Income Stmt'!$AR25,'Income Statement Source'!AC:AC)/1000</f>
        <v>25.493310000000001</v>
      </c>
      <c r="AB25" s="20">
        <f>SUMIF('Income Statement Source'!$C:$C,'1.1 Adjusted Income Stmt'!$AR25,'Income Statement Source'!AD:AD)/1000</f>
        <v>21.989900000000002</v>
      </c>
      <c r="AC25" s="20">
        <f>SUMIF('Income Statement Source'!$C:$C,'1.1 Adjusted Income Stmt'!$AR25,'Income Statement Source'!AE:AE)/1000</f>
        <v>31.296189999999999</v>
      </c>
      <c r="AD25" s="22">
        <f t="shared" si="11"/>
        <v>313.11529999999999</v>
      </c>
      <c r="AE25" s="20">
        <f>SUMIF('Income Statement Source'!$C:$C,'1.1 Adjusted Income Stmt'!$AR25,'Income Statement Source'!AG:AG)/1000</f>
        <v>15.637559999999999</v>
      </c>
      <c r="AF25" s="20">
        <f>SUMIF('Income Statement Source'!$C:$C,'1.1 Adjusted Income Stmt'!$AR25,'Income Statement Source'!AH:AH)/1000</f>
        <v>23.660700000000002</v>
      </c>
      <c r="AG25" s="20">
        <f>SUMIF('Income Statement Source'!$C:$C,'1.1 Adjusted Income Stmt'!$AR25,'Income Statement Source'!AI:AI)/1000</f>
        <v>31.615069999999999</v>
      </c>
      <c r="AH25" s="20">
        <f>SUMIF('Income Statement Source'!$C:$C,'1.1 Adjusted Income Stmt'!$AR25,'Income Statement Source'!AJ:AJ)/1000</f>
        <v>28.20431</v>
      </c>
      <c r="AI25" s="20">
        <f>SUMIF('Income Statement Source'!$C:$C,'1.1 Adjusted Income Stmt'!$AR25,'Income Statement Source'!AK:AK)/1000</f>
        <v>27.135210000000001</v>
      </c>
      <c r="AJ25" s="20">
        <f>SUMIF('Income Statement Source'!$C:$C,'1.1 Adjusted Income Stmt'!$AR25,'Income Statement Source'!AL:AL)/1000</f>
        <v>39.056710000000002</v>
      </c>
      <c r="AK25" s="20">
        <f>SUMIF('Income Statement Source'!$C:$C,'1.1 Adjusted Income Stmt'!$AR25,'Income Statement Source'!AM:AM)/1000</f>
        <v>30.743089999999999</v>
      </c>
      <c r="AL25" s="20">
        <f>SUMIF('Income Statement Source'!$C:$C,'1.1 Adjusted Income Stmt'!$AR25,'Income Statement Source'!AN:AN)/1000</f>
        <v>28.31626</v>
      </c>
      <c r="AM25" s="20">
        <f>SUMIF('Income Statement Source'!$C:$C,'1.1 Adjusted Income Stmt'!$AR25,'Income Statement Source'!AO:AO)/1000</f>
        <v>37.5884</v>
      </c>
      <c r="AN25" s="20">
        <f>SUMIF('Income Statement Source'!$C:$C,'1.1 Adjusted Income Stmt'!$AR25,'Income Statement Source'!AP:AP)/1000</f>
        <v>25.357700000000001</v>
      </c>
      <c r="AO25" s="22">
        <f t="shared" si="12"/>
        <v>287.31501000000003</v>
      </c>
      <c r="AP25" s="22">
        <f t="shared" si="13"/>
        <v>340.60110000000003</v>
      </c>
      <c r="AR25" s="34" t="s">
        <v>15</v>
      </c>
    </row>
    <row r="26" spans="2:44" s="34" customFormat="1" hidden="1" outlineLevel="1" x14ac:dyDescent="0.2">
      <c r="B26" s="30" t="str">
        <f t="shared" si="9"/>
        <v>Pipe &amp; Valves</v>
      </c>
      <c r="C26" s="4"/>
      <c r="D26" s="4"/>
      <c r="E26" s="20">
        <f>SUMIF('Income Statement Source'!$C:$C,'1.1 Adjusted Income Stmt'!$AR26,'Income Statement Source'!G:G)/1000</f>
        <v>7.9671899999999996</v>
      </c>
      <c r="F26" s="20">
        <f>SUMIF('Income Statement Source'!$C:$C,'1.1 Adjusted Income Stmt'!$AR26,'Income Statement Source'!H:H)/1000</f>
        <v>8.8068899999999992</v>
      </c>
      <c r="G26" s="20">
        <f>SUMIF('Income Statement Source'!$C:$C,'1.1 Adjusted Income Stmt'!$AR26,'Income Statement Source'!I:I)/1000</f>
        <v>12.743840000000001</v>
      </c>
      <c r="H26" s="20">
        <f>SUMIF('Income Statement Source'!$C:$C,'1.1 Adjusted Income Stmt'!$AR26,'Income Statement Source'!J:J)/1000</f>
        <v>9.6711900000000011</v>
      </c>
      <c r="I26" s="20">
        <f>SUMIF('Income Statement Source'!$C:$C,'1.1 Adjusted Income Stmt'!$AR26,'Income Statement Source'!K:K)/1000</f>
        <v>11.5685</v>
      </c>
      <c r="J26" s="20">
        <f>SUMIF('Income Statement Source'!$C:$C,'1.1 Adjusted Income Stmt'!$AR26,'Income Statement Source'!L:L)/1000</f>
        <v>15.43408</v>
      </c>
      <c r="K26" s="20">
        <f>SUMIF('Income Statement Source'!$C:$C,'1.1 Adjusted Income Stmt'!$AR26,'Income Statement Source'!M:M)/1000</f>
        <v>12.156750000000001</v>
      </c>
      <c r="L26" s="20">
        <f>SUMIF('Income Statement Source'!$C:$C,'1.1 Adjusted Income Stmt'!$AR26,'Income Statement Source'!N:N)/1000</f>
        <v>10.3325</v>
      </c>
      <c r="M26" s="20">
        <f>SUMIF('Income Statement Source'!$C:$C,'1.1 Adjusted Income Stmt'!$AR26,'Income Statement Source'!O:O)/1000</f>
        <v>14.539339999999999</v>
      </c>
      <c r="N26" s="20">
        <f>SUMIF('Income Statement Source'!$C:$C,'1.1 Adjusted Income Stmt'!$AR26,'Income Statement Source'!P:P)/1000</f>
        <v>11.060180000000001</v>
      </c>
      <c r="O26" s="20">
        <f>SUMIF('Income Statement Source'!$C:$C,'1.1 Adjusted Income Stmt'!$AR26,'Income Statement Source'!Q:Q)/1000</f>
        <v>9.2613099999999999</v>
      </c>
      <c r="P26" s="20">
        <f>SUMIF('Income Statement Source'!$C:$C,'1.1 Adjusted Income Stmt'!$AR26,'Income Statement Source'!R:R)/1000</f>
        <v>14.45518</v>
      </c>
      <c r="Q26" s="22">
        <f t="shared" si="10"/>
        <v>137.99695</v>
      </c>
      <c r="R26" s="20">
        <f>SUMIF('Income Statement Source'!$C:$C,'1.1 Adjusted Income Stmt'!$AR26,'Income Statement Source'!T:T)/1000</f>
        <v>10.53007</v>
      </c>
      <c r="S26" s="20">
        <f>SUMIF('Income Statement Source'!$C:$C,'1.1 Adjusted Income Stmt'!$AR26,'Income Statement Source'!U:U)/1000</f>
        <v>14.370850000000001</v>
      </c>
      <c r="T26" s="20">
        <f>SUMIF('Income Statement Source'!$C:$C,'1.1 Adjusted Income Stmt'!$AR26,'Income Statement Source'!V:V)/1000</f>
        <v>19.52075</v>
      </c>
      <c r="U26" s="20">
        <f>SUMIF('Income Statement Source'!$C:$C,'1.1 Adjusted Income Stmt'!$AR26,'Income Statement Source'!W:W)/1000</f>
        <v>18.57891</v>
      </c>
      <c r="V26" s="20">
        <f>SUMIF('Income Statement Source'!$C:$C,'1.1 Adjusted Income Stmt'!$AR26,'Income Statement Source'!X:X)/1000</f>
        <v>19.334700000000002</v>
      </c>
      <c r="W26" s="20">
        <f>SUMIF('Income Statement Source'!$C:$C,'1.1 Adjusted Income Stmt'!$AR26,'Income Statement Source'!Y:Y)/1000</f>
        <v>24.458549999999999</v>
      </c>
      <c r="X26" s="20">
        <f>SUMIF('Income Statement Source'!$C:$C,'1.1 Adjusted Income Stmt'!$AR26,'Income Statement Source'!Z:Z)/1000</f>
        <v>18.698520000000002</v>
      </c>
      <c r="Y26" s="20">
        <f>SUMIF('Income Statement Source'!$C:$C,'1.1 Adjusted Income Stmt'!$AR26,'Income Statement Source'!AA:AA)/1000</f>
        <v>19.93018</v>
      </c>
      <c r="Z26" s="20">
        <f>SUMIF('Income Statement Source'!$C:$C,'1.1 Adjusted Income Stmt'!$AR26,'Income Statement Source'!AB:AB)/1000</f>
        <v>23.223310000000001</v>
      </c>
      <c r="AA26" s="20">
        <f>SUMIF('Income Statement Source'!$C:$C,'1.1 Adjusted Income Stmt'!$AR26,'Income Statement Source'!AC:AC)/1000</f>
        <v>16.76829</v>
      </c>
      <c r="AB26" s="20">
        <f>SUMIF('Income Statement Source'!$C:$C,'1.1 Adjusted Income Stmt'!$AR26,'Income Statement Source'!AD:AD)/1000</f>
        <v>14.90274</v>
      </c>
      <c r="AC26" s="20">
        <f>SUMIF('Income Statement Source'!$C:$C,'1.1 Adjusted Income Stmt'!$AR26,'Income Statement Source'!AE:AE)/1000</f>
        <v>22.127839999999999</v>
      </c>
      <c r="AD26" s="22">
        <f t="shared" si="11"/>
        <v>222.44470999999999</v>
      </c>
      <c r="AE26" s="20">
        <f>SUMIF('Income Statement Source'!$C:$C,'1.1 Adjusted Income Stmt'!$AR26,'Income Statement Source'!AG:AG)/1000</f>
        <v>8.4188999999999989</v>
      </c>
      <c r="AF26" s="20">
        <f>SUMIF('Income Statement Source'!$C:$C,'1.1 Adjusted Income Stmt'!$AR26,'Income Statement Source'!AH:AH)/1000</f>
        <v>12.34643</v>
      </c>
      <c r="AG26" s="20">
        <f>SUMIF('Income Statement Source'!$C:$C,'1.1 Adjusted Income Stmt'!$AR26,'Income Statement Source'!AI:AI)/1000</f>
        <v>13.755940000000001</v>
      </c>
      <c r="AH26" s="20">
        <f>SUMIF('Income Statement Source'!$C:$C,'1.1 Adjusted Income Stmt'!$AR26,'Income Statement Source'!AJ:AJ)/1000</f>
        <v>15.267910000000001</v>
      </c>
      <c r="AI26" s="20">
        <f>SUMIF('Income Statement Source'!$C:$C,'1.1 Adjusted Income Stmt'!$AR26,'Income Statement Source'!AK:AK)/1000</f>
        <v>14.836589999999999</v>
      </c>
      <c r="AJ26" s="20">
        <f>SUMIF('Income Statement Source'!$C:$C,'1.1 Adjusted Income Stmt'!$AR26,'Income Statement Source'!AL:AL)/1000</f>
        <v>17.905639999999998</v>
      </c>
      <c r="AK26" s="20">
        <f>SUMIF('Income Statement Source'!$C:$C,'1.1 Adjusted Income Stmt'!$AR26,'Income Statement Source'!AM:AM)/1000</f>
        <v>16.298400000000001</v>
      </c>
      <c r="AL26" s="20">
        <f>SUMIF('Income Statement Source'!$C:$C,'1.1 Adjusted Income Stmt'!$AR26,'Income Statement Source'!AN:AN)/1000</f>
        <v>13.113370000000002</v>
      </c>
      <c r="AM26" s="20">
        <f>SUMIF('Income Statement Source'!$C:$C,'1.1 Adjusted Income Stmt'!$AR26,'Income Statement Source'!AO:AO)/1000</f>
        <v>18.264500000000002</v>
      </c>
      <c r="AN26" s="20">
        <f>SUMIF('Income Statement Source'!$C:$C,'1.1 Adjusted Income Stmt'!$AR26,'Income Statement Source'!AP:AP)/1000</f>
        <v>13.09253</v>
      </c>
      <c r="AO26" s="22">
        <f t="shared" si="12"/>
        <v>143.30021000000002</v>
      </c>
      <c r="AP26" s="22">
        <f t="shared" si="13"/>
        <v>180.33079000000001</v>
      </c>
      <c r="AR26" s="34" t="s">
        <v>16</v>
      </c>
    </row>
    <row r="27" spans="2:44" s="34" customFormat="1" hidden="1" outlineLevel="1" x14ac:dyDescent="0.2">
      <c r="B27" s="30" t="str">
        <f t="shared" si="9"/>
        <v>Wire &amp; Cable</v>
      </c>
      <c r="C27" s="4"/>
      <c r="D27" s="4"/>
      <c r="E27" s="20">
        <f>SUMIF('Income Statement Source'!$C:$C,'1.1 Adjusted Income Stmt'!$AR27,'Income Statement Source'!G:G)/1000</f>
        <v>3.6096200000000001</v>
      </c>
      <c r="F27" s="20">
        <f>SUMIF('Income Statement Source'!$C:$C,'1.1 Adjusted Income Stmt'!$AR27,'Income Statement Source'!H:H)/1000</f>
        <v>4.3716099999999996</v>
      </c>
      <c r="G27" s="20">
        <f>SUMIF('Income Statement Source'!$C:$C,'1.1 Adjusted Income Stmt'!$AR27,'Income Statement Source'!I:I)/1000</f>
        <v>6.68513</v>
      </c>
      <c r="H27" s="20">
        <f>SUMIF('Income Statement Source'!$C:$C,'1.1 Adjusted Income Stmt'!$AR27,'Income Statement Source'!J:J)/1000</f>
        <v>5.4978899999999999</v>
      </c>
      <c r="I27" s="20">
        <f>SUMIF('Income Statement Source'!$C:$C,'1.1 Adjusted Income Stmt'!$AR27,'Income Statement Source'!K:K)/1000</f>
        <v>5.8976899999999999</v>
      </c>
      <c r="J27" s="20">
        <f>SUMIF('Income Statement Source'!$C:$C,'1.1 Adjusted Income Stmt'!$AR27,'Income Statement Source'!L:L)/1000</f>
        <v>6.9385500000000002</v>
      </c>
      <c r="K27" s="20">
        <f>SUMIF('Income Statement Source'!$C:$C,'1.1 Adjusted Income Stmt'!$AR27,'Income Statement Source'!M:M)/1000</f>
        <v>5.7891700000000004</v>
      </c>
      <c r="L27" s="20">
        <f>SUMIF('Income Statement Source'!$C:$C,'1.1 Adjusted Income Stmt'!$AR27,'Income Statement Source'!N:N)/1000</f>
        <v>5.8780200000000002</v>
      </c>
      <c r="M27" s="20">
        <f>SUMIF('Income Statement Source'!$C:$C,'1.1 Adjusted Income Stmt'!$AR27,'Income Statement Source'!O:O)/1000</f>
        <v>7.06928</v>
      </c>
      <c r="N27" s="20">
        <f>SUMIF('Income Statement Source'!$C:$C,'1.1 Adjusted Income Stmt'!$AR27,'Income Statement Source'!P:P)/1000</f>
        <v>5.6594300000000004</v>
      </c>
      <c r="O27" s="20">
        <f>SUMIF('Income Statement Source'!$C:$C,'1.1 Adjusted Income Stmt'!$AR27,'Income Statement Source'!Q:Q)/1000</f>
        <v>4.3896699999999997</v>
      </c>
      <c r="P27" s="20">
        <f>SUMIF('Income Statement Source'!$C:$C,'1.1 Adjusted Income Stmt'!$AR27,'Income Statement Source'!R:R)/1000</f>
        <v>6.4723500000000005</v>
      </c>
      <c r="Q27" s="22">
        <f t="shared" si="10"/>
        <v>68.258410000000012</v>
      </c>
      <c r="R27" s="20">
        <f>SUMIF('Income Statement Source'!$C:$C,'1.1 Adjusted Income Stmt'!$AR27,'Income Statement Source'!T:T)/1000</f>
        <v>3.9005199999999998</v>
      </c>
      <c r="S27" s="20">
        <f>SUMIF('Income Statement Source'!$C:$C,'1.1 Adjusted Income Stmt'!$AR27,'Income Statement Source'!U:U)/1000</f>
        <v>5.5373999999999999</v>
      </c>
      <c r="T27" s="20">
        <f>SUMIF('Income Statement Source'!$C:$C,'1.1 Adjusted Income Stmt'!$AR27,'Income Statement Source'!V:V)/1000</f>
        <v>7.3153699999999997</v>
      </c>
      <c r="U27" s="20">
        <f>SUMIF('Income Statement Source'!$C:$C,'1.1 Adjusted Income Stmt'!$AR27,'Income Statement Source'!W:W)/1000</f>
        <v>6.3195299999999994</v>
      </c>
      <c r="V27" s="20">
        <f>SUMIF('Income Statement Source'!$C:$C,'1.1 Adjusted Income Stmt'!$AR27,'Income Statement Source'!X:X)/1000</f>
        <v>6.8754900000000001</v>
      </c>
      <c r="W27" s="20">
        <f>SUMIF('Income Statement Source'!$C:$C,'1.1 Adjusted Income Stmt'!$AR27,'Income Statement Source'!Y:Y)/1000</f>
        <v>8.4700199999999999</v>
      </c>
      <c r="X27" s="20">
        <f>SUMIF('Income Statement Source'!$C:$C,'1.1 Adjusted Income Stmt'!$AR27,'Income Statement Source'!Z:Z)/1000</f>
        <v>7.0484600000000004</v>
      </c>
      <c r="Y27" s="20">
        <f>SUMIF('Income Statement Source'!$C:$C,'1.1 Adjusted Income Stmt'!$AR27,'Income Statement Source'!AA:AA)/1000</f>
        <v>7.0827499999999999</v>
      </c>
      <c r="Z27" s="20">
        <f>SUMIF('Income Statement Source'!$C:$C,'1.1 Adjusted Income Stmt'!$AR27,'Income Statement Source'!AB:AB)/1000</f>
        <v>8.29786</v>
      </c>
      <c r="AA27" s="20">
        <f>SUMIF('Income Statement Source'!$C:$C,'1.1 Adjusted Income Stmt'!$AR27,'Income Statement Source'!AC:AC)/1000</f>
        <v>5.7045699999999995</v>
      </c>
      <c r="AB27" s="20">
        <f>SUMIF('Income Statement Source'!$C:$C,'1.1 Adjusted Income Stmt'!$AR27,'Income Statement Source'!AD:AD)/1000</f>
        <v>5.9588299999999998</v>
      </c>
      <c r="AC27" s="20">
        <f>SUMIF('Income Statement Source'!$C:$C,'1.1 Adjusted Income Stmt'!$AR27,'Income Statement Source'!AE:AE)/1000</f>
        <v>7.2056499999999994</v>
      </c>
      <c r="AD27" s="22">
        <f t="shared" si="11"/>
        <v>79.716450000000009</v>
      </c>
      <c r="AE27" s="20">
        <f>SUMIF('Income Statement Source'!$C:$C,'1.1 Adjusted Income Stmt'!$AR27,'Income Statement Source'!AG:AG)/1000</f>
        <v>3.9862299999999999</v>
      </c>
      <c r="AF27" s="20">
        <f>SUMIF('Income Statement Source'!$C:$C,'1.1 Adjusted Income Stmt'!$AR27,'Income Statement Source'!AH:AH)/1000</f>
        <v>5.2044700000000006</v>
      </c>
      <c r="AG27" s="20">
        <f>SUMIF('Income Statement Source'!$C:$C,'1.1 Adjusted Income Stmt'!$AR27,'Income Statement Source'!AI:AI)/1000</f>
        <v>7.5987600000000004</v>
      </c>
      <c r="AH27" s="20">
        <f>SUMIF('Income Statement Source'!$C:$C,'1.1 Adjusted Income Stmt'!$AR27,'Income Statement Source'!AJ:AJ)/1000</f>
        <v>6.6301800000000002</v>
      </c>
      <c r="AI27" s="20">
        <f>SUMIF('Income Statement Source'!$C:$C,'1.1 Adjusted Income Stmt'!$AR27,'Income Statement Source'!AK:AK)/1000</f>
        <v>6.6855900000000004</v>
      </c>
      <c r="AJ27" s="20">
        <f>SUMIF('Income Statement Source'!$C:$C,'1.1 Adjusted Income Stmt'!$AR27,'Income Statement Source'!AL:AL)/1000</f>
        <v>8.7537900000000004</v>
      </c>
      <c r="AK27" s="20">
        <f>SUMIF('Income Statement Source'!$C:$C,'1.1 Adjusted Income Stmt'!$AR27,'Income Statement Source'!AM:AM)/1000</f>
        <v>7.4525299999999994</v>
      </c>
      <c r="AL27" s="20">
        <f>SUMIF('Income Statement Source'!$C:$C,'1.1 Adjusted Income Stmt'!$AR27,'Income Statement Source'!AN:AN)/1000</f>
        <v>7.2325600000000003</v>
      </c>
      <c r="AM27" s="20">
        <f>SUMIF('Income Statement Source'!$C:$C,'1.1 Adjusted Income Stmt'!$AR27,'Income Statement Source'!AO:AO)/1000</f>
        <v>9.1183899999999998</v>
      </c>
      <c r="AN27" s="20">
        <f>SUMIF('Income Statement Source'!$C:$C,'1.1 Adjusted Income Stmt'!$AR27,'Income Statement Source'!AP:AP)/1000</f>
        <v>6.3555200000000003</v>
      </c>
      <c r="AO27" s="22">
        <f t="shared" si="12"/>
        <v>69.018019999999993</v>
      </c>
      <c r="AP27" s="22">
        <f t="shared" si="13"/>
        <v>82.182500000000005</v>
      </c>
      <c r="AR27" s="34" t="s">
        <v>17</v>
      </c>
    </row>
    <row r="28" spans="2:44" s="34" customFormat="1" hidden="1" outlineLevel="1" x14ac:dyDescent="0.2">
      <c r="B28" s="30" t="str">
        <f t="shared" si="9"/>
        <v>Equipment Rental</v>
      </c>
      <c r="C28" s="4"/>
      <c r="D28" s="4"/>
      <c r="E28" s="20">
        <f>SUMIF('Income Statement Source'!$C:$C,'1.1 Adjusted Income Stmt'!$AR28,'Income Statement Source'!G:G)/1000</f>
        <v>2.5184799999999998</v>
      </c>
      <c r="F28" s="20">
        <f>SUMIF('Income Statement Source'!$C:$C,'1.1 Adjusted Income Stmt'!$AR28,'Income Statement Source'!H:H)/1000</f>
        <v>3.5847899999999999</v>
      </c>
      <c r="G28" s="20">
        <f>SUMIF('Income Statement Source'!$C:$C,'1.1 Adjusted Income Stmt'!$AR28,'Income Statement Source'!I:I)/1000</f>
        <v>4.5514399999999995</v>
      </c>
      <c r="H28" s="20">
        <f>SUMIF('Income Statement Source'!$C:$C,'1.1 Adjusted Income Stmt'!$AR28,'Income Statement Source'!J:J)/1000</f>
        <v>3.66865</v>
      </c>
      <c r="I28" s="20">
        <f>SUMIF('Income Statement Source'!$C:$C,'1.1 Adjusted Income Stmt'!$AR28,'Income Statement Source'!K:K)/1000</f>
        <v>4.0261300000000002</v>
      </c>
      <c r="J28" s="20">
        <f>SUMIF('Income Statement Source'!$C:$C,'1.1 Adjusted Income Stmt'!$AR28,'Income Statement Source'!L:L)/1000</f>
        <v>5.8151700000000002</v>
      </c>
      <c r="K28" s="20">
        <f>SUMIF('Income Statement Source'!$C:$C,'1.1 Adjusted Income Stmt'!$AR28,'Income Statement Source'!M:M)/1000</f>
        <v>4.3383900000000004</v>
      </c>
      <c r="L28" s="20">
        <f>SUMIF('Income Statement Source'!$C:$C,'1.1 Adjusted Income Stmt'!$AR28,'Income Statement Source'!N:N)/1000</f>
        <v>4.1257999999999999</v>
      </c>
      <c r="M28" s="20">
        <f>SUMIF('Income Statement Source'!$C:$C,'1.1 Adjusted Income Stmt'!$AR28,'Income Statement Source'!O:O)/1000</f>
        <v>4.8658599999999996</v>
      </c>
      <c r="N28" s="20">
        <f>SUMIF('Income Statement Source'!$C:$C,'1.1 Adjusted Income Stmt'!$AR28,'Income Statement Source'!P:P)/1000</f>
        <v>3.6313</v>
      </c>
      <c r="O28" s="20">
        <f>SUMIF('Income Statement Source'!$C:$C,'1.1 Adjusted Income Stmt'!$AR28,'Income Statement Source'!Q:Q)/1000</f>
        <v>3.5750600000000001</v>
      </c>
      <c r="P28" s="20">
        <f>SUMIF('Income Statement Source'!$C:$C,'1.1 Adjusted Income Stmt'!$AR28,'Income Statement Source'!R:R)/1000</f>
        <v>4.7867100000000002</v>
      </c>
      <c r="Q28" s="22">
        <f t="shared" si="10"/>
        <v>49.487780000000001</v>
      </c>
      <c r="R28" s="20">
        <f>SUMIF('Income Statement Source'!$C:$C,'1.1 Adjusted Income Stmt'!$AR28,'Income Statement Source'!T:T)/1000</f>
        <v>3.6815700000000002</v>
      </c>
      <c r="S28" s="20">
        <f>SUMIF('Income Statement Source'!$C:$C,'1.1 Adjusted Income Stmt'!$AR28,'Income Statement Source'!U:U)/1000</f>
        <v>4.7085100000000004</v>
      </c>
      <c r="T28" s="20">
        <f>SUMIF('Income Statement Source'!$C:$C,'1.1 Adjusted Income Stmt'!$AR28,'Income Statement Source'!V:V)/1000</f>
        <v>7.0259399999999994</v>
      </c>
      <c r="U28" s="20">
        <f>SUMIF('Income Statement Source'!$C:$C,'1.1 Adjusted Income Stmt'!$AR28,'Income Statement Source'!W:W)/1000</f>
        <v>5.9187500000000002</v>
      </c>
      <c r="V28" s="20">
        <f>SUMIF('Income Statement Source'!$C:$C,'1.1 Adjusted Income Stmt'!$AR28,'Income Statement Source'!X:X)/1000</f>
        <v>7.0408200000000001</v>
      </c>
      <c r="W28" s="20">
        <f>SUMIF('Income Statement Source'!$C:$C,'1.1 Adjusted Income Stmt'!$AR28,'Income Statement Source'!Y:Y)/1000</f>
        <v>8.5192300000000003</v>
      </c>
      <c r="X28" s="20">
        <f>SUMIF('Income Statement Source'!$C:$C,'1.1 Adjusted Income Stmt'!$AR28,'Income Statement Source'!Z:Z)/1000</f>
        <v>7.5467700000000004</v>
      </c>
      <c r="Y28" s="20">
        <f>SUMIF('Income Statement Source'!$C:$C,'1.1 Adjusted Income Stmt'!$AR28,'Income Statement Source'!AA:AA)/1000</f>
        <v>7.5880799999999997</v>
      </c>
      <c r="Z28" s="20">
        <f>SUMIF('Income Statement Source'!$C:$C,'1.1 Adjusted Income Stmt'!$AR28,'Income Statement Source'!AB:AB)/1000</f>
        <v>8.7548200000000005</v>
      </c>
      <c r="AA28" s="20">
        <f>SUMIF('Income Statement Source'!$C:$C,'1.1 Adjusted Income Stmt'!$AR28,'Income Statement Source'!AC:AC)/1000</f>
        <v>5.4428299999999998</v>
      </c>
      <c r="AB28" s="20">
        <f>SUMIF('Income Statement Source'!$C:$C,'1.1 Adjusted Income Stmt'!$AR28,'Income Statement Source'!AD:AD)/1000</f>
        <v>5.2739799999999999</v>
      </c>
      <c r="AC28" s="20">
        <f>SUMIF('Income Statement Source'!$C:$C,'1.1 Adjusted Income Stmt'!$AR28,'Income Statement Source'!AE:AE)/1000</f>
        <v>7.3941800000000004</v>
      </c>
      <c r="AD28" s="22">
        <f t="shared" si="11"/>
        <v>78.895479999999992</v>
      </c>
      <c r="AE28" s="20">
        <f>SUMIF('Income Statement Source'!$C:$C,'1.1 Adjusted Income Stmt'!$AR28,'Income Statement Source'!AG:AG)/1000</f>
        <v>3.3490600000000001</v>
      </c>
      <c r="AF28" s="20">
        <f>SUMIF('Income Statement Source'!$C:$C,'1.1 Adjusted Income Stmt'!$AR28,'Income Statement Source'!AH:AH)/1000</f>
        <v>4.5816400000000002</v>
      </c>
      <c r="AG28" s="20">
        <f>SUMIF('Income Statement Source'!$C:$C,'1.1 Adjusted Income Stmt'!$AR28,'Income Statement Source'!AI:AI)/1000</f>
        <v>5.9290200000000004</v>
      </c>
      <c r="AH28" s="20">
        <f>SUMIF('Income Statement Source'!$C:$C,'1.1 Adjusted Income Stmt'!$AR28,'Income Statement Source'!AJ:AJ)/1000</f>
        <v>4.93635</v>
      </c>
      <c r="AI28" s="20">
        <f>SUMIF('Income Statement Source'!$C:$C,'1.1 Adjusted Income Stmt'!$AR28,'Income Statement Source'!AK:AK)/1000</f>
        <v>5.56752</v>
      </c>
      <c r="AJ28" s="20">
        <f>SUMIF('Income Statement Source'!$C:$C,'1.1 Adjusted Income Stmt'!$AR28,'Income Statement Source'!AL:AL)/1000</f>
        <v>7.0590200000000003</v>
      </c>
      <c r="AK28" s="20">
        <f>SUMIF('Income Statement Source'!$C:$C,'1.1 Adjusted Income Stmt'!$AR28,'Income Statement Source'!AM:AM)/1000</f>
        <v>5.6539599999999997</v>
      </c>
      <c r="AL28" s="20">
        <f>SUMIF('Income Statement Source'!$C:$C,'1.1 Adjusted Income Stmt'!$AR28,'Income Statement Source'!AN:AN)/1000</f>
        <v>5.9573900000000002</v>
      </c>
      <c r="AM28" s="20">
        <f>SUMIF('Income Statement Source'!$C:$C,'1.1 Adjusted Income Stmt'!$AR28,'Income Statement Source'!AO:AO)/1000</f>
        <v>5.7922600000000006</v>
      </c>
      <c r="AN28" s="20">
        <f>SUMIF('Income Statement Source'!$C:$C,'1.1 Adjusted Income Stmt'!$AR28,'Income Statement Source'!AP:AP)/1000</f>
        <v>5.5382100000000003</v>
      </c>
      <c r="AO28" s="22">
        <f t="shared" si="12"/>
        <v>54.364430000000006</v>
      </c>
      <c r="AP28" s="22">
        <f t="shared" si="13"/>
        <v>67.032590000000013</v>
      </c>
      <c r="AR28" s="34" t="s">
        <v>18</v>
      </c>
    </row>
    <row r="29" spans="2:44" s="34" customFormat="1" hidden="1" outlineLevel="1" x14ac:dyDescent="0.2">
      <c r="B29" s="30" t="str">
        <f t="shared" si="9"/>
        <v>Job Supplies &amp; Consumables</v>
      </c>
      <c r="C29" s="4"/>
      <c r="D29" s="4"/>
      <c r="E29" s="31">
        <f>SUMIF('Income Statement Source'!$C:$C,'1.1 Adjusted Income Stmt'!$AR29,'Income Statement Source'!G:G)/1000</f>
        <v>1.57881</v>
      </c>
      <c r="F29" s="31">
        <f>SUMIF('Income Statement Source'!$C:$C,'1.1 Adjusted Income Stmt'!$AR29,'Income Statement Source'!H:H)/1000</f>
        <v>1.7511099999999999</v>
      </c>
      <c r="G29" s="31">
        <f>SUMIF('Income Statement Source'!$C:$C,'1.1 Adjusted Income Stmt'!$AR29,'Income Statement Source'!I:I)/1000</f>
        <v>2.3914899999999997</v>
      </c>
      <c r="H29" s="31">
        <f>SUMIF('Income Statement Source'!$C:$C,'1.1 Adjusted Income Stmt'!$AR29,'Income Statement Source'!J:J)/1000</f>
        <v>2.0725899999999999</v>
      </c>
      <c r="I29" s="31">
        <f>SUMIF('Income Statement Source'!$C:$C,'1.1 Adjusted Income Stmt'!$AR29,'Income Statement Source'!K:K)/1000</f>
        <v>2.12019</v>
      </c>
      <c r="J29" s="31">
        <f>SUMIF('Income Statement Source'!$C:$C,'1.1 Adjusted Income Stmt'!$AR29,'Income Statement Source'!L:L)/1000</f>
        <v>2.9964</v>
      </c>
      <c r="K29" s="31">
        <f>SUMIF('Income Statement Source'!$C:$C,'1.1 Adjusted Income Stmt'!$AR29,'Income Statement Source'!M:M)/1000</f>
        <v>2.2410300000000003</v>
      </c>
      <c r="L29" s="31">
        <f>SUMIF('Income Statement Source'!$C:$C,'1.1 Adjusted Income Stmt'!$AR29,'Income Statement Source'!N:N)/1000</f>
        <v>2.0353699999999999</v>
      </c>
      <c r="M29" s="31">
        <f>SUMIF('Income Statement Source'!$C:$C,'1.1 Adjusted Income Stmt'!$AR29,'Income Statement Source'!O:O)/1000</f>
        <v>2.9404400000000002</v>
      </c>
      <c r="N29" s="31">
        <f>SUMIF('Income Statement Source'!$C:$C,'1.1 Adjusted Income Stmt'!$AR29,'Income Statement Source'!P:P)/1000</f>
        <v>2.0836100000000002</v>
      </c>
      <c r="O29" s="31">
        <f>SUMIF('Income Statement Source'!$C:$C,'1.1 Adjusted Income Stmt'!$AR29,'Income Statement Source'!Q:Q)/1000</f>
        <v>1.78521</v>
      </c>
      <c r="P29" s="31">
        <f>SUMIF('Income Statement Source'!$C:$C,'1.1 Adjusted Income Stmt'!$AR29,'Income Statement Source'!R:R)/1000</f>
        <v>2.88374</v>
      </c>
      <c r="Q29" s="32">
        <f t="shared" si="10"/>
        <v>26.879989999999996</v>
      </c>
      <c r="R29" s="31">
        <f>SUMIF('Income Statement Source'!$C:$C,'1.1 Adjusted Income Stmt'!$AR29,'Income Statement Source'!T:T)/1000</f>
        <v>1.55321</v>
      </c>
      <c r="S29" s="31">
        <f>SUMIF('Income Statement Source'!$C:$C,'1.1 Adjusted Income Stmt'!$AR29,'Income Statement Source'!U:U)/1000</f>
        <v>1.96974</v>
      </c>
      <c r="T29" s="31">
        <f>SUMIF('Income Statement Source'!$C:$C,'1.1 Adjusted Income Stmt'!$AR29,'Income Statement Source'!V:V)/1000</f>
        <v>3.0229400000000002</v>
      </c>
      <c r="U29" s="31">
        <f>SUMIF('Income Statement Source'!$C:$C,'1.1 Adjusted Income Stmt'!$AR29,'Income Statement Source'!W:W)/1000</f>
        <v>2.5250900000000001</v>
      </c>
      <c r="V29" s="31">
        <f>SUMIF('Income Statement Source'!$C:$C,'1.1 Adjusted Income Stmt'!$AR29,'Income Statement Source'!X:X)/1000</f>
        <v>2.7115999999999998</v>
      </c>
      <c r="W29" s="31">
        <f>SUMIF('Income Statement Source'!$C:$C,'1.1 Adjusted Income Stmt'!$AR29,'Income Statement Source'!Y:Y)/1000</f>
        <v>3.5038</v>
      </c>
      <c r="X29" s="31">
        <f>SUMIF('Income Statement Source'!$C:$C,'1.1 Adjusted Income Stmt'!$AR29,'Income Statement Source'!Z:Z)/1000</f>
        <v>3.1927300000000001</v>
      </c>
      <c r="Y29" s="31">
        <f>SUMIF('Income Statement Source'!$C:$C,'1.1 Adjusted Income Stmt'!$AR29,'Income Statement Source'!AA:AA)/1000</f>
        <v>3.0058400000000001</v>
      </c>
      <c r="Z29" s="31">
        <f>SUMIF('Income Statement Source'!$C:$C,'1.1 Adjusted Income Stmt'!$AR29,'Income Statement Source'!AB:AB)/1000</f>
        <v>2.9253100000000001</v>
      </c>
      <c r="AA29" s="31">
        <f>SUMIF('Income Statement Source'!$C:$C,'1.1 Adjusted Income Stmt'!$AR29,'Income Statement Source'!AC:AC)/1000</f>
        <v>2.5011900000000002</v>
      </c>
      <c r="AB29" s="31">
        <f>SUMIF('Income Statement Source'!$C:$C,'1.1 Adjusted Income Stmt'!$AR29,'Income Statement Source'!AD:AD)/1000</f>
        <v>2.4629299999999996</v>
      </c>
      <c r="AC29" s="31">
        <f>SUMIF('Income Statement Source'!$C:$C,'1.1 Adjusted Income Stmt'!$AR29,'Income Statement Source'!AE:AE)/1000</f>
        <v>3.1719499999999998</v>
      </c>
      <c r="AD29" s="32">
        <f t="shared" si="11"/>
        <v>32.546329999999998</v>
      </c>
      <c r="AE29" s="31">
        <f>SUMIF('Income Statement Source'!$C:$C,'1.1 Adjusted Income Stmt'!$AR29,'Income Statement Source'!AG:AG)/1000</f>
        <v>1.65568</v>
      </c>
      <c r="AF29" s="31">
        <f>SUMIF('Income Statement Source'!$C:$C,'1.1 Adjusted Income Stmt'!$AR29,'Income Statement Source'!AH:AH)/1000</f>
        <v>2.4307699999999999</v>
      </c>
      <c r="AG29" s="31">
        <f>SUMIF('Income Statement Source'!$C:$C,'1.1 Adjusted Income Stmt'!$AR29,'Income Statement Source'!AI:AI)/1000</f>
        <v>3.3536999999999999</v>
      </c>
      <c r="AH29" s="31">
        <f>SUMIF('Income Statement Source'!$C:$C,'1.1 Adjusted Income Stmt'!$AR29,'Income Statement Source'!AJ:AJ)/1000</f>
        <v>3.0686</v>
      </c>
      <c r="AI29" s="31">
        <f>SUMIF('Income Statement Source'!$C:$C,'1.1 Adjusted Income Stmt'!$AR29,'Income Statement Source'!AK:AK)/1000</f>
        <v>2.59056</v>
      </c>
      <c r="AJ29" s="31">
        <f>SUMIF('Income Statement Source'!$C:$C,'1.1 Adjusted Income Stmt'!$AR29,'Income Statement Source'!AL:AL)/1000</f>
        <v>3.63916</v>
      </c>
      <c r="AK29" s="31">
        <f>SUMIF('Income Statement Source'!$C:$C,'1.1 Adjusted Income Stmt'!$AR29,'Income Statement Source'!AM:AM)/1000</f>
        <v>3.0856300000000001</v>
      </c>
      <c r="AL29" s="31">
        <f>SUMIF('Income Statement Source'!$C:$C,'1.1 Adjusted Income Stmt'!$AR29,'Income Statement Source'!AN:AN)/1000</f>
        <v>2.85981</v>
      </c>
      <c r="AM29" s="31">
        <f>SUMIF('Income Statement Source'!$C:$C,'1.1 Adjusted Income Stmt'!$AR29,'Income Statement Source'!AO:AO)/1000</f>
        <v>3.8018299999999998</v>
      </c>
      <c r="AN29" s="31">
        <f>SUMIF('Income Statement Source'!$C:$C,'1.1 Adjusted Income Stmt'!$AR29,'Income Statement Source'!AP:AP)/1000</f>
        <v>2.8854799999999998</v>
      </c>
      <c r="AO29" s="32">
        <f t="shared" si="12"/>
        <v>29.371220000000001</v>
      </c>
      <c r="AP29" s="32">
        <f t="shared" si="13"/>
        <v>35.006100000000004</v>
      </c>
      <c r="AR29" s="34" t="s">
        <v>20</v>
      </c>
    </row>
    <row r="30" spans="2:44" collapsed="1" x14ac:dyDescent="0.2">
      <c r="B30" s="27" t="str">
        <f>+B23</f>
        <v>Materials &amp; Equipment</v>
      </c>
      <c r="C30" s="10"/>
      <c r="D30" s="10"/>
      <c r="E30" s="19">
        <f>SUM(E24:E29)</f>
        <v>49.014600000000002</v>
      </c>
      <c r="F30" s="19">
        <f t="shared" ref="F30:AP30" si="14">SUM(F24:F29)</f>
        <v>60.378539999999994</v>
      </c>
      <c r="G30" s="19">
        <f t="shared" si="14"/>
        <v>82.904820000000001</v>
      </c>
      <c r="H30" s="19">
        <f t="shared" si="14"/>
        <v>67.484660000000005</v>
      </c>
      <c r="I30" s="19">
        <f t="shared" si="14"/>
        <v>71.138529999999989</v>
      </c>
      <c r="J30" s="19">
        <f t="shared" si="14"/>
        <v>94.72672</v>
      </c>
      <c r="K30" s="19">
        <f t="shared" si="14"/>
        <v>81.726690000000005</v>
      </c>
      <c r="L30" s="19">
        <f t="shared" si="14"/>
        <v>70.357960000000006</v>
      </c>
      <c r="M30" s="19">
        <f t="shared" si="14"/>
        <v>93.192139999999995</v>
      </c>
      <c r="N30" s="19">
        <f t="shared" si="14"/>
        <v>70.879050000000007</v>
      </c>
      <c r="O30" s="19">
        <f t="shared" si="14"/>
        <v>58.67877</v>
      </c>
      <c r="P30" s="19">
        <f t="shared" si="14"/>
        <v>88.390570000000011</v>
      </c>
      <c r="Q30" s="21">
        <f t="shared" si="14"/>
        <v>888.87305000000003</v>
      </c>
      <c r="R30" s="19">
        <f t="shared" si="14"/>
        <v>63.276530000000001</v>
      </c>
      <c r="S30" s="19">
        <f t="shared" si="14"/>
        <v>82.952240000000018</v>
      </c>
      <c r="T30" s="19">
        <f t="shared" si="14"/>
        <v>115.00371</v>
      </c>
      <c r="U30" s="19">
        <f t="shared" si="14"/>
        <v>101.60424</v>
      </c>
      <c r="V30" s="19">
        <f t="shared" si="14"/>
        <v>112.79057</v>
      </c>
      <c r="W30" s="19">
        <f t="shared" si="14"/>
        <v>131.64042000000001</v>
      </c>
      <c r="X30" s="19">
        <f t="shared" si="14"/>
        <v>112.08534</v>
      </c>
      <c r="Y30" s="19">
        <f t="shared" si="14"/>
        <v>122.62071000000002</v>
      </c>
      <c r="Z30" s="19">
        <f t="shared" si="14"/>
        <v>126.00940999999999</v>
      </c>
      <c r="AA30" s="19">
        <f t="shared" si="14"/>
        <v>100.04835000000001</v>
      </c>
      <c r="AB30" s="19">
        <f t="shared" si="14"/>
        <v>88.137259999999998</v>
      </c>
      <c r="AC30" s="19">
        <f t="shared" si="14"/>
        <v>125.07318000000001</v>
      </c>
      <c r="AD30" s="21">
        <f t="shared" si="14"/>
        <v>1281.2419599999998</v>
      </c>
      <c r="AE30" s="19">
        <f t="shared" si="14"/>
        <v>55.370399999999997</v>
      </c>
      <c r="AF30" s="19">
        <f t="shared" si="14"/>
        <v>74.603409999999997</v>
      </c>
      <c r="AG30" s="19">
        <f t="shared" si="14"/>
        <v>101.72338999999999</v>
      </c>
      <c r="AH30" s="19">
        <f t="shared" si="14"/>
        <v>91.445240000000013</v>
      </c>
      <c r="AI30" s="19">
        <f t="shared" si="14"/>
        <v>89.543340000000001</v>
      </c>
      <c r="AJ30" s="19">
        <f t="shared" si="14"/>
        <v>120.21947000000002</v>
      </c>
      <c r="AK30" s="19">
        <f t="shared" si="14"/>
        <v>101.34159</v>
      </c>
      <c r="AL30" s="19">
        <f t="shared" si="14"/>
        <v>95.354640000000003</v>
      </c>
      <c r="AM30" s="19">
        <f t="shared" si="14"/>
        <v>121.17269999999999</v>
      </c>
      <c r="AN30" s="19">
        <f t="shared" si="14"/>
        <v>88.716420000000014</v>
      </c>
      <c r="AO30" s="21">
        <f t="shared" si="14"/>
        <v>939.49060000000009</v>
      </c>
      <c r="AP30" s="21">
        <f t="shared" si="14"/>
        <v>1152.7010400000001</v>
      </c>
    </row>
    <row r="31" spans="2:44" x14ac:dyDescent="0.2">
      <c r="B31" s="28"/>
      <c r="C31" s="10"/>
      <c r="D31" s="10"/>
      <c r="E31" s="45">
        <f t="shared" ref="E31:AP31" si="15">IFERROR(E30/E$19,0)</f>
        <v>0.16363337064548963</v>
      </c>
      <c r="F31" s="45">
        <f t="shared" si="15"/>
        <v>0.2456173572533949</v>
      </c>
      <c r="G31" s="45">
        <f t="shared" si="15"/>
        <v>0.27976191576693177</v>
      </c>
      <c r="H31" s="45">
        <f t="shared" si="15"/>
        <v>0.41126719738479245</v>
      </c>
      <c r="I31" s="45">
        <f t="shared" si="15"/>
        <v>0.25685911620777674</v>
      </c>
      <c r="J31" s="45">
        <f t="shared" si="15"/>
        <v>0.2217937717184722</v>
      </c>
      <c r="K31" s="45">
        <f t="shared" si="15"/>
        <v>0.42944271786155186</v>
      </c>
      <c r="L31" s="45">
        <f t="shared" si="15"/>
        <v>0.28379804533356495</v>
      </c>
      <c r="M31" s="45">
        <f t="shared" si="15"/>
        <v>0.18914878580545913</v>
      </c>
      <c r="N31" s="45">
        <f t="shared" si="15"/>
        <v>0.36815499518571826</v>
      </c>
      <c r="O31" s="45">
        <f t="shared" si="15"/>
        <v>0.24065744160742775</v>
      </c>
      <c r="P31" s="45">
        <f t="shared" si="15"/>
        <v>0.2166731305090572</v>
      </c>
      <c r="Q31" s="46">
        <f t="shared" si="15"/>
        <v>0.25505281208202701</v>
      </c>
      <c r="R31" s="45">
        <f t="shared" si="15"/>
        <v>0.2434876774918098</v>
      </c>
      <c r="S31" s="45">
        <f t="shared" si="15"/>
        <v>0.28005159108170535</v>
      </c>
      <c r="T31" s="45">
        <f t="shared" si="15"/>
        <v>0.24559138349911955</v>
      </c>
      <c r="U31" s="45">
        <f t="shared" si="15"/>
        <v>0.44452940523368834</v>
      </c>
      <c r="V31" s="45">
        <f t="shared" si="15"/>
        <v>0.29441474723340533</v>
      </c>
      <c r="W31" s="45">
        <f t="shared" si="15"/>
        <v>0.25179727035305083</v>
      </c>
      <c r="X31" s="45">
        <f t="shared" si="15"/>
        <v>0.25480937790340186</v>
      </c>
      <c r="Y31" s="45">
        <f t="shared" si="15"/>
        <v>0.38875717155975958</v>
      </c>
      <c r="Z31" s="45">
        <f t="shared" si="15"/>
        <v>0.2573657040623003</v>
      </c>
      <c r="AA31" s="45">
        <f t="shared" si="15"/>
        <v>0.28740526066274436</v>
      </c>
      <c r="AB31" s="45">
        <f t="shared" si="15"/>
        <v>0.20815020558639766</v>
      </c>
      <c r="AC31" s="45">
        <f t="shared" si="15"/>
        <v>0.32453475353613032</v>
      </c>
      <c r="AD31" s="46">
        <f t="shared" si="15"/>
        <v>0.28093328818015811</v>
      </c>
      <c r="AE31" s="45">
        <f t="shared" si="15"/>
        <v>0.24534755331748764</v>
      </c>
      <c r="AF31" s="45">
        <f t="shared" si="15"/>
        <v>0.3300250112391287</v>
      </c>
      <c r="AG31" s="45">
        <f t="shared" si="15"/>
        <v>0.24934325332813004</v>
      </c>
      <c r="AH31" s="45">
        <f t="shared" si="15"/>
        <v>0.23129047261060523</v>
      </c>
      <c r="AI31" s="45">
        <f t="shared" si="15"/>
        <v>0.34053864264920225</v>
      </c>
      <c r="AJ31" s="45">
        <f t="shared" si="15"/>
        <v>0.29124674760362407</v>
      </c>
      <c r="AK31" s="45">
        <f t="shared" si="15"/>
        <v>0.30870124266153448</v>
      </c>
      <c r="AL31" s="45">
        <f t="shared" si="15"/>
        <v>0.25594059989026186</v>
      </c>
      <c r="AM31" s="45">
        <f t="shared" si="15"/>
        <v>0.36771953008370623</v>
      </c>
      <c r="AN31" s="45">
        <f t="shared" si="15"/>
        <v>0.22639652612001221</v>
      </c>
      <c r="AO31" s="46">
        <f t="shared" si="15"/>
        <v>0.28019163134330721</v>
      </c>
      <c r="AP31" s="46">
        <f t="shared" si="15"/>
        <v>0.27696828738445267</v>
      </c>
    </row>
    <row r="32" spans="2:44" hidden="1" outlineLevel="1" x14ac:dyDescent="0.2">
      <c r="B32" s="29" t="s">
        <v>91</v>
      </c>
      <c r="Q32" s="17"/>
      <c r="AD32" s="17"/>
      <c r="AO32" s="17"/>
      <c r="AP32" s="17"/>
    </row>
    <row r="33" spans="2:44" hidden="1" outlineLevel="1" x14ac:dyDescent="0.2">
      <c r="B33" s="30" t="str">
        <f>+AR33</f>
        <v>Sprinkler Subcontractor Labor</v>
      </c>
      <c r="E33" s="20">
        <f>SUMIF('Income Statement Source'!$C:$C,'1.1 Adjusted Income Stmt'!$AR33,'Income Statement Source'!G:G)/1000</f>
        <v>68.645579999999995</v>
      </c>
      <c r="F33" s="20">
        <f>SUMIF('Income Statement Source'!$C:$C,'1.1 Adjusted Income Stmt'!$AR33,'Income Statement Source'!H:H)/1000</f>
        <v>87.779169999999993</v>
      </c>
      <c r="G33" s="20">
        <f>SUMIF('Income Statement Source'!$C:$C,'1.1 Adjusted Income Stmt'!$AR33,'Income Statement Source'!I:I)/1000</f>
        <v>9.7035599999999995</v>
      </c>
      <c r="H33" s="20">
        <f>SUMIF('Income Statement Source'!$C:$C,'1.1 Adjusted Income Stmt'!$AR33,'Income Statement Source'!J:J)/1000</f>
        <v>53.700160000000004</v>
      </c>
      <c r="I33" s="20">
        <f>SUMIF('Income Statement Source'!$C:$C,'1.1 Adjusted Income Stmt'!$AR33,'Income Statement Source'!K:K)/1000</f>
        <v>60.771239999999999</v>
      </c>
      <c r="J33" s="20">
        <f>SUMIF('Income Statement Source'!$C:$C,'1.1 Adjusted Income Stmt'!$AR33,'Income Statement Source'!L:L)/1000</f>
        <v>148.81246999999999</v>
      </c>
      <c r="K33" s="20">
        <f>SUMIF('Income Statement Source'!$C:$C,'1.1 Adjusted Income Stmt'!$AR33,'Income Statement Source'!M:M)/1000</f>
        <v>9.9296900000000008</v>
      </c>
      <c r="L33" s="20">
        <f>SUMIF('Income Statement Source'!$C:$C,'1.1 Adjusted Income Stmt'!$AR33,'Income Statement Source'!N:N)/1000</f>
        <v>61.478739999999995</v>
      </c>
      <c r="M33" s="20">
        <f>SUMIF('Income Statement Source'!$C:$C,'1.1 Adjusted Income Stmt'!$AR33,'Income Statement Source'!O:O)/1000</f>
        <v>153.63807</v>
      </c>
      <c r="N33" s="20">
        <f>SUMIF('Income Statement Source'!$C:$C,'1.1 Adjusted Income Stmt'!$AR33,'Income Statement Source'!P:P)/1000</f>
        <v>8.6542499999999993</v>
      </c>
      <c r="O33" s="20">
        <f>SUMIF('Income Statement Source'!$C:$C,'1.1 Adjusted Income Stmt'!$AR33,'Income Statement Source'!Q:Q)/1000</f>
        <v>51.544899999999998</v>
      </c>
      <c r="P33" s="20">
        <f>SUMIF('Income Statement Source'!$C:$C,'1.1 Adjusted Income Stmt'!$AR33,'Income Statement Source'!R:R)/1000</f>
        <v>70.200149999999994</v>
      </c>
      <c r="Q33" s="22">
        <f>SUM(E33:P33)</f>
        <v>784.85798000000011</v>
      </c>
      <c r="R33" s="20">
        <f>SUMIF('Income Statement Source'!$C:$C,'1.1 Adjusted Income Stmt'!$AR33,'Income Statement Source'!T:T)/1000</f>
        <v>63.853499999999997</v>
      </c>
      <c r="S33" s="20">
        <f>SUMIF('Income Statement Source'!$C:$C,'1.1 Adjusted Income Stmt'!$AR33,'Income Statement Source'!U:U)/1000</f>
        <v>79.892859999999999</v>
      </c>
      <c r="T33" s="20">
        <f>SUMIF('Income Statement Source'!$C:$C,'1.1 Adjusted Income Stmt'!$AR33,'Income Statement Source'!V:V)/1000</f>
        <v>191.93298999999999</v>
      </c>
      <c r="U33" s="20">
        <f>SUMIF('Income Statement Source'!$C:$C,'1.1 Adjusted Income Stmt'!$AR33,'Income Statement Source'!W:W)/1000</f>
        <v>14.94238</v>
      </c>
      <c r="V33" s="20">
        <f>SUMIF('Income Statement Source'!$C:$C,'1.1 Adjusted Income Stmt'!$AR33,'Income Statement Source'!X:X)/1000</f>
        <v>102.26975</v>
      </c>
      <c r="W33" s="20">
        <f>SUMIF('Income Statement Source'!$C:$C,'1.1 Adjusted Income Stmt'!$AR33,'Income Statement Source'!Y:Y)/1000</f>
        <v>130.93172999999999</v>
      </c>
      <c r="X33" s="20">
        <f>SUMIF('Income Statement Source'!$C:$C,'1.1 Adjusted Income Stmt'!$AR33,'Income Statement Source'!Z:Z)/1000</f>
        <v>207.77417000000003</v>
      </c>
      <c r="Y33" s="20">
        <f>SUMIF('Income Statement Source'!$C:$C,'1.1 Adjusted Income Stmt'!$AR33,'Income Statement Source'!AA:AA)/1000</f>
        <v>17.119019999999999</v>
      </c>
      <c r="Z33" s="20">
        <f>SUMIF('Income Statement Source'!$C:$C,'1.1 Adjusted Income Stmt'!$AR33,'Income Statement Source'!AB:AB)/1000</f>
        <v>118.43041000000001</v>
      </c>
      <c r="AA33" s="20">
        <f>SUMIF('Income Statement Source'!$C:$C,'1.1 Adjusted Income Stmt'!$AR33,'Income Statement Source'!AC:AC)/1000</f>
        <v>87.045690000000008</v>
      </c>
      <c r="AB33" s="20">
        <f>SUMIF('Income Statement Source'!$C:$C,'1.1 Adjusted Income Stmt'!$AR33,'Income Statement Source'!AD:AD)/1000</f>
        <v>159.36507</v>
      </c>
      <c r="AC33" s="20">
        <f>SUMIF('Income Statement Source'!$C:$C,'1.1 Adjusted Income Stmt'!$AR33,'Income Statement Source'!AE:AE)/1000</f>
        <v>17.59675</v>
      </c>
      <c r="AD33" s="22">
        <f>SUM(R33:AC33)</f>
        <v>1191.1543200000001</v>
      </c>
      <c r="AE33" s="20">
        <f>SUMIF('Income Statement Source'!$C:$C,'1.1 Adjusted Income Stmt'!$AR33,'Income Statement Source'!AG:AG)/1000</f>
        <v>49.127040000000001</v>
      </c>
      <c r="AF33" s="20">
        <f>SUMIF('Income Statement Source'!$C:$C,'1.1 Adjusted Income Stmt'!$AR33,'Income Statement Source'!AH:AH)/1000</f>
        <v>65.794800000000009</v>
      </c>
      <c r="AG33" s="20">
        <f>SUMIF('Income Statement Source'!$C:$C,'1.1 Adjusted Income Stmt'!$AR33,'Income Statement Source'!AI:AI)/1000</f>
        <v>89.679100000000005</v>
      </c>
      <c r="AH33" s="20">
        <f>SUMIF('Income Statement Source'!$C:$C,'1.1 Adjusted Income Stmt'!$AR33,'Income Statement Source'!AJ:AJ)/1000</f>
        <v>150.91857000000002</v>
      </c>
      <c r="AI33" s="20">
        <f>SUMIF('Income Statement Source'!$C:$C,'1.1 Adjusted Income Stmt'!$AR33,'Income Statement Source'!AK:AK)/1000</f>
        <v>11.57816</v>
      </c>
      <c r="AJ33" s="20">
        <f>SUMIF('Income Statement Source'!$C:$C,'1.1 Adjusted Income Stmt'!$AR33,'Income Statement Source'!AL:AL)/1000</f>
        <v>101.82188000000001</v>
      </c>
      <c r="AK33" s="20">
        <f>SUMIF('Income Statement Source'!$C:$C,'1.1 Adjusted Income Stmt'!$AR33,'Income Statement Source'!AM:AM)/1000</f>
        <v>80.430949999999996</v>
      </c>
      <c r="AL33" s="20">
        <f>SUMIF('Income Statement Source'!$C:$C,'1.1 Adjusted Income Stmt'!$AR33,'Income Statement Source'!AN:AN)/1000</f>
        <v>145.96460999999999</v>
      </c>
      <c r="AM33" s="20">
        <f>SUMIF('Income Statement Source'!$C:$C,'1.1 Adjusted Income Stmt'!$AR33,'Income Statement Source'!AO:AO)/1000</f>
        <v>14.04965</v>
      </c>
      <c r="AN33" s="20">
        <f>SUMIF('Income Statement Source'!$C:$C,'1.1 Adjusted Income Stmt'!$AR33,'Income Statement Source'!AP:AP)/1000</f>
        <v>73.115839999999992</v>
      </c>
      <c r="AO33" s="22">
        <f>SUM(AE33:AN33)</f>
        <v>782.48060000000009</v>
      </c>
      <c r="AP33" s="22">
        <f>SUM(AO33,AB33:AC33)</f>
        <v>959.4424200000002</v>
      </c>
      <c r="AR33" s="4" t="s">
        <v>12</v>
      </c>
    </row>
    <row r="34" spans="2:44" hidden="1" outlineLevel="1" x14ac:dyDescent="0.2">
      <c r="B34" s="30" t="str">
        <f>+AR34</f>
        <v>Subcontractor - Other</v>
      </c>
      <c r="E34" s="31">
        <f>SUMIF('Income Statement Source'!$C:$C,'1.1 Adjusted Income Stmt'!$AR34,'Income Statement Source'!G:G)/1000</f>
        <v>0.94555999999999996</v>
      </c>
      <c r="F34" s="31">
        <f>SUMIF('Income Statement Source'!$C:$C,'1.1 Adjusted Income Stmt'!$AR34,'Income Statement Source'!H:H)/1000</f>
        <v>1.1138399999999999</v>
      </c>
      <c r="G34" s="31">
        <f>SUMIF('Income Statement Source'!$C:$C,'1.1 Adjusted Income Stmt'!$AR34,'Income Statement Source'!I:I)/1000</f>
        <v>1.66517</v>
      </c>
      <c r="H34" s="31">
        <f>SUMIF('Income Statement Source'!$C:$C,'1.1 Adjusted Income Stmt'!$AR34,'Income Statement Source'!J:J)/1000</f>
        <v>1.4635100000000001</v>
      </c>
      <c r="I34" s="31">
        <f>SUMIF('Income Statement Source'!$C:$C,'1.1 Adjusted Income Stmt'!$AR34,'Income Statement Source'!K:K)/1000</f>
        <v>1.3703299999999998</v>
      </c>
      <c r="J34" s="31">
        <f>SUMIF('Income Statement Source'!$C:$C,'1.1 Adjusted Income Stmt'!$AR34,'Income Statement Source'!L:L)/1000</f>
        <v>2.1140700000000003</v>
      </c>
      <c r="K34" s="31">
        <f>SUMIF('Income Statement Source'!$C:$C,'1.1 Adjusted Income Stmt'!$AR34,'Income Statement Source'!M:M)/1000</f>
        <v>1.4732100000000001</v>
      </c>
      <c r="L34" s="31">
        <f>SUMIF('Income Statement Source'!$C:$C,'1.1 Adjusted Income Stmt'!$AR34,'Income Statement Source'!N:N)/1000</f>
        <v>1.3715899999999999</v>
      </c>
      <c r="M34" s="31">
        <f>SUMIF('Income Statement Source'!$C:$C,'1.1 Adjusted Income Stmt'!$AR34,'Income Statement Source'!O:O)/1000</f>
        <v>1.96726</v>
      </c>
      <c r="N34" s="31">
        <f>SUMIF('Income Statement Source'!$C:$C,'1.1 Adjusted Income Stmt'!$AR34,'Income Statement Source'!P:P)/1000</f>
        <v>1.371</v>
      </c>
      <c r="O34" s="31">
        <f>SUMIF('Income Statement Source'!$C:$C,'1.1 Adjusted Income Stmt'!$AR34,'Income Statement Source'!Q:Q)/1000</f>
        <v>1.1138399999999999</v>
      </c>
      <c r="P34" s="31">
        <f>SUMIF('Income Statement Source'!$C:$C,'1.1 Adjusted Income Stmt'!$AR34,'Income Statement Source'!R:R)/1000</f>
        <v>1.8870100000000001</v>
      </c>
      <c r="Q34" s="32">
        <f>SUM(E34:P34)</f>
        <v>17.856389999999998</v>
      </c>
      <c r="R34" s="31">
        <f>SUMIF('Income Statement Source'!$C:$C,'1.1 Adjusted Income Stmt'!$AR34,'Income Statement Source'!T:T)/1000</f>
        <v>0.95702999999999994</v>
      </c>
      <c r="S34" s="31">
        <f>SUMIF('Income Statement Source'!$C:$C,'1.1 Adjusted Income Stmt'!$AR34,'Income Statement Source'!U:U)/1000</f>
        <v>1.2168399999999999</v>
      </c>
      <c r="T34" s="31">
        <f>SUMIF('Income Statement Source'!$C:$C,'1.1 Adjusted Income Stmt'!$AR34,'Income Statement Source'!V:V)/1000</f>
        <v>1.7644200000000001</v>
      </c>
      <c r="U34" s="31">
        <f>SUMIF('Income Statement Source'!$C:$C,'1.1 Adjusted Income Stmt'!$AR34,'Income Statement Source'!W:W)/1000</f>
        <v>1.41398</v>
      </c>
      <c r="V34" s="31">
        <f>SUMIF('Income Statement Source'!$C:$C,'1.1 Adjusted Income Stmt'!$AR34,'Income Statement Source'!X:X)/1000</f>
        <v>1.6474300000000002</v>
      </c>
      <c r="W34" s="31">
        <f>SUMIF('Income Statement Source'!$C:$C,'1.1 Adjusted Income Stmt'!$AR34,'Income Statement Source'!Y:Y)/1000</f>
        <v>2.2589899999999998</v>
      </c>
      <c r="X34" s="31">
        <f>SUMIF('Income Statement Source'!$C:$C,'1.1 Adjusted Income Stmt'!$AR34,'Income Statement Source'!Z:Z)/1000</f>
        <v>1.74329</v>
      </c>
      <c r="Y34" s="31">
        <f>SUMIF('Income Statement Source'!$C:$C,'1.1 Adjusted Income Stmt'!$AR34,'Income Statement Source'!AA:AA)/1000</f>
        <v>1.6478299999999999</v>
      </c>
      <c r="Z34" s="31">
        <f>SUMIF('Income Statement Source'!$C:$C,'1.1 Adjusted Income Stmt'!$AR34,'Income Statement Source'!AB:AB)/1000</f>
        <v>1.97218</v>
      </c>
      <c r="AA34" s="31">
        <f>SUMIF('Income Statement Source'!$C:$C,'1.1 Adjusted Income Stmt'!$AR34,'Income Statement Source'!AC:AC)/1000</f>
        <v>1.3564000000000001</v>
      </c>
      <c r="AB34" s="31">
        <f>SUMIF('Income Statement Source'!$C:$C,'1.1 Adjusted Income Stmt'!$AR34,'Income Statement Source'!AD:AD)/1000</f>
        <v>1.3244</v>
      </c>
      <c r="AC34" s="31">
        <f>SUMIF('Income Statement Source'!$C:$C,'1.1 Adjusted Income Stmt'!$AR34,'Income Statement Source'!AE:AE)/1000</f>
        <v>1.7822200000000001</v>
      </c>
      <c r="AD34" s="32">
        <f>SUM(R34:AC34)</f>
        <v>19.08501</v>
      </c>
      <c r="AE34" s="31">
        <f>SUMIF('Income Statement Source'!$C:$C,'1.1 Adjusted Income Stmt'!$AR34,'Income Statement Source'!AG:AG)/1000</f>
        <v>1.1556999999999999</v>
      </c>
      <c r="AF34" s="31">
        <f>SUMIF('Income Statement Source'!$C:$C,'1.1 Adjusted Income Stmt'!$AR34,'Income Statement Source'!AH:AH)/1000</f>
        <v>1.43743</v>
      </c>
      <c r="AG34" s="31">
        <f>SUMIF('Income Statement Source'!$C:$C,'1.1 Adjusted Income Stmt'!$AR34,'Income Statement Source'!AI:AI)/1000</f>
        <v>1.77278</v>
      </c>
      <c r="AH34" s="31">
        <f>SUMIF('Income Statement Source'!$C:$C,'1.1 Adjusted Income Stmt'!$AR34,'Income Statement Source'!AJ:AJ)/1000</f>
        <v>1.5956600000000001</v>
      </c>
      <c r="AI34" s="31">
        <f>SUMIF('Income Statement Source'!$C:$C,'1.1 Adjusted Income Stmt'!$AR34,'Income Statement Source'!AK:AK)/1000</f>
        <v>1.83216</v>
      </c>
      <c r="AJ34" s="31">
        <f>SUMIF('Income Statement Source'!$C:$C,'1.1 Adjusted Income Stmt'!$AR34,'Income Statement Source'!AL:AL)/1000</f>
        <v>2.1887699999999999</v>
      </c>
      <c r="AK34" s="31">
        <f>SUMIF('Income Statement Source'!$C:$C,'1.1 Adjusted Income Stmt'!$AR34,'Income Statement Source'!AM:AM)/1000</f>
        <v>1.9872799999999999</v>
      </c>
      <c r="AL34" s="31">
        <f>SUMIF('Income Statement Source'!$C:$C,'1.1 Adjusted Income Stmt'!$AR34,'Income Statement Source'!AN:AN)/1000</f>
        <v>1.7018800000000001</v>
      </c>
      <c r="AM34" s="31">
        <f>SUMIF('Income Statement Source'!$C:$C,'1.1 Adjusted Income Stmt'!$AR34,'Income Statement Source'!AO:AO)/1000</f>
        <v>2.0442999999999998</v>
      </c>
      <c r="AN34" s="31">
        <f>SUMIF('Income Statement Source'!$C:$C,'1.1 Adjusted Income Stmt'!$AR34,'Income Statement Source'!AP:AP)/1000</f>
        <v>1.4618100000000001</v>
      </c>
      <c r="AO34" s="32">
        <f>SUM(AE34:AN34)</f>
        <v>17.177769999999999</v>
      </c>
      <c r="AP34" s="32">
        <f>SUM(AO34,AB34:AC34)</f>
        <v>20.284389999999998</v>
      </c>
      <c r="AR34" s="4" t="s">
        <v>21</v>
      </c>
    </row>
    <row r="35" spans="2:44" s="34" customFormat="1" collapsed="1" x14ac:dyDescent="0.2">
      <c r="B35" s="33" t="str">
        <f>+B32</f>
        <v>Subcontract</v>
      </c>
      <c r="E35" s="20">
        <f>SUM(E33:E34)</f>
        <v>69.591139999999996</v>
      </c>
      <c r="F35" s="20">
        <f t="shared" ref="F35:AP35" si="16">SUM(F33:F34)</f>
        <v>88.89300999999999</v>
      </c>
      <c r="G35" s="20">
        <f t="shared" si="16"/>
        <v>11.368729999999999</v>
      </c>
      <c r="H35" s="20">
        <f t="shared" si="16"/>
        <v>55.163670000000003</v>
      </c>
      <c r="I35" s="20">
        <f t="shared" si="16"/>
        <v>62.141570000000002</v>
      </c>
      <c r="J35" s="20">
        <f t="shared" si="16"/>
        <v>150.92653999999999</v>
      </c>
      <c r="K35" s="20">
        <f t="shared" si="16"/>
        <v>11.402900000000001</v>
      </c>
      <c r="L35" s="20">
        <f t="shared" si="16"/>
        <v>62.850329999999992</v>
      </c>
      <c r="M35" s="20">
        <f t="shared" si="16"/>
        <v>155.60533000000001</v>
      </c>
      <c r="N35" s="20">
        <f t="shared" si="16"/>
        <v>10.02525</v>
      </c>
      <c r="O35" s="20">
        <f t="shared" si="16"/>
        <v>52.658740000000002</v>
      </c>
      <c r="P35" s="20">
        <f t="shared" si="16"/>
        <v>72.087159999999997</v>
      </c>
      <c r="Q35" s="22">
        <f t="shared" si="16"/>
        <v>802.71437000000014</v>
      </c>
      <c r="R35" s="20">
        <f t="shared" si="16"/>
        <v>64.81053</v>
      </c>
      <c r="S35" s="20">
        <f t="shared" si="16"/>
        <v>81.109700000000004</v>
      </c>
      <c r="T35" s="20">
        <f t="shared" si="16"/>
        <v>193.69740999999999</v>
      </c>
      <c r="U35" s="20">
        <f t="shared" si="16"/>
        <v>16.356359999999999</v>
      </c>
      <c r="V35" s="20">
        <f t="shared" si="16"/>
        <v>103.91718</v>
      </c>
      <c r="W35" s="20">
        <f t="shared" si="16"/>
        <v>133.19072</v>
      </c>
      <c r="X35" s="20">
        <f t="shared" si="16"/>
        <v>209.51746000000003</v>
      </c>
      <c r="Y35" s="20">
        <f t="shared" si="16"/>
        <v>18.766849999999998</v>
      </c>
      <c r="Z35" s="20">
        <f t="shared" si="16"/>
        <v>120.40259</v>
      </c>
      <c r="AA35" s="20">
        <f t="shared" si="16"/>
        <v>88.402090000000001</v>
      </c>
      <c r="AB35" s="20">
        <f t="shared" si="16"/>
        <v>160.68947</v>
      </c>
      <c r="AC35" s="20">
        <f t="shared" si="16"/>
        <v>19.378969999999999</v>
      </c>
      <c r="AD35" s="22">
        <f t="shared" si="16"/>
        <v>1210.2393300000001</v>
      </c>
      <c r="AE35" s="20">
        <f t="shared" si="16"/>
        <v>50.282740000000004</v>
      </c>
      <c r="AF35" s="20">
        <f t="shared" si="16"/>
        <v>67.232230000000015</v>
      </c>
      <c r="AG35" s="20">
        <f t="shared" si="16"/>
        <v>91.451880000000003</v>
      </c>
      <c r="AH35" s="20">
        <f t="shared" si="16"/>
        <v>152.51423000000003</v>
      </c>
      <c r="AI35" s="20">
        <f t="shared" si="16"/>
        <v>13.41032</v>
      </c>
      <c r="AJ35" s="20">
        <f t="shared" si="16"/>
        <v>104.01065000000001</v>
      </c>
      <c r="AK35" s="20">
        <f t="shared" si="16"/>
        <v>82.418229999999994</v>
      </c>
      <c r="AL35" s="20">
        <f t="shared" si="16"/>
        <v>147.66648999999998</v>
      </c>
      <c r="AM35" s="20">
        <f t="shared" si="16"/>
        <v>16.09395</v>
      </c>
      <c r="AN35" s="20">
        <f t="shared" si="16"/>
        <v>74.577649999999991</v>
      </c>
      <c r="AO35" s="22">
        <f t="shared" si="16"/>
        <v>799.6583700000001</v>
      </c>
      <c r="AP35" s="22">
        <f t="shared" si="16"/>
        <v>979.72681000000023</v>
      </c>
    </row>
    <row r="36" spans="2:44" s="34" customFormat="1" x14ac:dyDescent="0.2">
      <c r="B36" s="35"/>
      <c r="E36" s="51">
        <f>IFERROR(E35/E$19,0)</f>
        <v>0.23232736379083291</v>
      </c>
      <c r="F36" s="51">
        <f t="shared" ref="F36:AP36" si="17">IFERROR(F35/F$19,0)</f>
        <v>0.36161302003161394</v>
      </c>
      <c r="G36" s="51">
        <f t="shared" si="17"/>
        <v>3.8363724625866027E-2</v>
      </c>
      <c r="H36" s="51">
        <f t="shared" si="17"/>
        <v>0.33618022167348183</v>
      </c>
      <c r="I36" s="51">
        <f t="shared" si="17"/>
        <v>0.2243738906323155</v>
      </c>
      <c r="J36" s="51">
        <f t="shared" si="17"/>
        <v>0.35338040374478141</v>
      </c>
      <c r="K36" s="51">
        <f t="shared" si="17"/>
        <v>5.9917908916946101E-2</v>
      </c>
      <c r="L36" s="51">
        <f t="shared" si="17"/>
        <v>0.25351503657254293</v>
      </c>
      <c r="M36" s="51">
        <f t="shared" si="17"/>
        <v>0.31582662694898717</v>
      </c>
      <c r="N36" s="51">
        <f t="shared" si="17"/>
        <v>5.2072451104883899E-2</v>
      </c>
      <c r="O36" s="51">
        <f t="shared" si="17"/>
        <v>0.21596767700943154</v>
      </c>
      <c r="P36" s="51">
        <f t="shared" si="17"/>
        <v>0.17670833694937466</v>
      </c>
      <c r="Q36" s="52">
        <f t="shared" si="17"/>
        <v>0.23033048123930941</v>
      </c>
      <c r="R36" s="51">
        <f t="shared" si="17"/>
        <v>0.24939049955351952</v>
      </c>
      <c r="S36" s="51">
        <f t="shared" si="17"/>
        <v>0.2738310687831913</v>
      </c>
      <c r="T36" s="51">
        <f t="shared" si="17"/>
        <v>0.41364243729264205</v>
      </c>
      <c r="U36" s="51">
        <f t="shared" si="17"/>
        <v>7.1560822487212045E-2</v>
      </c>
      <c r="V36" s="51">
        <f t="shared" si="17"/>
        <v>0.27125273223557861</v>
      </c>
      <c r="W36" s="51">
        <f t="shared" si="17"/>
        <v>0.25476263090286017</v>
      </c>
      <c r="X36" s="51">
        <f t="shared" si="17"/>
        <v>0.47630683586721412</v>
      </c>
      <c r="Y36" s="51">
        <f t="shared" si="17"/>
        <v>5.9498493566757793E-2</v>
      </c>
      <c r="Z36" s="51">
        <f t="shared" si="17"/>
        <v>0.2459141531277266</v>
      </c>
      <c r="AA36" s="51">
        <f t="shared" si="17"/>
        <v>0.25394947262579926</v>
      </c>
      <c r="AB36" s="51">
        <f t="shared" si="17"/>
        <v>0.37949382833173256</v>
      </c>
      <c r="AC36" s="51">
        <f t="shared" si="17"/>
        <v>5.0283755899818511E-2</v>
      </c>
      <c r="AD36" s="52">
        <f t="shared" si="17"/>
        <v>0.26536479843499</v>
      </c>
      <c r="AE36" s="51">
        <f t="shared" si="17"/>
        <v>0.22280401140499925</v>
      </c>
      <c r="AF36" s="51">
        <f t="shared" si="17"/>
        <v>0.29741693390934398</v>
      </c>
      <c r="AG36" s="51">
        <f t="shared" si="17"/>
        <v>0.22416584113224844</v>
      </c>
      <c r="AH36" s="51">
        <f t="shared" si="17"/>
        <v>0.38575095146059596</v>
      </c>
      <c r="AI36" s="51">
        <f t="shared" si="17"/>
        <v>5.1000243795813846E-2</v>
      </c>
      <c r="AJ36" s="51">
        <f t="shared" si="17"/>
        <v>0.2519788477576792</v>
      </c>
      <c r="AK36" s="51">
        <f t="shared" si="17"/>
        <v>0.25105793207866739</v>
      </c>
      <c r="AL36" s="51">
        <f t="shared" si="17"/>
        <v>0.39635040344433525</v>
      </c>
      <c r="AM36" s="51">
        <f t="shared" si="17"/>
        <v>4.8839876731232891E-2</v>
      </c>
      <c r="AN36" s="51">
        <f t="shared" si="17"/>
        <v>0.19031562461824006</v>
      </c>
      <c r="AO36" s="52">
        <f t="shared" si="17"/>
        <v>0.23848837147240215</v>
      </c>
      <c r="AP36" s="52">
        <f t="shared" si="17"/>
        <v>0.23540644733896751</v>
      </c>
    </row>
    <row r="37" spans="2:44" x14ac:dyDescent="0.2">
      <c r="B37" s="27" t="str">
        <f>+AR37</f>
        <v>Alarm Installation Labor - Direct</v>
      </c>
      <c r="C37" s="10"/>
      <c r="D37" s="10"/>
      <c r="E37" s="19">
        <f>SUMIF('Income Statement Source'!$C:$C,'1.1 Adjusted Income Stmt'!$AR37,'Income Statement Source'!G:G)/1000</f>
        <v>21.05397</v>
      </c>
      <c r="F37" s="19">
        <f>SUMIF('Income Statement Source'!$C:$C,'1.1 Adjusted Income Stmt'!$AR37,'Income Statement Source'!H:H)/1000</f>
        <v>27.31484</v>
      </c>
      <c r="G37" s="19">
        <f>SUMIF('Income Statement Source'!$C:$C,'1.1 Adjusted Income Stmt'!$AR37,'Income Statement Source'!I:I)/1000</f>
        <v>37.694489999999995</v>
      </c>
      <c r="H37" s="19">
        <f>SUMIF('Income Statement Source'!$C:$C,'1.1 Adjusted Income Stmt'!$AR37,'Income Statement Source'!J:J)/1000</f>
        <v>31.0596</v>
      </c>
      <c r="I37" s="19">
        <f>SUMIF('Income Statement Source'!$C:$C,'1.1 Adjusted Income Stmt'!$AR37,'Income Statement Source'!K:K)/1000</f>
        <v>48.393149999999999</v>
      </c>
      <c r="J37" s="19">
        <f>SUMIF('Income Statement Source'!$C:$C,'1.1 Adjusted Income Stmt'!$AR37,'Income Statement Source'!L:L)/1000</f>
        <v>45.936230000000002</v>
      </c>
      <c r="K37" s="19">
        <f>SUMIF('Income Statement Source'!$C:$C,'1.1 Adjusted Income Stmt'!$AR37,'Income Statement Source'!M:M)/1000</f>
        <v>37.84084</v>
      </c>
      <c r="L37" s="19">
        <f>SUMIF('Income Statement Source'!$C:$C,'1.1 Adjusted Income Stmt'!$AR37,'Income Statement Source'!N:N)/1000</f>
        <v>34.823039999999999</v>
      </c>
      <c r="M37" s="19">
        <f>SUMIF('Income Statement Source'!$C:$C,'1.1 Adjusted Income Stmt'!$AR37,'Income Statement Source'!O:O)/1000</f>
        <v>42.671720000000001</v>
      </c>
      <c r="N37" s="19">
        <f>SUMIF('Income Statement Source'!$C:$C,'1.1 Adjusted Income Stmt'!$AR37,'Income Statement Source'!P:P)/1000</f>
        <v>47.041429999999998</v>
      </c>
      <c r="O37" s="19">
        <f>SUMIF('Income Statement Source'!$C:$C,'1.1 Adjusted Income Stmt'!$AR37,'Income Statement Source'!Q:Q)/1000</f>
        <v>26.52543</v>
      </c>
      <c r="P37" s="19">
        <f>SUMIF('Income Statement Source'!$C:$C,'1.1 Adjusted Income Stmt'!$AR37,'Income Statement Source'!R:R)/1000</f>
        <v>38.843989999999998</v>
      </c>
      <c r="Q37" s="21">
        <f>SUM(E37:P37)</f>
        <v>439.19873000000001</v>
      </c>
      <c r="R37" s="19">
        <f>SUMIF('Income Statement Source'!$C:$C,'1.1 Adjusted Income Stmt'!$AR37,'Income Statement Source'!T:T)/1000</f>
        <v>25.377610000000001</v>
      </c>
      <c r="S37" s="19">
        <f>SUMIF('Income Statement Source'!$C:$C,'1.1 Adjusted Income Stmt'!$AR37,'Income Statement Source'!U:U)/1000</f>
        <v>29.567880000000002</v>
      </c>
      <c r="T37" s="19">
        <f>SUMIF('Income Statement Source'!$C:$C,'1.1 Adjusted Income Stmt'!$AR37,'Income Statement Source'!V:V)/1000</f>
        <v>40.663809999999998</v>
      </c>
      <c r="U37" s="19">
        <f>SUMIF('Income Statement Source'!$C:$C,'1.1 Adjusted Income Stmt'!$AR37,'Income Statement Source'!W:W)/1000</f>
        <v>39.720790000000001</v>
      </c>
      <c r="V37" s="19">
        <f>SUMIF('Income Statement Source'!$C:$C,'1.1 Adjusted Income Stmt'!$AR37,'Income Statement Source'!X:X)/1000</f>
        <v>63.530010000000004</v>
      </c>
      <c r="W37" s="19">
        <f>SUMIF('Income Statement Source'!$C:$C,'1.1 Adjusted Income Stmt'!$AR37,'Income Statement Source'!Y:Y)/1000</f>
        <v>54.450150000000001</v>
      </c>
      <c r="X37" s="19">
        <f>SUMIF('Income Statement Source'!$C:$C,'1.1 Adjusted Income Stmt'!$AR37,'Income Statement Source'!Z:Z)/1000</f>
        <v>44.87415</v>
      </c>
      <c r="Y37" s="19">
        <f>SUMIF('Income Statement Source'!$C:$C,'1.1 Adjusted Income Stmt'!$AR37,'Income Statement Source'!AA:AA)/1000</f>
        <v>46.302599999999998</v>
      </c>
      <c r="Z37" s="19">
        <f>SUMIF('Income Statement Source'!$C:$C,'1.1 Adjusted Income Stmt'!$AR37,'Income Statement Source'!AB:AB)/1000</f>
        <v>48.778649999999999</v>
      </c>
      <c r="AA37" s="19">
        <f>SUMIF('Income Statement Source'!$C:$C,'1.1 Adjusted Income Stmt'!$AR37,'Income Statement Source'!AC:AC)/1000</f>
        <v>53.270820000000001</v>
      </c>
      <c r="AB37" s="19">
        <f>SUMIF('Income Statement Source'!$C:$C,'1.1 Adjusted Income Stmt'!$AR37,'Income Statement Source'!AD:AD)/1000</f>
        <v>34.4557</v>
      </c>
      <c r="AC37" s="19">
        <f>SUMIF('Income Statement Source'!$C:$C,'1.1 Adjusted Income Stmt'!$AR37,'Income Statement Source'!AE:AE)/1000</f>
        <v>47.264290000000003</v>
      </c>
      <c r="AD37" s="21">
        <f>SUM(R37:AC37)</f>
        <v>528.25646000000006</v>
      </c>
      <c r="AE37" s="19">
        <f>SUMIF('Income Statement Source'!$C:$C,'1.1 Adjusted Income Stmt'!$AR37,'Income Statement Source'!AG:AG)/1000</f>
        <v>24.63062</v>
      </c>
      <c r="AF37" s="19">
        <f>SUMIF('Income Statement Source'!$C:$C,'1.1 Adjusted Income Stmt'!$AR37,'Income Statement Source'!AH:AH)/1000</f>
        <v>33.170540000000003</v>
      </c>
      <c r="AG37" s="19">
        <f>SUMIF('Income Statement Source'!$C:$C,'1.1 Adjusted Income Stmt'!$AR37,'Income Statement Source'!AI:AI)/1000</f>
        <v>44.058959999999999</v>
      </c>
      <c r="AH37" s="19">
        <f>SUMIF('Income Statement Source'!$C:$C,'1.1 Adjusted Income Stmt'!$AR37,'Income Statement Source'!AJ:AJ)/1000</f>
        <v>43.44829</v>
      </c>
      <c r="AI37" s="19">
        <f>SUMIF('Income Statement Source'!$C:$C,'1.1 Adjusted Income Stmt'!$AR37,'Income Statement Source'!AK:AK)/1000</f>
        <v>61.5291</v>
      </c>
      <c r="AJ37" s="19">
        <f>SUMIF('Income Statement Source'!$C:$C,'1.1 Adjusted Income Stmt'!$AR37,'Income Statement Source'!AL:AL)/1000</f>
        <v>59.257280000000002</v>
      </c>
      <c r="AK37" s="19">
        <f>SUMIF('Income Statement Source'!$C:$C,'1.1 Adjusted Income Stmt'!$AR37,'Income Statement Source'!AM:AM)/1000</f>
        <v>45.535779999999995</v>
      </c>
      <c r="AL37" s="19">
        <f>SUMIF('Income Statement Source'!$C:$C,'1.1 Adjusted Income Stmt'!$AR37,'Income Statement Source'!AN:AN)/1000</f>
        <v>42.80865</v>
      </c>
      <c r="AM37" s="19">
        <f>SUMIF('Income Statement Source'!$C:$C,'1.1 Adjusted Income Stmt'!$AR37,'Income Statement Source'!AO:AO)/1000</f>
        <v>52.65681</v>
      </c>
      <c r="AN37" s="19">
        <f>SUMIF('Income Statement Source'!$C:$C,'1.1 Adjusted Income Stmt'!$AR37,'Income Statement Source'!AP:AP)/1000</f>
        <v>59.975569999999998</v>
      </c>
      <c r="AO37" s="21">
        <f>SUM(AE37:AN37)</f>
        <v>467.07159999999999</v>
      </c>
      <c r="AP37" s="21">
        <f>SUM(AO37,AB37:AC37)</f>
        <v>548.79158999999993</v>
      </c>
      <c r="AR37" s="4" t="s">
        <v>13</v>
      </c>
    </row>
    <row r="38" spans="2:44" x14ac:dyDescent="0.2">
      <c r="B38" s="28"/>
      <c r="C38" s="10"/>
      <c r="D38" s="10"/>
      <c r="E38" s="45">
        <f>IFERROR(E37/E$19,0)</f>
        <v>7.028787497131507E-2</v>
      </c>
      <c r="F38" s="45">
        <f t="shared" ref="F38:AP38" si="18">IFERROR(F37/F$19,0)</f>
        <v>0.11111561847304227</v>
      </c>
      <c r="G38" s="45">
        <f t="shared" si="18"/>
        <v>0.12719987494403162</v>
      </c>
      <c r="H38" s="45">
        <f t="shared" si="18"/>
        <v>0.18928441876854232</v>
      </c>
      <c r="I38" s="45">
        <f t="shared" si="18"/>
        <v>0.17473262013581628</v>
      </c>
      <c r="J38" s="45">
        <f t="shared" si="18"/>
        <v>0.10755539419318261</v>
      </c>
      <c r="K38" s="45">
        <f t="shared" si="18"/>
        <v>0.19883924303999251</v>
      </c>
      <c r="L38" s="45">
        <f t="shared" si="18"/>
        <v>0.14046329206492833</v>
      </c>
      <c r="M38" s="45">
        <f t="shared" si="18"/>
        <v>8.6609278703445661E-2</v>
      </c>
      <c r="N38" s="45">
        <f t="shared" si="18"/>
        <v>0.24433929962632539</v>
      </c>
      <c r="O38" s="45">
        <f t="shared" si="18"/>
        <v>0.10878793337585148</v>
      </c>
      <c r="P38" s="45">
        <f t="shared" si="18"/>
        <v>9.5218855526811419E-2</v>
      </c>
      <c r="Q38" s="46">
        <f t="shared" si="18"/>
        <v>0.12602347562383057</v>
      </c>
      <c r="R38" s="45">
        <f t="shared" si="18"/>
        <v>9.765287886666553E-2</v>
      </c>
      <c r="S38" s="45">
        <f t="shared" si="18"/>
        <v>9.9822884094666206E-2</v>
      </c>
      <c r="T38" s="45">
        <f t="shared" si="18"/>
        <v>8.6837905979253477E-2</v>
      </c>
      <c r="U38" s="45">
        <f t="shared" si="18"/>
        <v>0.1737826999553585</v>
      </c>
      <c r="V38" s="45">
        <f t="shared" si="18"/>
        <v>0.165830989557777</v>
      </c>
      <c r="W38" s="45">
        <f t="shared" si="18"/>
        <v>0.10415037524427656</v>
      </c>
      <c r="X38" s="45">
        <f t="shared" si="18"/>
        <v>0.10201471704902658</v>
      </c>
      <c r="Y38" s="45">
        <f t="shared" si="18"/>
        <v>0.14679794148853748</v>
      </c>
      <c r="Z38" s="45">
        <f t="shared" si="18"/>
        <v>9.9627096107017143E-2</v>
      </c>
      <c r="AA38" s="45">
        <f t="shared" si="18"/>
        <v>0.15302914948440563</v>
      </c>
      <c r="AB38" s="45">
        <f t="shared" si="18"/>
        <v>8.1372634441134684E-2</v>
      </c>
      <c r="AC38" s="45">
        <f t="shared" si="18"/>
        <v>0.12263943961615263</v>
      </c>
      <c r="AD38" s="46">
        <f t="shared" si="18"/>
        <v>0.11582888239955097</v>
      </c>
      <c r="AE38" s="45">
        <f t="shared" si="18"/>
        <v>0.10913886036027874</v>
      </c>
      <c r="AF38" s="45">
        <f t="shared" si="18"/>
        <v>0.14673736544090907</v>
      </c>
      <c r="AG38" s="45">
        <f t="shared" si="18"/>
        <v>0.10799683754792234</v>
      </c>
      <c r="AH38" s="45">
        <f t="shared" si="18"/>
        <v>0.10989282250473215</v>
      </c>
      <c r="AI38" s="45">
        <f t="shared" si="18"/>
        <v>0.23399882333434324</v>
      </c>
      <c r="AJ38" s="45">
        <f t="shared" si="18"/>
        <v>0.14355819462385982</v>
      </c>
      <c r="AK38" s="45">
        <f t="shared" si="18"/>
        <v>0.13870861777047555</v>
      </c>
      <c r="AL38" s="45">
        <f t="shared" si="18"/>
        <v>0.11490234310036992</v>
      </c>
      <c r="AM38" s="45">
        <f t="shared" si="18"/>
        <v>0.15979620350876891</v>
      </c>
      <c r="AN38" s="45">
        <f t="shared" si="18"/>
        <v>0.1530523966146021</v>
      </c>
      <c r="AO38" s="46">
        <f t="shared" si="18"/>
        <v>0.1392984172040983</v>
      </c>
      <c r="AP38" s="46">
        <f t="shared" si="18"/>
        <v>0.13186234898624771</v>
      </c>
    </row>
    <row r="39" spans="2:44" x14ac:dyDescent="0.2">
      <c r="B39" s="29" t="str">
        <f>+AR39</f>
        <v>Vehicle Fuel - Job Related</v>
      </c>
      <c r="E39" s="20">
        <f>SUMIF('Income Statement Source'!$C:$C,'1.1 Adjusted Income Stmt'!$AR39,'Income Statement Source'!G:G)/1000</f>
        <v>1.7326600000000001</v>
      </c>
      <c r="F39" s="20">
        <f>SUMIF('Income Statement Source'!$C:$C,'1.1 Adjusted Income Stmt'!$AR39,'Income Statement Source'!H:H)/1000</f>
        <v>2.2981799999999999</v>
      </c>
      <c r="G39" s="20">
        <f>SUMIF('Income Statement Source'!$C:$C,'1.1 Adjusted Income Stmt'!$AR39,'Income Statement Source'!I:I)/1000</f>
        <v>3.2370900000000002</v>
      </c>
      <c r="H39" s="20">
        <f>SUMIF('Income Statement Source'!$C:$C,'1.1 Adjusted Income Stmt'!$AR39,'Income Statement Source'!J:J)/1000</f>
        <v>2.4494000000000002</v>
      </c>
      <c r="I39" s="20">
        <f>SUMIF('Income Statement Source'!$C:$C,'1.1 Adjusted Income Stmt'!$AR39,'Income Statement Source'!K:K)/1000</f>
        <v>2.8177300000000001</v>
      </c>
      <c r="J39" s="20">
        <f>SUMIF('Income Statement Source'!$C:$C,'1.1 Adjusted Income Stmt'!$AR39,'Income Statement Source'!L:L)/1000</f>
        <v>3.887</v>
      </c>
      <c r="K39" s="20">
        <f>SUMIF('Income Statement Source'!$C:$C,'1.1 Adjusted Income Stmt'!$AR39,'Income Statement Source'!M:M)/1000</f>
        <v>3.1091899999999999</v>
      </c>
      <c r="L39" s="20">
        <f>SUMIF('Income Statement Source'!$C:$C,'1.1 Adjusted Income Stmt'!$AR39,'Income Statement Source'!N:N)/1000</f>
        <v>2.6560900000000003</v>
      </c>
      <c r="M39" s="20">
        <f>SUMIF('Income Statement Source'!$C:$C,'1.1 Adjusted Income Stmt'!$AR39,'Income Statement Source'!O:O)/1000</f>
        <v>3.3178400000000003</v>
      </c>
      <c r="N39" s="20">
        <f>SUMIF('Income Statement Source'!$C:$C,'1.1 Adjusted Income Stmt'!$AR39,'Income Statement Source'!P:P)/1000</f>
        <v>2.7219899999999999</v>
      </c>
      <c r="O39" s="20">
        <f>SUMIF('Income Statement Source'!$C:$C,'1.1 Adjusted Income Stmt'!$AR39,'Income Statement Source'!Q:Q)/1000</f>
        <v>2.3516300000000001</v>
      </c>
      <c r="P39" s="20">
        <f>SUMIF('Income Statement Source'!$C:$C,'1.1 Adjusted Income Stmt'!$AR39,'Income Statement Source'!R:R)/1000</f>
        <v>3.5063899999999997</v>
      </c>
      <c r="Q39" s="22">
        <f>SUM(E39:P39)</f>
        <v>34.085189999999997</v>
      </c>
      <c r="R39" s="20">
        <f>SUMIF('Income Statement Source'!$C:$C,'1.1 Adjusted Income Stmt'!$AR39,'Income Statement Source'!T:T)/1000</f>
        <v>1.9855499999999999</v>
      </c>
      <c r="S39" s="20">
        <f>SUMIF('Income Statement Source'!$C:$C,'1.1 Adjusted Income Stmt'!$AR39,'Income Statement Source'!U:U)/1000</f>
        <v>2.5338499999999997</v>
      </c>
      <c r="T39" s="20">
        <f>SUMIF('Income Statement Source'!$C:$C,'1.1 Adjusted Income Stmt'!$AR39,'Income Statement Source'!V:V)/1000</f>
        <v>3.5707900000000001</v>
      </c>
      <c r="U39" s="20">
        <f>SUMIF('Income Statement Source'!$C:$C,'1.1 Adjusted Income Stmt'!$AR39,'Income Statement Source'!W:W)/1000</f>
        <v>3.2108699999999999</v>
      </c>
      <c r="V39" s="20">
        <f>SUMIF('Income Statement Source'!$C:$C,'1.1 Adjusted Income Stmt'!$AR39,'Income Statement Source'!X:X)/1000</f>
        <v>3.18892</v>
      </c>
      <c r="W39" s="20">
        <f>SUMIF('Income Statement Source'!$C:$C,'1.1 Adjusted Income Stmt'!$AR39,'Income Statement Source'!Y:Y)/1000</f>
        <v>4.5047299999999995</v>
      </c>
      <c r="X39" s="20">
        <f>SUMIF('Income Statement Source'!$C:$C,'1.1 Adjusted Income Stmt'!$AR39,'Income Statement Source'!Z:Z)/1000</f>
        <v>3.5646499999999999</v>
      </c>
      <c r="Y39" s="20">
        <f>SUMIF('Income Statement Source'!$C:$C,'1.1 Adjusted Income Stmt'!$AR39,'Income Statement Source'!AA:AA)/1000</f>
        <v>4.0759099999999995</v>
      </c>
      <c r="Z39" s="20">
        <f>SUMIF('Income Statement Source'!$C:$C,'1.1 Adjusted Income Stmt'!$AR39,'Income Statement Source'!AB:AB)/1000</f>
        <v>4.2693599999999998</v>
      </c>
      <c r="AA39" s="20">
        <f>SUMIF('Income Statement Source'!$C:$C,'1.1 Adjusted Income Stmt'!$AR39,'Income Statement Source'!AC:AC)/1000</f>
        <v>3.2722099999999998</v>
      </c>
      <c r="AB39" s="20">
        <f>SUMIF('Income Statement Source'!$C:$C,'1.1 Adjusted Income Stmt'!$AR39,'Income Statement Source'!AD:AD)/1000</f>
        <v>2.7210900000000002</v>
      </c>
      <c r="AC39" s="20">
        <f>SUMIF('Income Statement Source'!$C:$C,'1.1 Adjusted Income Stmt'!$AR39,'Income Statement Source'!AE:AE)/1000</f>
        <v>4.0519600000000002</v>
      </c>
      <c r="AD39" s="22">
        <f>SUM(R39:AC39)</f>
        <v>40.949890000000003</v>
      </c>
      <c r="AE39" s="20">
        <f>SUMIF('Income Statement Source'!$C:$C,'1.1 Adjusted Income Stmt'!$AR39,'Income Statement Source'!AG:AG)/1000</f>
        <v>2.2647699999999999</v>
      </c>
      <c r="AF39" s="20">
        <f>SUMIF('Income Statement Source'!$C:$C,'1.1 Adjusted Income Stmt'!$AR39,'Income Statement Source'!AH:AH)/1000</f>
        <v>2.6579200000000003</v>
      </c>
      <c r="AG39" s="20">
        <f>SUMIF('Income Statement Source'!$C:$C,'1.1 Adjusted Income Stmt'!$AR39,'Income Statement Source'!AI:AI)/1000</f>
        <v>3.7126100000000002</v>
      </c>
      <c r="AH39" s="20">
        <f>SUMIF('Income Statement Source'!$C:$C,'1.1 Adjusted Income Stmt'!$AR39,'Income Statement Source'!AJ:AJ)/1000</f>
        <v>3.4766699999999999</v>
      </c>
      <c r="AI39" s="20">
        <f>SUMIF('Income Statement Source'!$C:$C,'1.1 Adjusted Income Stmt'!$AR39,'Income Statement Source'!AK:AK)/1000</f>
        <v>3.6762600000000001</v>
      </c>
      <c r="AJ39" s="20">
        <f>SUMIF('Income Statement Source'!$C:$C,'1.1 Adjusted Income Stmt'!$AR39,'Income Statement Source'!AL:AL)/1000</f>
        <v>4.9378199999999994</v>
      </c>
      <c r="AK39" s="20">
        <f>SUMIF('Income Statement Source'!$C:$C,'1.1 Adjusted Income Stmt'!$AR39,'Income Statement Source'!AM:AM)/1000</f>
        <v>3.6450800000000001</v>
      </c>
      <c r="AL39" s="20">
        <f>SUMIF('Income Statement Source'!$C:$C,'1.1 Adjusted Income Stmt'!$AR39,'Income Statement Source'!AN:AN)/1000</f>
        <v>3.6374299999999997</v>
      </c>
      <c r="AM39" s="20">
        <f>SUMIF('Income Statement Source'!$C:$C,'1.1 Adjusted Income Stmt'!$AR39,'Income Statement Source'!AO:AO)/1000</f>
        <v>4.1511400000000007</v>
      </c>
      <c r="AN39" s="20">
        <f>SUMIF('Income Statement Source'!$C:$C,'1.1 Adjusted Income Stmt'!$AR39,'Income Statement Source'!AP:AP)/1000</f>
        <v>3.4891000000000001</v>
      </c>
      <c r="AO39" s="22">
        <f>SUM(AE39:AN39)</f>
        <v>35.648800000000001</v>
      </c>
      <c r="AP39" s="22">
        <f>SUM(AO39,AB39:AC39)</f>
        <v>42.421849999999999</v>
      </c>
      <c r="AR39" s="4" t="s">
        <v>19</v>
      </c>
    </row>
    <row r="40" spans="2:44" x14ac:dyDescent="0.2">
      <c r="B40" s="25"/>
      <c r="E40" s="47">
        <f>IFERROR(E39/E$19,0)</f>
        <v>5.7844192543163482E-3</v>
      </c>
      <c r="F40" s="47">
        <f t="shared" ref="F40:AP40" si="19">IFERROR(F39/F$19,0)</f>
        <v>9.3488994283831162E-3</v>
      </c>
      <c r="G40" s="47">
        <f t="shared" si="19"/>
        <v>1.0923544613087361E-2</v>
      </c>
      <c r="H40" s="47">
        <f t="shared" si="19"/>
        <v>1.4927212692103814E-2</v>
      </c>
      <c r="I40" s="47">
        <f t="shared" si="19"/>
        <v>1.0173947051086644E-2</v>
      </c>
      <c r="J40" s="47">
        <f t="shared" si="19"/>
        <v>9.1010476312248702E-3</v>
      </c>
      <c r="K40" s="47">
        <f t="shared" si="19"/>
        <v>1.6337612644632474E-2</v>
      </c>
      <c r="L40" s="47">
        <f t="shared" si="19"/>
        <v>1.0713686841261864E-2</v>
      </c>
      <c r="M40" s="47">
        <f t="shared" si="19"/>
        <v>6.7341023341323056E-3</v>
      </c>
      <c r="N40" s="47">
        <f t="shared" si="19"/>
        <v>1.413836973471813E-2</v>
      </c>
      <c r="O40" s="47">
        <f t="shared" si="19"/>
        <v>9.6446680700238829E-3</v>
      </c>
      <c r="P40" s="47">
        <f t="shared" si="19"/>
        <v>8.5952664190948533E-3</v>
      </c>
      <c r="Q40" s="48">
        <f t="shared" si="19"/>
        <v>9.7803882791251077E-3</v>
      </c>
      <c r="R40" s="47">
        <f t="shared" si="19"/>
        <v>7.6403835362631759E-3</v>
      </c>
      <c r="S40" s="47">
        <f t="shared" si="19"/>
        <v>8.5544251012676566E-3</v>
      </c>
      <c r="T40" s="47">
        <f t="shared" si="19"/>
        <v>7.625451877029195E-3</v>
      </c>
      <c r="U40" s="47">
        <f t="shared" si="19"/>
        <v>1.4047899294189816E-2</v>
      </c>
      <c r="V40" s="47">
        <f t="shared" si="19"/>
        <v>8.3239678259233105E-3</v>
      </c>
      <c r="W40" s="47">
        <f t="shared" si="19"/>
        <v>8.6164926978924746E-3</v>
      </c>
      <c r="X40" s="47">
        <f t="shared" si="19"/>
        <v>8.1037024908285193E-3</v>
      </c>
      <c r="Y40" s="47">
        <f t="shared" si="19"/>
        <v>1.2922280772408996E-2</v>
      </c>
      <c r="Z40" s="47">
        <f t="shared" si="19"/>
        <v>8.719879271678381E-3</v>
      </c>
      <c r="AA40" s="47">
        <f t="shared" si="19"/>
        <v>9.3999587998526563E-3</v>
      </c>
      <c r="AB40" s="47">
        <f t="shared" si="19"/>
        <v>6.4262883021220631E-3</v>
      </c>
      <c r="AC40" s="47">
        <f t="shared" si="19"/>
        <v>1.0513859485608814E-2</v>
      </c>
      <c r="AD40" s="48">
        <f t="shared" si="19"/>
        <v>8.9789341962510944E-3</v>
      </c>
      <c r="AE40" s="47">
        <f t="shared" si="19"/>
        <v>1.0035249489381448E-2</v>
      </c>
      <c r="AF40" s="47">
        <f t="shared" si="19"/>
        <v>1.175790862472245E-2</v>
      </c>
      <c r="AG40" s="47">
        <f t="shared" si="19"/>
        <v>9.1003087464795358E-3</v>
      </c>
      <c r="AH40" s="47">
        <f t="shared" si="19"/>
        <v>8.7934664222119457E-3</v>
      </c>
      <c r="AI40" s="47">
        <f t="shared" si="19"/>
        <v>1.3981035221888712E-2</v>
      </c>
      <c r="AJ40" s="47">
        <f t="shared" si="19"/>
        <v>1.1962488399359327E-2</v>
      </c>
      <c r="AK40" s="47">
        <f t="shared" si="19"/>
        <v>1.1103444554212206E-2</v>
      </c>
      <c r="AL40" s="47">
        <f t="shared" si="19"/>
        <v>9.7631957528111386E-3</v>
      </c>
      <c r="AM40" s="47">
        <f t="shared" si="19"/>
        <v>1.259735278748164E-2</v>
      </c>
      <c r="AN40" s="47">
        <f t="shared" si="19"/>
        <v>8.9038773125125481E-3</v>
      </c>
      <c r="AO40" s="48">
        <f t="shared" si="19"/>
        <v>1.0631820507231568E-2</v>
      </c>
      <c r="AP40" s="48">
        <f t="shared" si="19"/>
        <v>1.0193022071169592E-2</v>
      </c>
    </row>
    <row r="41" spans="2:44" x14ac:dyDescent="0.2">
      <c r="B41" s="12" t="str">
        <f>+B22</f>
        <v>Cost of Goods Sold</v>
      </c>
      <c r="C41" s="13"/>
      <c r="D41" s="13"/>
      <c r="E41" s="42">
        <f>SUM(E35,E30,E37,E39)</f>
        <v>141.39237</v>
      </c>
      <c r="F41" s="42">
        <f t="shared" ref="F41:AP41" si="20">SUM(F35,F30,F37,F39)</f>
        <v>178.88457</v>
      </c>
      <c r="G41" s="42">
        <f t="shared" si="20"/>
        <v>135.20513</v>
      </c>
      <c r="H41" s="42">
        <f t="shared" si="20"/>
        <v>156.15733</v>
      </c>
      <c r="I41" s="42">
        <f t="shared" si="20"/>
        <v>184.49098000000001</v>
      </c>
      <c r="J41" s="42">
        <f t="shared" si="20"/>
        <v>295.47649000000001</v>
      </c>
      <c r="K41" s="42">
        <f t="shared" si="20"/>
        <v>134.07962000000003</v>
      </c>
      <c r="L41" s="42">
        <f t="shared" si="20"/>
        <v>170.68742</v>
      </c>
      <c r="M41" s="42">
        <f t="shared" si="20"/>
        <v>294.78703000000002</v>
      </c>
      <c r="N41" s="42">
        <f t="shared" si="20"/>
        <v>130.66772</v>
      </c>
      <c r="O41" s="42">
        <f t="shared" si="20"/>
        <v>140.21457000000001</v>
      </c>
      <c r="P41" s="42">
        <f t="shared" si="20"/>
        <v>202.82811000000001</v>
      </c>
      <c r="Q41" s="43">
        <f t="shared" si="20"/>
        <v>2164.8713400000001</v>
      </c>
      <c r="R41" s="42">
        <f t="shared" si="20"/>
        <v>155.45022</v>
      </c>
      <c r="S41" s="42">
        <f t="shared" si="20"/>
        <v>196.16367000000002</v>
      </c>
      <c r="T41" s="42">
        <f t="shared" si="20"/>
        <v>352.93572</v>
      </c>
      <c r="U41" s="42">
        <f t="shared" si="20"/>
        <v>160.89225999999999</v>
      </c>
      <c r="V41" s="42">
        <f t="shared" si="20"/>
        <v>283.42667999999998</v>
      </c>
      <c r="W41" s="42">
        <f t="shared" si="20"/>
        <v>323.78602000000001</v>
      </c>
      <c r="X41" s="42">
        <f t="shared" si="20"/>
        <v>370.04159999999996</v>
      </c>
      <c r="Y41" s="42">
        <f t="shared" si="20"/>
        <v>191.76606999999998</v>
      </c>
      <c r="Z41" s="42">
        <f t="shared" si="20"/>
        <v>299.46001000000001</v>
      </c>
      <c r="AA41" s="42">
        <f t="shared" si="20"/>
        <v>244.99347000000003</v>
      </c>
      <c r="AB41" s="42">
        <f t="shared" si="20"/>
        <v>286.00351999999998</v>
      </c>
      <c r="AC41" s="42">
        <f t="shared" si="20"/>
        <v>195.76840000000004</v>
      </c>
      <c r="AD41" s="43">
        <f t="shared" si="20"/>
        <v>3060.6876399999996</v>
      </c>
      <c r="AE41" s="42">
        <f t="shared" si="20"/>
        <v>132.54853</v>
      </c>
      <c r="AF41" s="42">
        <f t="shared" si="20"/>
        <v>177.66410000000002</v>
      </c>
      <c r="AG41" s="42">
        <f t="shared" si="20"/>
        <v>240.94684000000004</v>
      </c>
      <c r="AH41" s="42">
        <f t="shared" si="20"/>
        <v>290.88443000000007</v>
      </c>
      <c r="AI41" s="42">
        <f t="shared" si="20"/>
        <v>168.15902</v>
      </c>
      <c r="AJ41" s="42">
        <f t="shared" si="20"/>
        <v>288.42522000000002</v>
      </c>
      <c r="AK41" s="42">
        <f t="shared" si="20"/>
        <v>232.94067999999999</v>
      </c>
      <c r="AL41" s="42">
        <f t="shared" si="20"/>
        <v>289.46720999999997</v>
      </c>
      <c r="AM41" s="42">
        <f t="shared" si="20"/>
        <v>194.0746</v>
      </c>
      <c r="AN41" s="42">
        <f t="shared" si="20"/>
        <v>226.75874000000002</v>
      </c>
      <c r="AO41" s="43">
        <f t="shared" si="20"/>
        <v>2241.8693700000003</v>
      </c>
      <c r="AP41" s="43">
        <f t="shared" si="20"/>
        <v>2723.6412900000005</v>
      </c>
    </row>
    <row r="42" spans="2:44" x14ac:dyDescent="0.2">
      <c r="B42" s="14"/>
      <c r="C42" s="15"/>
      <c r="D42" s="15"/>
      <c r="E42" s="49">
        <f>IFERROR(E41/E$19,0)</f>
        <v>0.47203302866195396</v>
      </c>
      <c r="F42" s="49">
        <f t="shared" ref="F42:AP42" si="21">IFERROR(F41/F$19,0)</f>
        <v>0.72769489518643427</v>
      </c>
      <c r="G42" s="49">
        <f t="shared" si="21"/>
        <v>0.45624905994991677</v>
      </c>
      <c r="H42" s="49">
        <f t="shared" si="21"/>
        <v>0.95165905051892041</v>
      </c>
      <c r="I42" s="49">
        <f t="shared" si="21"/>
        <v>0.6661395740269952</v>
      </c>
      <c r="J42" s="49">
        <f t="shared" si="21"/>
        <v>0.69183061728766115</v>
      </c>
      <c r="K42" s="49">
        <f t="shared" si="21"/>
        <v>0.70453748246312309</v>
      </c>
      <c r="L42" s="49">
        <f t="shared" si="21"/>
        <v>0.68849006081229813</v>
      </c>
      <c r="M42" s="49">
        <f t="shared" si="21"/>
        <v>0.59831879379202435</v>
      </c>
      <c r="N42" s="49">
        <f t="shared" si="21"/>
        <v>0.6787051156516456</v>
      </c>
      <c r="O42" s="49">
        <f t="shared" si="21"/>
        <v>0.5750577200627347</v>
      </c>
      <c r="P42" s="49">
        <f t="shared" si="21"/>
        <v>0.49719558940433811</v>
      </c>
      <c r="Q42" s="50">
        <f t="shared" si="21"/>
        <v>0.62118715722429207</v>
      </c>
      <c r="R42" s="49">
        <f t="shared" si="21"/>
        <v>0.59817143944825801</v>
      </c>
      <c r="S42" s="49">
        <f t="shared" si="21"/>
        <v>0.66225996906083051</v>
      </c>
      <c r="T42" s="49">
        <f t="shared" si="21"/>
        <v>0.75369717864804431</v>
      </c>
      <c r="U42" s="49">
        <f t="shared" si="21"/>
        <v>0.70392082697044867</v>
      </c>
      <c r="V42" s="49">
        <f t="shared" si="21"/>
        <v>0.73982243685268412</v>
      </c>
      <c r="W42" s="49">
        <f t="shared" si="21"/>
        <v>0.61932676919808005</v>
      </c>
      <c r="X42" s="49">
        <f t="shared" si="21"/>
        <v>0.84123463331047088</v>
      </c>
      <c r="Y42" s="49">
        <f t="shared" si="21"/>
        <v>0.60797588738746378</v>
      </c>
      <c r="Z42" s="49">
        <f t="shared" si="21"/>
        <v>0.61162683256872252</v>
      </c>
      <c r="AA42" s="49">
        <f t="shared" si="21"/>
        <v>0.70378384157280194</v>
      </c>
      <c r="AB42" s="49">
        <f t="shared" si="21"/>
        <v>0.67544295666138687</v>
      </c>
      <c r="AC42" s="49">
        <f t="shared" si="21"/>
        <v>0.5079718085377104</v>
      </c>
      <c r="AD42" s="50">
        <f t="shared" si="21"/>
        <v>0.67110590321095009</v>
      </c>
      <c r="AE42" s="49">
        <f t="shared" si="21"/>
        <v>0.58732567457214713</v>
      </c>
      <c r="AF42" s="49">
        <f t="shared" si="21"/>
        <v>0.7859372192141042</v>
      </c>
      <c r="AG42" s="49">
        <f t="shared" si="21"/>
        <v>0.59060624075478041</v>
      </c>
      <c r="AH42" s="49">
        <f t="shared" si="21"/>
        <v>0.73572771299814532</v>
      </c>
      <c r="AI42" s="49">
        <f t="shared" si="21"/>
        <v>0.63951874500124806</v>
      </c>
      <c r="AJ42" s="49">
        <f t="shared" si="21"/>
        <v>0.69874627838452241</v>
      </c>
      <c r="AK42" s="49">
        <f t="shared" si="21"/>
        <v>0.70957123706488956</v>
      </c>
      <c r="AL42" s="49">
        <f t="shared" si="21"/>
        <v>0.7769565421877781</v>
      </c>
      <c r="AM42" s="49">
        <f t="shared" si="21"/>
        <v>0.58895296311118972</v>
      </c>
      <c r="AN42" s="49">
        <f t="shared" si="21"/>
        <v>0.57866842466536694</v>
      </c>
      <c r="AO42" s="50">
        <f t="shared" si="21"/>
        <v>0.66861024052703932</v>
      </c>
      <c r="AP42" s="50">
        <f t="shared" si="21"/>
        <v>0.6544301057808376</v>
      </c>
    </row>
    <row r="43" spans="2:44" x14ac:dyDescent="0.2">
      <c r="B43" s="25"/>
      <c r="Q43" s="17"/>
      <c r="AD43" s="17"/>
      <c r="AO43" s="17"/>
      <c r="AP43" s="17"/>
    </row>
    <row r="44" spans="2:44" x14ac:dyDescent="0.2">
      <c r="B44" s="12" t="s">
        <v>23</v>
      </c>
      <c r="C44" s="13"/>
      <c r="D44" s="13"/>
      <c r="E44" s="42">
        <f t="shared" ref="E44:AP44" si="22">+E19-E41</f>
        <v>158.14677538734114</v>
      </c>
      <c r="F44" s="42">
        <f t="shared" si="22"/>
        <v>66.939017857064812</v>
      </c>
      <c r="G44" s="42">
        <f t="shared" si="22"/>
        <v>161.13549153430341</v>
      </c>
      <c r="H44" s="42">
        <f t="shared" si="22"/>
        <v>7.9322458989005327</v>
      </c>
      <c r="I44" s="42">
        <f t="shared" si="22"/>
        <v>92.464461762304808</v>
      </c>
      <c r="J44" s="42">
        <f t="shared" si="22"/>
        <v>131.61719827650734</v>
      </c>
      <c r="K44" s="42">
        <f t="shared" si="22"/>
        <v>56.229090803073575</v>
      </c>
      <c r="L44" s="42">
        <f t="shared" si="22"/>
        <v>77.228170529540307</v>
      </c>
      <c r="M44" s="42">
        <f t="shared" si="22"/>
        <v>197.90521543608105</v>
      </c>
      <c r="N44" s="42">
        <f t="shared" si="22"/>
        <v>61.857305945239716</v>
      </c>
      <c r="O44" s="42">
        <f t="shared" si="22"/>
        <v>103.61238007503525</v>
      </c>
      <c r="P44" s="42">
        <f t="shared" si="22"/>
        <v>205.11619667214259</v>
      </c>
      <c r="Q44" s="43">
        <f t="shared" si="22"/>
        <v>1320.1835501775345</v>
      </c>
      <c r="R44" s="42">
        <f t="shared" si="22"/>
        <v>104.42547741441405</v>
      </c>
      <c r="S44" s="42">
        <f t="shared" si="22"/>
        <v>100.03975337494023</v>
      </c>
      <c r="T44" s="42">
        <f t="shared" si="22"/>
        <v>115.33685683660667</v>
      </c>
      <c r="U44" s="42">
        <f t="shared" si="22"/>
        <v>67.67358694681073</v>
      </c>
      <c r="V44" s="42">
        <f t="shared" si="22"/>
        <v>99.674272176767829</v>
      </c>
      <c r="W44" s="42">
        <f t="shared" si="22"/>
        <v>199.01718519529027</v>
      </c>
      <c r="X44" s="42">
        <f t="shared" si="22"/>
        <v>69.837579181904061</v>
      </c>
      <c r="Y44" s="42">
        <f t="shared" si="22"/>
        <v>123.65115949579288</v>
      </c>
      <c r="Z44" s="42">
        <f t="shared" si="22"/>
        <v>190.15227326481676</v>
      </c>
      <c r="AA44" s="42">
        <f t="shared" si="22"/>
        <v>103.11550256818734</v>
      </c>
      <c r="AB44" s="42">
        <f t="shared" si="22"/>
        <v>137.42752947555073</v>
      </c>
      <c r="AC44" s="42">
        <f t="shared" si="22"/>
        <v>189.62385348657659</v>
      </c>
      <c r="AD44" s="43">
        <f t="shared" si="22"/>
        <v>1499.9750294176579</v>
      </c>
      <c r="AE44" s="42">
        <f t="shared" si="22"/>
        <v>93.132954291587424</v>
      </c>
      <c r="AF44" s="42">
        <f t="shared" si="22"/>
        <v>48.389706406642432</v>
      </c>
      <c r="AG44" s="42">
        <f t="shared" si="22"/>
        <v>167.01843935782696</v>
      </c>
      <c r="AH44" s="42">
        <f t="shared" si="22"/>
        <v>104.48524938128122</v>
      </c>
      <c r="AI44" s="42">
        <f t="shared" si="22"/>
        <v>94.787174016051608</v>
      </c>
      <c r="AJ44" s="42">
        <f t="shared" si="22"/>
        <v>124.35010191917974</v>
      </c>
      <c r="AK44" s="42">
        <f t="shared" si="22"/>
        <v>95.343032518490645</v>
      </c>
      <c r="AL44" s="42">
        <f t="shared" si="22"/>
        <v>83.098299500582016</v>
      </c>
      <c r="AM44" s="42">
        <f t="shared" si="22"/>
        <v>135.4501874716274</v>
      </c>
      <c r="AN44" s="42">
        <f t="shared" si="22"/>
        <v>165.10425154153833</v>
      </c>
      <c r="AO44" s="43">
        <f t="shared" si="22"/>
        <v>1111.1593964048075</v>
      </c>
      <c r="AP44" s="43">
        <f t="shared" si="22"/>
        <v>1438.2107793669338</v>
      </c>
    </row>
    <row r="45" spans="2:44" x14ac:dyDescent="0.2">
      <c r="B45" s="14"/>
      <c r="C45" s="15"/>
      <c r="D45" s="15"/>
      <c r="E45" s="49">
        <f>IFERROR(E44/E$19,0)</f>
        <v>0.52796697133804604</v>
      </c>
      <c r="F45" s="49">
        <f t="shared" ref="F45:AP45" si="23">IFERROR(F44/F$19,0)</f>
        <v>0.27230510481356573</v>
      </c>
      <c r="G45" s="49">
        <f t="shared" si="23"/>
        <v>0.54375094005008318</v>
      </c>
      <c r="H45" s="49">
        <f t="shared" si="23"/>
        <v>4.8340949481079629E-2</v>
      </c>
      <c r="I45" s="49">
        <f t="shared" si="23"/>
        <v>0.3338604259730048</v>
      </c>
      <c r="J45" s="49">
        <f t="shared" si="23"/>
        <v>0.30816938271233885</v>
      </c>
      <c r="K45" s="49">
        <f t="shared" si="23"/>
        <v>0.29546251753687691</v>
      </c>
      <c r="L45" s="49">
        <f t="shared" si="23"/>
        <v>0.31150993918770192</v>
      </c>
      <c r="M45" s="49">
        <f t="shared" si="23"/>
        <v>0.40168120620797571</v>
      </c>
      <c r="N45" s="49">
        <f t="shared" si="23"/>
        <v>0.32129488434835435</v>
      </c>
      <c r="O45" s="49">
        <f t="shared" si="23"/>
        <v>0.4249422799372653</v>
      </c>
      <c r="P45" s="49">
        <f t="shared" si="23"/>
        <v>0.50280441059566183</v>
      </c>
      <c r="Q45" s="50">
        <f t="shared" si="23"/>
        <v>0.37881284277570793</v>
      </c>
      <c r="R45" s="49">
        <f t="shared" si="23"/>
        <v>0.40182856055174199</v>
      </c>
      <c r="S45" s="49">
        <f t="shared" si="23"/>
        <v>0.33774003093916943</v>
      </c>
      <c r="T45" s="49">
        <f t="shared" si="23"/>
        <v>0.24630282135195566</v>
      </c>
      <c r="U45" s="49">
        <f t="shared" si="23"/>
        <v>0.29607917302955139</v>
      </c>
      <c r="V45" s="49">
        <f t="shared" si="23"/>
        <v>0.26017756314731583</v>
      </c>
      <c r="W45" s="49">
        <f t="shared" si="23"/>
        <v>0.38067323080192</v>
      </c>
      <c r="X45" s="49">
        <f t="shared" si="23"/>
        <v>0.15876536668952909</v>
      </c>
      <c r="Y45" s="49">
        <f t="shared" si="23"/>
        <v>0.39202411261253622</v>
      </c>
      <c r="Z45" s="49">
        <f t="shared" si="23"/>
        <v>0.38837316743127753</v>
      </c>
      <c r="AA45" s="49">
        <f t="shared" si="23"/>
        <v>0.29621615842719806</v>
      </c>
      <c r="AB45" s="49">
        <f t="shared" si="23"/>
        <v>0.32455704333861307</v>
      </c>
      <c r="AC45" s="49">
        <f t="shared" si="23"/>
        <v>0.49202819146228965</v>
      </c>
      <c r="AD45" s="50">
        <f t="shared" si="23"/>
        <v>0.32889409678904991</v>
      </c>
      <c r="AE45" s="49">
        <f t="shared" si="23"/>
        <v>0.41267432542785293</v>
      </c>
      <c r="AF45" s="49">
        <f t="shared" si="23"/>
        <v>0.2140627807858958</v>
      </c>
      <c r="AG45" s="49">
        <f t="shared" si="23"/>
        <v>0.40939375924521954</v>
      </c>
      <c r="AH45" s="49">
        <f t="shared" si="23"/>
        <v>0.26427228700185462</v>
      </c>
      <c r="AI45" s="49">
        <f t="shared" si="23"/>
        <v>0.36048125499875194</v>
      </c>
      <c r="AJ45" s="49">
        <f t="shared" si="23"/>
        <v>0.30125372161547764</v>
      </c>
      <c r="AK45" s="49">
        <f t="shared" si="23"/>
        <v>0.29042876293511038</v>
      </c>
      <c r="AL45" s="49">
        <f t="shared" si="23"/>
        <v>0.2230434578122219</v>
      </c>
      <c r="AM45" s="49">
        <f t="shared" si="23"/>
        <v>0.41104703688881028</v>
      </c>
      <c r="AN45" s="49">
        <f t="shared" si="23"/>
        <v>0.42133157533463306</v>
      </c>
      <c r="AO45" s="50">
        <f t="shared" si="23"/>
        <v>0.33138975947296073</v>
      </c>
      <c r="AP45" s="50">
        <f t="shared" si="23"/>
        <v>0.34556989421916245</v>
      </c>
    </row>
    <row r="46" spans="2:44" x14ac:dyDescent="0.2">
      <c r="B46" s="25"/>
      <c r="Q46" s="17"/>
      <c r="AD46" s="17"/>
      <c r="AO46" s="17"/>
      <c r="AP46" s="17"/>
    </row>
    <row r="47" spans="2:44" x14ac:dyDescent="0.2">
      <c r="B47" s="26" t="s">
        <v>70</v>
      </c>
      <c r="Q47" s="17"/>
      <c r="AD47" s="17"/>
      <c r="AO47" s="17"/>
      <c r="AP47" s="17"/>
    </row>
    <row r="48" spans="2:44" hidden="1" outlineLevel="1" x14ac:dyDescent="0.2">
      <c r="B48" s="29" t="s">
        <v>94</v>
      </c>
      <c r="Q48" s="17"/>
      <c r="AD48" s="17"/>
      <c r="AO48" s="17"/>
      <c r="AP48" s="17"/>
    </row>
    <row r="49" spans="2:44" hidden="1" outlineLevel="1" x14ac:dyDescent="0.2">
      <c r="B49" s="30" t="str">
        <f t="shared" ref="B49:B55" si="24">+AR49</f>
        <v>Officer Salaries</v>
      </c>
      <c r="E49" s="20">
        <f>SUMIF('Income Statement Source'!$C:$C,'1.1 Adjusted Income Stmt'!$AR49,'Income Statement Source'!G:G)/1000</f>
        <v>14.566360000000001</v>
      </c>
      <c r="F49" s="20">
        <f>SUMIF('Income Statement Source'!$C:$C,'1.1 Adjusted Income Stmt'!$AR49,'Income Statement Source'!H:H)/1000</f>
        <v>14.841040000000001</v>
      </c>
      <c r="G49" s="20">
        <f>SUMIF('Income Statement Source'!$C:$C,'1.1 Adjusted Income Stmt'!$AR49,'Income Statement Source'!I:I)/1000</f>
        <v>14.63945</v>
      </c>
      <c r="H49" s="20">
        <f>SUMIF('Income Statement Source'!$C:$C,'1.1 Adjusted Income Stmt'!$AR49,'Income Statement Source'!J:J)/1000</f>
        <v>14.88982</v>
      </c>
      <c r="I49" s="20">
        <f>SUMIF('Income Statement Source'!$C:$C,'1.1 Adjusted Income Stmt'!$AR49,'Income Statement Source'!K:K)/1000</f>
        <v>22.240500000000001</v>
      </c>
      <c r="J49" s="20">
        <f>SUMIF('Income Statement Source'!$C:$C,'1.1 Adjusted Income Stmt'!$AR49,'Income Statement Source'!L:L)/1000</f>
        <v>14.523370000000002</v>
      </c>
      <c r="K49" s="20">
        <f>SUMIF('Income Statement Source'!$C:$C,'1.1 Adjusted Income Stmt'!$AR49,'Income Statement Source'!M:M)/1000</f>
        <v>14.647969999999999</v>
      </c>
      <c r="L49" s="20">
        <f>SUMIF('Income Statement Source'!$C:$C,'1.1 Adjusted Income Stmt'!$AR49,'Income Statement Source'!N:N)/1000</f>
        <v>15.039729999999999</v>
      </c>
      <c r="M49" s="20">
        <f>SUMIF('Income Statement Source'!$C:$C,'1.1 Adjusted Income Stmt'!$AR49,'Income Statement Source'!O:O)/1000</f>
        <v>14.89935</v>
      </c>
      <c r="N49" s="20">
        <f>SUMIF('Income Statement Source'!$C:$C,'1.1 Adjusted Income Stmt'!$AR49,'Income Statement Source'!P:P)/1000</f>
        <v>21.52403</v>
      </c>
      <c r="O49" s="20">
        <f>SUMIF('Income Statement Source'!$C:$C,'1.1 Adjusted Income Stmt'!$AR49,'Income Statement Source'!Q:Q)/1000</f>
        <v>14.90499</v>
      </c>
      <c r="P49" s="20">
        <f>SUMIF('Income Statement Source'!$C:$C,'1.1 Adjusted Income Stmt'!$AR49,'Income Statement Source'!R:R)/1000</f>
        <v>15.06362</v>
      </c>
      <c r="Q49" s="22">
        <f t="shared" ref="Q49:Q55" si="25">SUM(E49:P49)</f>
        <v>191.78023000000002</v>
      </c>
      <c r="R49" s="20">
        <f>SUMIF('Income Statement Source'!$C:$C,'1.1 Adjusted Income Stmt'!$AR49,'Income Statement Source'!T:T)/1000</f>
        <v>14.66461</v>
      </c>
      <c r="S49" s="20">
        <f>SUMIF('Income Statement Source'!$C:$C,'1.1 Adjusted Income Stmt'!$AR49,'Income Statement Source'!U:U)/1000</f>
        <v>14.34938</v>
      </c>
      <c r="T49" s="20">
        <f>SUMIF('Income Statement Source'!$C:$C,'1.1 Adjusted Income Stmt'!$AR49,'Income Statement Source'!V:V)/1000</f>
        <v>14.422840000000001</v>
      </c>
      <c r="U49" s="20">
        <f>SUMIF('Income Statement Source'!$C:$C,'1.1 Adjusted Income Stmt'!$AR49,'Income Statement Source'!W:W)/1000</f>
        <v>14.97625</v>
      </c>
      <c r="V49" s="20">
        <f>SUMIF('Income Statement Source'!$C:$C,'1.1 Adjusted Income Stmt'!$AR49,'Income Statement Source'!X:X)/1000</f>
        <v>22.597169999999998</v>
      </c>
      <c r="W49" s="20">
        <f>SUMIF('Income Statement Source'!$C:$C,'1.1 Adjusted Income Stmt'!$AR49,'Income Statement Source'!Y:Y)/1000</f>
        <v>14.674440000000001</v>
      </c>
      <c r="X49" s="20">
        <f>SUMIF('Income Statement Source'!$C:$C,'1.1 Adjusted Income Stmt'!$AR49,'Income Statement Source'!Z:Z)/1000</f>
        <v>15.05092</v>
      </c>
      <c r="Y49" s="20">
        <f>SUMIF('Income Statement Source'!$C:$C,'1.1 Adjusted Income Stmt'!$AR49,'Income Statement Source'!AA:AA)/1000</f>
        <v>14.398020000000001</v>
      </c>
      <c r="Z49" s="20">
        <f>SUMIF('Income Statement Source'!$C:$C,'1.1 Adjusted Income Stmt'!$AR49,'Income Statement Source'!AB:AB)/1000</f>
        <v>14.37866</v>
      </c>
      <c r="AA49" s="20">
        <f>SUMIF('Income Statement Source'!$C:$C,'1.1 Adjusted Income Stmt'!$AR49,'Income Statement Source'!AC:AC)/1000</f>
        <v>21.945209999999999</v>
      </c>
      <c r="AB49" s="20">
        <f>SUMIF('Income Statement Source'!$C:$C,'1.1 Adjusted Income Stmt'!$AR49,'Income Statement Source'!AD:AD)/1000</f>
        <v>14.38593</v>
      </c>
      <c r="AC49" s="20">
        <f>SUMIF('Income Statement Source'!$C:$C,'1.1 Adjusted Income Stmt'!$AR49,'Income Statement Source'!AE:AE)/1000</f>
        <v>14.51441</v>
      </c>
      <c r="AD49" s="22">
        <f t="shared" ref="AD49:AD55" si="26">SUM(R49:AC49)</f>
        <v>190.35784000000001</v>
      </c>
      <c r="AE49" s="20">
        <f>SUMIF('Income Statement Source'!$C:$C,'1.1 Adjusted Income Stmt'!$AR49,'Income Statement Source'!AG:AG)/1000</f>
        <v>14.74103</v>
      </c>
      <c r="AF49" s="20">
        <f>SUMIF('Income Statement Source'!$C:$C,'1.1 Adjusted Income Stmt'!$AR49,'Income Statement Source'!AH:AH)/1000</f>
        <v>14.78242</v>
      </c>
      <c r="AG49" s="20">
        <f>SUMIF('Income Statement Source'!$C:$C,'1.1 Adjusted Income Stmt'!$AR49,'Income Statement Source'!AI:AI)/1000</f>
        <v>14.466839999999999</v>
      </c>
      <c r="AH49" s="20">
        <f>SUMIF('Income Statement Source'!$C:$C,'1.1 Adjusted Income Stmt'!$AR49,'Income Statement Source'!AJ:AJ)/1000</f>
        <v>14.596780000000001</v>
      </c>
      <c r="AI49" s="20">
        <f>SUMIF('Income Statement Source'!$C:$C,'1.1 Adjusted Income Stmt'!$AR49,'Income Statement Source'!AK:AK)/1000</f>
        <v>22.599720000000001</v>
      </c>
      <c r="AJ49" s="20">
        <f>SUMIF('Income Statement Source'!$C:$C,'1.1 Adjusted Income Stmt'!$AR49,'Income Statement Source'!AL:AL)/1000</f>
        <v>14.36219</v>
      </c>
      <c r="AK49" s="20">
        <f>SUMIF('Income Statement Source'!$C:$C,'1.1 Adjusted Income Stmt'!$AR49,'Income Statement Source'!AM:AM)/1000</f>
        <v>14.34703</v>
      </c>
      <c r="AL49" s="20">
        <f>SUMIF('Income Statement Source'!$C:$C,'1.1 Adjusted Income Stmt'!$AR49,'Income Statement Source'!AN:AN)/1000</f>
        <v>14.4056</v>
      </c>
      <c r="AM49" s="20">
        <f>SUMIF('Income Statement Source'!$C:$C,'1.1 Adjusted Income Stmt'!$AR49,'Income Statement Source'!AO:AO)/1000</f>
        <v>14.37448</v>
      </c>
      <c r="AN49" s="20">
        <f>SUMIF('Income Statement Source'!$C:$C,'1.1 Adjusted Income Stmt'!$AR49,'Income Statement Source'!AP:AP)/1000</f>
        <v>21.84806</v>
      </c>
      <c r="AO49" s="22">
        <f t="shared" ref="AO49:AO55" si="27">SUM(AE49:AN49)</f>
        <v>160.52415000000002</v>
      </c>
      <c r="AP49" s="22">
        <f t="shared" ref="AP49:AP55" si="28">SUM(AO49,AB49:AC49)</f>
        <v>189.42449000000002</v>
      </c>
      <c r="AR49" s="53" t="s">
        <v>26</v>
      </c>
    </row>
    <row r="50" spans="2:44" hidden="1" outlineLevel="1" x14ac:dyDescent="0.2">
      <c r="B50" s="30" t="str">
        <f t="shared" si="24"/>
        <v>Office Salaries</v>
      </c>
      <c r="E50" s="20">
        <f>SUMIF('Income Statement Source'!$C:$C,'1.1 Adjusted Income Stmt'!$AR50,'Income Statement Source'!G:G)/1000</f>
        <v>10.490069999999999</v>
      </c>
      <c r="F50" s="20">
        <f>SUMIF('Income Statement Source'!$C:$C,'1.1 Adjusted Income Stmt'!$AR50,'Income Statement Source'!H:H)/1000</f>
        <v>10.399469999999999</v>
      </c>
      <c r="G50" s="20">
        <f>SUMIF('Income Statement Source'!$C:$C,'1.1 Adjusted Income Stmt'!$AR50,'Income Statement Source'!I:I)/1000</f>
        <v>10.378270000000001</v>
      </c>
      <c r="H50" s="20">
        <f>SUMIF('Income Statement Source'!$C:$C,'1.1 Adjusted Income Stmt'!$AR50,'Income Statement Source'!J:J)/1000</f>
        <v>10.65348</v>
      </c>
      <c r="I50" s="20">
        <f>SUMIF('Income Statement Source'!$C:$C,'1.1 Adjusted Income Stmt'!$AR50,'Income Statement Source'!K:K)/1000</f>
        <v>15.478459999999998</v>
      </c>
      <c r="J50" s="20">
        <f>SUMIF('Income Statement Source'!$C:$C,'1.1 Adjusted Income Stmt'!$AR50,'Income Statement Source'!L:L)/1000</f>
        <v>10.261959999999998</v>
      </c>
      <c r="K50" s="20">
        <f>SUMIF('Income Statement Source'!$C:$C,'1.1 Adjusted Income Stmt'!$AR50,'Income Statement Source'!M:M)/1000</f>
        <v>10.44299</v>
      </c>
      <c r="L50" s="20">
        <f>SUMIF('Income Statement Source'!$C:$C,'1.1 Adjusted Income Stmt'!$AR50,'Income Statement Source'!N:N)/1000</f>
        <v>10.30673</v>
      </c>
      <c r="M50" s="20">
        <f>SUMIF('Income Statement Source'!$C:$C,'1.1 Adjusted Income Stmt'!$AR50,'Income Statement Source'!O:O)/1000</f>
        <v>10.377799999999999</v>
      </c>
      <c r="N50" s="20">
        <f>SUMIF('Income Statement Source'!$C:$C,'1.1 Adjusted Income Stmt'!$AR50,'Income Statement Source'!P:P)/1000</f>
        <v>15.50783</v>
      </c>
      <c r="O50" s="20">
        <f>SUMIF('Income Statement Source'!$C:$C,'1.1 Adjusted Income Stmt'!$AR50,'Income Statement Source'!Q:Q)/1000</f>
        <v>10.39142</v>
      </c>
      <c r="P50" s="20">
        <f>SUMIF('Income Statement Source'!$C:$C,'1.1 Adjusted Income Stmt'!$AR50,'Income Statement Source'!R:R)/1000</f>
        <v>10.666969999999999</v>
      </c>
      <c r="Q50" s="22">
        <f t="shared" si="25"/>
        <v>135.35544999999999</v>
      </c>
      <c r="R50" s="20">
        <f>SUMIF('Income Statement Source'!$C:$C,'1.1 Adjusted Income Stmt'!$AR50,'Income Statement Source'!T:T)/1000</f>
        <v>10.583620000000002</v>
      </c>
      <c r="S50" s="20">
        <f>SUMIF('Income Statement Source'!$C:$C,'1.1 Adjusted Income Stmt'!$AR50,'Income Statement Source'!U:U)/1000</f>
        <v>10.358799999999999</v>
      </c>
      <c r="T50" s="20">
        <f>SUMIF('Income Statement Source'!$C:$C,'1.1 Adjusted Income Stmt'!$AR50,'Income Statement Source'!V:V)/1000</f>
        <v>10.701879999999999</v>
      </c>
      <c r="U50" s="20">
        <f>SUMIF('Income Statement Source'!$C:$C,'1.1 Adjusted Income Stmt'!$AR50,'Income Statement Source'!W:W)/1000</f>
        <v>10.62355</v>
      </c>
      <c r="V50" s="20">
        <f>SUMIF('Income Statement Source'!$C:$C,'1.1 Adjusted Income Stmt'!$AR50,'Income Statement Source'!X:X)/1000</f>
        <v>16.069610000000001</v>
      </c>
      <c r="W50" s="20">
        <f>SUMIF('Income Statement Source'!$C:$C,'1.1 Adjusted Income Stmt'!$AR50,'Income Statement Source'!Y:Y)/1000</f>
        <v>10.35528</v>
      </c>
      <c r="X50" s="20">
        <f>SUMIF('Income Statement Source'!$C:$C,'1.1 Adjusted Income Stmt'!$AR50,'Income Statement Source'!Z:Z)/1000</f>
        <v>10.25305</v>
      </c>
      <c r="Y50" s="20">
        <f>SUMIF('Income Statement Source'!$C:$C,'1.1 Adjusted Income Stmt'!$AR50,'Income Statement Source'!AA:AA)/1000</f>
        <v>10.58769</v>
      </c>
      <c r="Z50" s="20">
        <f>SUMIF('Income Statement Source'!$C:$C,'1.1 Adjusted Income Stmt'!$AR50,'Income Statement Source'!AB:AB)/1000</f>
        <v>10.35999</v>
      </c>
      <c r="AA50" s="20">
        <f>SUMIF('Income Statement Source'!$C:$C,'1.1 Adjusted Income Stmt'!$AR50,'Income Statement Source'!AC:AC)/1000</f>
        <v>15.906090000000001</v>
      </c>
      <c r="AB50" s="20">
        <f>SUMIF('Income Statement Source'!$C:$C,'1.1 Adjusted Income Stmt'!$AR50,'Income Statement Source'!AD:AD)/1000</f>
        <v>10.40049</v>
      </c>
      <c r="AC50" s="20">
        <f>SUMIF('Income Statement Source'!$C:$C,'1.1 Adjusted Income Stmt'!$AR50,'Income Statement Source'!AE:AE)/1000</f>
        <v>10.29393</v>
      </c>
      <c r="AD50" s="22">
        <f t="shared" si="26"/>
        <v>136.49397999999999</v>
      </c>
      <c r="AE50" s="20">
        <f>SUMIF('Income Statement Source'!$C:$C,'1.1 Adjusted Income Stmt'!$AR50,'Income Statement Source'!AG:AG)/1000</f>
        <v>10.2689</v>
      </c>
      <c r="AF50" s="20">
        <f>SUMIF('Income Statement Source'!$C:$C,'1.1 Adjusted Income Stmt'!$AR50,'Income Statement Source'!AH:AH)/1000</f>
        <v>10.34273</v>
      </c>
      <c r="AG50" s="20">
        <f>SUMIF('Income Statement Source'!$C:$C,'1.1 Adjusted Income Stmt'!$AR50,'Income Statement Source'!AI:AI)/1000</f>
        <v>10.55627</v>
      </c>
      <c r="AH50" s="20">
        <f>SUMIF('Income Statement Source'!$C:$C,'1.1 Adjusted Income Stmt'!$AR50,'Income Statement Source'!AJ:AJ)/1000</f>
        <v>10.677940000000001</v>
      </c>
      <c r="AI50" s="20">
        <f>SUMIF('Income Statement Source'!$C:$C,'1.1 Adjusted Income Stmt'!$AR50,'Income Statement Source'!AK:AK)/1000</f>
        <v>15.376940000000001</v>
      </c>
      <c r="AJ50" s="20">
        <f>SUMIF('Income Statement Source'!$C:$C,'1.1 Adjusted Income Stmt'!$AR50,'Income Statement Source'!AL:AL)/1000</f>
        <v>10.37989</v>
      </c>
      <c r="AK50" s="20">
        <f>SUMIF('Income Statement Source'!$C:$C,'1.1 Adjusted Income Stmt'!$AR50,'Income Statement Source'!AM:AM)/1000</f>
        <v>10.47105</v>
      </c>
      <c r="AL50" s="20">
        <f>SUMIF('Income Statement Source'!$C:$C,'1.1 Adjusted Income Stmt'!$AR50,'Income Statement Source'!AN:AN)/1000</f>
        <v>10.52717</v>
      </c>
      <c r="AM50" s="20">
        <f>SUMIF('Income Statement Source'!$C:$C,'1.1 Adjusted Income Stmt'!$AR50,'Income Statement Source'!AO:AO)/1000</f>
        <v>10.23864</v>
      </c>
      <c r="AN50" s="20">
        <f>SUMIF('Income Statement Source'!$C:$C,'1.1 Adjusted Income Stmt'!$AR50,'Income Statement Source'!AP:AP)/1000</f>
        <v>15.930429999999999</v>
      </c>
      <c r="AO50" s="22">
        <f t="shared" si="27"/>
        <v>114.76996000000001</v>
      </c>
      <c r="AP50" s="22">
        <f t="shared" si="28"/>
        <v>135.46438000000001</v>
      </c>
      <c r="AR50" s="53" t="s">
        <v>27</v>
      </c>
    </row>
    <row r="51" spans="2:44" hidden="1" outlineLevel="1" x14ac:dyDescent="0.2">
      <c r="B51" s="30" t="str">
        <f t="shared" si="24"/>
        <v>Project Manager Salaries</v>
      </c>
      <c r="E51" s="20">
        <f>SUMIF('Income Statement Source'!$C:$C,'1.1 Adjusted Income Stmt'!$AR51,'Income Statement Source'!G:G)/1000</f>
        <v>8.3378700000000006</v>
      </c>
      <c r="F51" s="20">
        <f>SUMIF('Income Statement Source'!$C:$C,'1.1 Adjusted Income Stmt'!$AR51,'Income Statement Source'!H:H)/1000</f>
        <v>8.3825699999999994</v>
      </c>
      <c r="G51" s="20">
        <f>SUMIF('Income Statement Source'!$C:$C,'1.1 Adjusted Income Stmt'!$AR51,'Income Statement Source'!I:I)/1000</f>
        <v>8.2644300000000008</v>
      </c>
      <c r="H51" s="20">
        <f>SUMIF('Income Statement Source'!$C:$C,'1.1 Adjusted Income Stmt'!$AR51,'Income Statement Source'!J:J)/1000</f>
        <v>8.303370000000001</v>
      </c>
      <c r="I51" s="20">
        <f>SUMIF('Income Statement Source'!$C:$C,'1.1 Adjusted Income Stmt'!$AR51,'Income Statement Source'!K:K)/1000</f>
        <v>12.61894</v>
      </c>
      <c r="J51" s="20">
        <f>SUMIF('Income Statement Source'!$C:$C,'1.1 Adjusted Income Stmt'!$AR51,'Income Statement Source'!L:L)/1000</f>
        <v>8.3984199999999998</v>
      </c>
      <c r="K51" s="20">
        <f>SUMIF('Income Statement Source'!$C:$C,'1.1 Adjusted Income Stmt'!$AR51,'Income Statement Source'!M:M)/1000</f>
        <v>8.2328600000000005</v>
      </c>
      <c r="L51" s="20">
        <f>SUMIF('Income Statement Source'!$C:$C,'1.1 Adjusted Income Stmt'!$AR51,'Income Statement Source'!N:N)/1000</f>
        <v>8.3010800000000007</v>
      </c>
      <c r="M51" s="20">
        <f>SUMIF('Income Statement Source'!$C:$C,'1.1 Adjusted Income Stmt'!$AR51,'Income Statement Source'!O:O)/1000</f>
        <v>8.3152500000000007</v>
      </c>
      <c r="N51" s="20">
        <f>SUMIF('Income Statement Source'!$C:$C,'1.1 Adjusted Income Stmt'!$AR51,'Income Statement Source'!P:P)/1000</f>
        <v>12.692350000000001</v>
      </c>
      <c r="O51" s="20">
        <f>SUMIF('Income Statement Source'!$C:$C,'1.1 Adjusted Income Stmt'!$AR51,'Income Statement Source'!Q:Q)/1000</f>
        <v>8.4483099999999993</v>
      </c>
      <c r="P51" s="20">
        <f>SUMIF('Income Statement Source'!$C:$C,'1.1 Adjusted Income Stmt'!$AR51,'Income Statement Source'!R:R)/1000</f>
        <v>8.4352900000000002</v>
      </c>
      <c r="Q51" s="22">
        <f t="shared" si="25"/>
        <v>108.73074000000001</v>
      </c>
      <c r="R51" s="20">
        <f>SUMIF('Income Statement Source'!$C:$C,'1.1 Adjusted Income Stmt'!$AR51,'Income Statement Source'!T:T)/1000</f>
        <v>8.2014200000000006</v>
      </c>
      <c r="S51" s="20">
        <f>SUMIF('Income Statement Source'!$C:$C,'1.1 Adjusted Income Stmt'!$AR51,'Income Statement Source'!U:U)/1000</f>
        <v>8.3699899999999996</v>
      </c>
      <c r="T51" s="20">
        <f>SUMIF('Income Statement Source'!$C:$C,'1.1 Adjusted Income Stmt'!$AR51,'Income Statement Source'!V:V)/1000</f>
        <v>8.4596100000000014</v>
      </c>
      <c r="U51" s="20">
        <f>SUMIF('Income Statement Source'!$C:$C,'1.1 Adjusted Income Stmt'!$AR51,'Income Statement Source'!W:W)/1000</f>
        <v>8.2037099999999992</v>
      </c>
      <c r="V51" s="20">
        <f>SUMIF('Income Statement Source'!$C:$C,'1.1 Adjusted Income Stmt'!$AR51,'Income Statement Source'!X:X)/1000</f>
        <v>12.885809999999999</v>
      </c>
      <c r="W51" s="20">
        <f>SUMIF('Income Statement Source'!$C:$C,'1.1 Adjusted Income Stmt'!$AR51,'Income Statement Source'!Y:Y)/1000</f>
        <v>8.4592999999999989</v>
      </c>
      <c r="X51" s="20">
        <f>SUMIF('Income Statement Source'!$C:$C,'1.1 Adjusted Income Stmt'!$AR51,'Income Statement Source'!Z:Z)/1000</f>
        <v>8.4639400000000009</v>
      </c>
      <c r="Y51" s="20">
        <f>SUMIF('Income Statement Source'!$C:$C,'1.1 Adjusted Income Stmt'!$AR51,'Income Statement Source'!AA:AA)/1000</f>
        <v>8.55762</v>
      </c>
      <c r="Z51" s="20">
        <f>SUMIF('Income Statement Source'!$C:$C,'1.1 Adjusted Income Stmt'!$AR51,'Income Statement Source'!AB:AB)/1000</f>
        <v>8.2210099999999997</v>
      </c>
      <c r="AA51" s="20">
        <f>SUMIF('Income Statement Source'!$C:$C,'1.1 Adjusted Income Stmt'!$AR51,'Income Statement Source'!AC:AC)/1000</f>
        <v>12.44303</v>
      </c>
      <c r="AB51" s="20">
        <f>SUMIF('Income Statement Source'!$C:$C,'1.1 Adjusted Income Stmt'!$AR51,'Income Statement Source'!AD:AD)/1000</f>
        <v>8.5754199999999994</v>
      </c>
      <c r="AC51" s="20">
        <f>SUMIF('Income Statement Source'!$C:$C,'1.1 Adjusted Income Stmt'!$AR51,'Income Statement Source'!AE:AE)/1000</f>
        <v>8.2289899999999996</v>
      </c>
      <c r="AD51" s="22">
        <f t="shared" si="26"/>
        <v>109.06984999999997</v>
      </c>
      <c r="AE51" s="20">
        <f>SUMIF('Income Statement Source'!$C:$C,'1.1 Adjusted Income Stmt'!$AR51,'Income Statement Source'!AG:AG)/1000</f>
        <v>8.468729999999999</v>
      </c>
      <c r="AF51" s="20">
        <f>SUMIF('Income Statement Source'!$C:$C,'1.1 Adjusted Income Stmt'!$AR51,'Income Statement Source'!AH:AH)/1000</f>
        <v>8.5902999999999992</v>
      </c>
      <c r="AG51" s="20">
        <f>SUMIF('Income Statement Source'!$C:$C,'1.1 Adjusted Income Stmt'!$AR51,'Income Statement Source'!AI:AI)/1000</f>
        <v>8.60684</v>
      </c>
      <c r="AH51" s="20">
        <f>SUMIF('Income Statement Source'!$C:$C,'1.1 Adjusted Income Stmt'!$AR51,'Income Statement Source'!AJ:AJ)/1000</f>
        <v>8.234770000000001</v>
      </c>
      <c r="AI51" s="20">
        <f>SUMIF('Income Statement Source'!$C:$C,'1.1 Adjusted Income Stmt'!$AR51,'Income Statement Source'!AK:AK)/1000</f>
        <v>12.28917</v>
      </c>
      <c r="AJ51" s="20">
        <f>SUMIF('Income Statement Source'!$C:$C,'1.1 Adjusted Income Stmt'!$AR51,'Income Statement Source'!AL:AL)/1000</f>
        <v>8.3134699999999988</v>
      </c>
      <c r="AK51" s="20">
        <f>SUMIF('Income Statement Source'!$C:$C,'1.1 Adjusted Income Stmt'!$AR51,'Income Statement Source'!AM:AM)/1000</f>
        <v>8.2890300000000003</v>
      </c>
      <c r="AL51" s="20">
        <f>SUMIF('Income Statement Source'!$C:$C,'1.1 Adjusted Income Stmt'!$AR51,'Income Statement Source'!AN:AN)/1000</f>
        <v>8.5781600000000005</v>
      </c>
      <c r="AM51" s="20">
        <f>SUMIF('Income Statement Source'!$C:$C,'1.1 Adjusted Income Stmt'!$AR51,'Income Statement Source'!AO:AO)/1000</f>
        <v>8.2265400000000017</v>
      </c>
      <c r="AN51" s="20">
        <f>SUMIF('Income Statement Source'!$C:$C,'1.1 Adjusted Income Stmt'!$AR51,'Income Statement Source'!AP:AP)/1000</f>
        <v>12.884930000000001</v>
      </c>
      <c r="AO51" s="22">
        <f t="shared" si="27"/>
        <v>92.48193999999998</v>
      </c>
      <c r="AP51" s="22">
        <f t="shared" si="28"/>
        <v>109.28634999999997</v>
      </c>
      <c r="AR51" s="53" t="s">
        <v>28</v>
      </c>
    </row>
    <row r="52" spans="2:44" hidden="1" outlineLevel="1" x14ac:dyDescent="0.2">
      <c r="B52" s="30" t="str">
        <f t="shared" si="24"/>
        <v>Field Supervisor Salaries</v>
      </c>
      <c r="E52" s="20">
        <f>SUMIF('Income Statement Source'!$C:$C,'1.1 Adjusted Income Stmt'!$AR52,'Income Statement Source'!G:G)/1000</f>
        <v>8.3623799999999999</v>
      </c>
      <c r="F52" s="20">
        <f>SUMIF('Income Statement Source'!$C:$C,'1.1 Adjusted Income Stmt'!$AR52,'Income Statement Source'!H:H)/1000</f>
        <v>8.6070100000000007</v>
      </c>
      <c r="G52" s="20">
        <f>SUMIF('Income Statement Source'!$C:$C,'1.1 Adjusted Income Stmt'!$AR52,'Income Statement Source'!I:I)/1000</f>
        <v>8.2427799999999998</v>
      </c>
      <c r="H52" s="20">
        <f>SUMIF('Income Statement Source'!$C:$C,'1.1 Adjusted Income Stmt'!$AR52,'Income Statement Source'!J:J)/1000</f>
        <v>8.3178300000000007</v>
      </c>
      <c r="I52" s="20">
        <f>SUMIF('Income Statement Source'!$C:$C,'1.1 Adjusted Income Stmt'!$AR52,'Income Statement Source'!K:K)/1000</f>
        <v>12.74375</v>
      </c>
      <c r="J52" s="20">
        <f>SUMIF('Income Statement Source'!$C:$C,'1.1 Adjusted Income Stmt'!$AR52,'Income Statement Source'!L:L)/1000</f>
        <v>8.2957299999999989</v>
      </c>
      <c r="K52" s="20">
        <f>SUMIF('Income Statement Source'!$C:$C,'1.1 Adjusted Income Stmt'!$AR52,'Income Statement Source'!M:M)/1000</f>
        <v>8.4423700000000004</v>
      </c>
      <c r="L52" s="20">
        <f>SUMIF('Income Statement Source'!$C:$C,'1.1 Adjusted Income Stmt'!$AR52,'Income Statement Source'!N:N)/1000</f>
        <v>8.5379900000000006</v>
      </c>
      <c r="M52" s="20">
        <f>SUMIF('Income Statement Source'!$C:$C,'1.1 Adjusted Income Stmt'!$AR52,'Income Statement Source'!O:O)/1000</f>
        <v>8.58169</v>
      </c>
      <c r="N52" s="20">
        <f>SUMIF('Income Statement Source'!$C:$C,'1.1 Adjusted Income Stmt'!$AR52,'Income Statement Source'!P:P)/1000</f>
        <v>12.61825</v>
      </c>
      <c r="O52" s="20">
        <f>SUMIF('Income Statement Source'!$C:$C,'1.1 Adjusted Income Stmt'!$AR52,'Income Statement Source'!Q:Q)/1000</f>
        <v>8.2699800000000003</v>
      </c>
      <c r="P52" s="20">
        <f>SUMIF('Income Statement Source'!$C:$C,'1.1 Adjusted Income Stmt'!$AR52,'Income Statement Source'!R:R)/1000</f>
        <v>8.2135099999999994</v>
      </c>
      <c r="Q52" s="22">
        <f t="shared" si="25"/>
        <v>109.23326999999999</v>
      </c>
      <c r="R52" s="20">
        <f>SUMIF('Income Statement Source'!$C:$C,'1.1 Adjusted Income Stmt'!$AR52,'Income Statement Source'!T:T)/1000</f>
        <v>8.4138099999999998</v>
      </c>
      <c r="S52" s="20">
        <f>SUMIF('Income Statement Source'!$C:$C,'1.1 Adjusted Income Stmt'!$AR52,'Income Statement Source'!U:U)/1000</f>
        <v>8.1922900000000016</v>
      </c>
      <c r="T52" s="20">
        <f>SUMIF('Income Statement Source'!$C:$C,'1.1 Adjusted Income Stmt'!$AR52,'Income Statement Source'!V:V)/1000</f>
        <v>8.5841100000000008</v>
      </c>
      <c r="U52" s="20">
        <f>SUMIF('Income Statement Source'!$C:$C,'1.1 Adjusted Income Stmt'!$AR52,'Income Statement Source'!W:W)/1000</f>
        <v>8.4917600000000011</v>
      </c>
      <c r="V52" s="20">
        <f>SUMIF('Income Statement Source'!$C:$C,'1.1 Adjusted Income Stmt'!$AR52,'Income Statement Source'!X:X)/1000</f>
        <v>12.28891</v>
      </c>
      <c r="W52" s="20">
        <f>SUMIF('Income Statement Source'!$C:$C,'1.1 Adjusted Income Stmt'!$AR52,'Income Statement Source'!Y:Y)/1000</f>
        <v>8.4952699999999997</v>
      </c>
      <c r="X52" s="20">
        <f>SUMIF('Income Statement Source'!$C:$C,'1.1 Adjusted Income Stmt'!$AR52,'Income Statement Source'!Z:Z)/1000</f>
        <v>8.2792999999999992</v>
      </c>
      <c r="Y52" s="20">
        <f>SUMIF('Income Statement Source'!$C:$C,'1.1 Adjusted Income Stmt'!$AR52,'Income Statement Source'!AA:AA)/1000</f>
        <v>8.4012199999999986</v>
      </c>
      <c r="Z52" s="20">
        <f>SUMIF('Income Statement Source'!$C:$C,'1.1 Adjusted Income Stmt'!$AR52,'Income Statement Source'!AB:AB)/1000</f>
        <v>8.4312900000000006</v>
      </c>
      <c r="AA52" s="20">
        <f>SUMIF('Income Statement Source'!$C:$C,'1.1 Adjusted Income Stmt'!$AR52,'Income Statement Source'!AC:AC)/1000</f>
        <v>12.36018</v>
      </c>
      <c r="AB52" s="20">
        <f>SUMIF('Income Statement Source'!$C:$C,'1.1 Adjusted Income Stmt'!$AR52,'Income Statement Source'!AD:AD)/1000</f>
        <v>8.3188399999999998</v>
      </c>
      <c r="AC52" s="20">
        <f>SUMIF('Income Statement Source'!$C:$C,'1.1 Adjusted Income Stmt'!$AR52,'Income Statement Source'!AE:AE)/1000</f>
        <v>8.3256399999999999</v>
      </c>
      <c r="AD52" s="22">
        <f t="shared" si="26"/>
        <v>108.58261999999999</v>
      </c>
      <c r="AE52" s="20">
        <f>SUMIF('Income Statement Source'!$C:$C,'1.1 Adjusted Income Stmt'!$AR52,'Income Statement Source'!AG:AG)/1000</f>
        <v>8.4861399999999989</v>
      </c>
      <c r="AF52" s="20">
        <f>SUMIF('Income Statement Source'!$C:$C,'1.1 Adjusted Income Stmt'!$AR52,'Income Statement Source'!AH:AH)/1000</f>
        <v>8.3563799999999997</v>
      </c>
      <c r="AG52" s="20">
        <f>SUMIF('Income Statement Source'!$C:$C,'1.1 Adjusted Income Stmt'!$AR52,'Income Statement Source'!AI:AI)/1000</f>
        <v>8.3123199999999997</v>
      </c>
      <c r="AH52" s="20">
        <f>SUMIF('Income Statement Source'!$C:$C,'1.1 Adjusted Income Stmt'!$AR52,'Income Statement Source'!AJ:AJ)/1000</f>
        <v>8.2539599999999993</v>
      </c>
      <c r="AI52" s="20">
        <f>SUMIF('Income Statement Source'!$C:$C,'1.1 Adjusted Income Stmt'!$AR52,'Income Statement Source'!AK:AK)/1000</f>
        <v>12.64359</v>
      </c>
      <c r="AJ52" s="20">
        <f>SUMIF('Income Statement Source'!$C:$C,'1.1 Adjusted Income Stmt'!$AR52,'Income Statement Source'!AL:AL)/1000</f>
        <v>8.412700000000001</v>
      </c>
      <c r="AK52" s="20">
        <f>SUMIF('Income Statement Source'!$C:$C,'1.1 Adjusted Income Stmt'!$AR52,'Income Statement Source'!AM:AM)/1000</f>
        <v>8.2700899999999997</v>
      </c>
      <c r="AL52" s="20">
        <f>SUMIF('Income Statement Source'!$C:$C,'1.1 Adjusted Income Stmt'!$AR52,'Income Statement Source'!AN:AN)/1000</f>
        <v>8.3414400000000004</v>
      </c>
      <c r="AM52" s="20">
        <f>SUMIF('Income Statement Source'!$C:$C,'1.1 Adjusted Income Stmt'!$AR52,'Income Statement Source'!AO:AO)/1000</f>
        <v>8.4278899999999997</v>
      </c>
      <c r="AN52" s="20">
        <f>SUMIF('Income Statement Source'!$C:$C,'1.1 Adjusted Income Stmt'!$AR52,'Income Statement Source'!AP:AP)/1000</f>
        <v>12.84699</v>
      </c>
      <c r="AO52" s="22">
        <f t="shared" si="27"/>
        <v>92.351500000000016</v>
      </c>
      <c r="AP52" s="22">
        <f t="shared" si="28"/>
        <v>108.99598</v>
      </c>
      <c r="AR52" s="53" t="s">
        <v>29</v>
      </c>
    </row>
    <row r="53" spans="2:44" hidden="1" outlineLevel="1" x14ac:dyDescent="0.2">
      <c r="B53" s="30" t="str">
        <f t="shared" si="24"/>
        <v>Bonus Expense</v>
      </c>
      <c r="E53" s="20">
        <f>SUMIF('Income Statement Source'!$C:$C,'1.1 Adjusted Income Stmt'!$AR53,'Income Statement Source'!G:G)/1000</f>
        <v>0</v>
      </c>
      <c r="F53" s="20">
        <f>SUMIF('Income Statement Source'!$C:$C,'1.1 Adjusted Income Stmt'!$AR53,'Income Statement Source'!H:H)/1000</f>
        <v>0</v>
      </c>
      <c r="G53" s="20">
        <f>SUMIF('Income Statement Source'!$C:$C,'1.1 Adjusted Income Stmt'!$AR53,'Income Statement Source'!I:I)/1000</f>
        <v>0</v>
      </c>
      <c r="H53" s="20">
        <f>SUMIF('Income Statement Source'!$C:$C,'1.1 Adjusted Income Stmt'!$AR53,'Income Statement Source'!J:J)/1000</f>
        <v>0</v>
      </c>
      <c r="I53" s="20">
        <f>SUMIF('Income Statement Source'!$C:$C,'1.1 Adjusted Income Stmt'!$AR53,'Income Statement Source'!K:K)/1000</f>
        <v>0</v>
      </c>
      <c r="J53" s="20">
        <f>SUMIF('Income Statement Source'!$C:$C,'1.1 Adjusted Income Stmt'!$AR53,'Income Statement Source'!L:L)/1000</f>
        <v>0</v>
      </c>
      <c r="K53" s="20">
        <f>SUMIF('Income Statement Source'!$C:$C,'1.1 Adjusted Income Stmt'!$AR53,'Income Statement Source'!M:M)/1000</f>
        <v>0</v>
      </c>
      <c r="L53" s="20">
        <f>SUMIF('Income Statement Source'!$C:$C,'1.1 Adjusted Income Stmt'!$AR53,'Income Statement Source'!N:N)/1000</f>
        <v>0</v>
      </c>
      <c r="M53" s="20">
        <f>SUMIF('Income Statement Source'!$C:$C,'1.1 Adjusted Income Stmt'!$AR53,'Income Statement Source'!O:O)/1000</f>
        <v>0</v>
      </c>
      <c r="N53" s="20">
        <f>SUMIF('Income Statement Source'!$C:$C,'1.1 Adjusted Income Stmt'!$AR53,'Income Statement Source'!P:P)/1000</f>
        <v>0</v>
      </c>
      <c r="O53" s="20">
        <f>SUMIF('Income Statement Source'!$C:$C,'1.1 Adjusted Income Stmt'!$AR53,'Income Statement Source'!Q:Q)/1000</f>
        <v>0</v>
      </c>
      <c r="P53" s="20">
        <f>SUMIF('Income Statement Source'!$C:$C,'1.1 Adjusted Income Stmt'!$AR53,'Income Statement Source'!R:R)/1000</f>
        <v>34.364870000000003</v>
      </c>
      <c r="Q53" s="22">
        <f t="shared" si="25"/>
        <v>34.364870000000003</v>
      </c>
      <c r="R53" s="20">
        <f>SUMIF('Income Statement Source'!$C:$C,'1.1 Adjusted Income Stmt'!$AR53,'Income Statement Source'!T:T)/1000</f>
        <v>0</v>
      </c>
      <c r="S53" s="20">
        <f>SUMIF('Income Statement Source'!$C:$C,'1.1 Adjusted Income Stmt'!$AR53,'Income Statement Source'!U:U)/1000</f>
        <v>0</v>
      </c>
      <c r="T53" s="20">
        <f>SUMIF('Income Statement Source'!$C:$C,'1.1 Adjusted Income Stmt'!$AR53,'Income Statement Source'!V:V)/1000</f>
        <v>0</v>
      </c>
      <c r="U53" s="20">
        <f>SUMIF('Income Statement Source'!$C:$C,'1.1 Adjusted Income Stmt'!$AR53,'Income Statement Source'!W:W)/1000</f>
        <v>0</v>
      </c>
      <c r="V53" s="20">
        <f>SUMIF('Income Statement Source'!$C:$C,'1.1 Adjusted Income Stmt'!$AR53,'Income Statement Source'!X:X)/1000</f>
        <v>0</v>
      </c>
      <c r="W53" s="20">
        <f>SUMIF('Income Statement Source'!$C:$C,'1.1 Adjusted Income Stmt'!$AR53,'Income Statement Source'!Y:Y)/1000</f>
        <v>0</v>
      </c>
      <c r="X53" s="20">
        <f>SUMIF('Income Statement Source'!$C:$C,'1.1 Adjusted Income Stmt'!$AR53,'Income Statement Source'!Z:Z)/1000</f>
        <v>0</v>
      </c>
      <c r="Y53" s="20">
        <f>SUMIF('Income Statement Source'!$C:$C,'1.1 Adjusted Income Stmt'!$AR53,'Income Statement Source'!AA:AA)/1000</f>
        <v>0</v>
      </c>
      <c r="Z53" s="20">
        <f>SUMIF('Income Statement Source'!$C:$C,'1.1 Adjusted Income Stmt'!$AR53,'Income Statement Source'!AB:AB)/1000</f>
        <v>0</v>
      </c>
      <c r="AA53" s="20">
        <f>SUMIF('Income Statement Source'!$C:$C,'1.1 Adjusted Income Stmt'!$AR53,'Income Statement Source'!AC:AC)/1000</f>
        <v>0</v>
      </c>
      <c r="AB53" s="20">
        <f>SUMIF('Income Statement Source'!$C:$C,'1.1 Adjusted Income Stmt'!$AR53,'Income Statement Source'!AD:AD)/1000</f>
        <v>0</v>
      </c>
      <c r="AC53" s="20">
        <f>SUMIF('Income Statement Source'!$C:$C,'1.1 Adjusted Income Stmt'!$AR53,'Income Statement Source'!AE:AE)/1000</f>
        <v>36.219059999999999</v>
      </c>
      <c r="AD53" s="22">
        <f t="shared" si="26"/>
        <v>36.219059999999999</v>
      </c>
      <c r="AE53" s="20">
        <f>SUMIF('Income Statement Source'!$C:$C,'1.1 Adjusted Income Stmt'!$AR53,'Income Statement Source'!AG:AG)/1000</f>
        <v>0</v>
      </c>
      <c r="AF53" s="20">
        <f>SUMIF('Income Statement Source'!$C:$C,'1.1 Adjusted Income Stmt'!$AR53,'Income Statement Source'!AH:AH)/1000</f>
        <v>3.1308400000000001</v>
      </c>
      <c r="AG53" s="20">
        <f>SUMIF('Income Statement Source'!$C:$C,'1.1 Adjusted Income Stmt'!$AR53,'Income Statement Source'!AI:AI)/1000</f>
        <v>2.8624399999999999</v>
      </c>
      <c r="AH53" s="20">
        <f>SUMIF('Income Statement Source'!$C:$C,'1.1 Adjusted Income Stmt'!$AR53,'Income Statement Source'!AJ:AJ)/1000</f>
        <v>2.9048400000000001</v>
      </c>
      <c r="AI53" s="20">
        <f>SUMIF('Income Statement Source'!$C:$C,'1.1 Adjusted Income Stmt'!$AR53,'Income Statement Source'!AK:AK)/1000</f>
        <v>3.01274</v>
      </c>
      <c r="AJ53" s="20">
        <f>SUMIF('Income Statement Source'!$C:$C,'1.1 Adjusted Income Stmt'!$AR53,'Income Statement Source'!AL:AL)/1000</f>
        <v>3.1123799999999999</v>
      </c>
      <c r="AK53" s="20">
        <f>SUMIF('Income Statement Source'!$C:$C,'1.1 Adjusted Income Stmt'!$AR53,'Income Statement Source'!AM:AM)/1000</f>
        <v>3.02305</v>
      </c>
      <c r="AL53" s="20">
        <f>SUMIF('Income Statement Source'!$C:$C,'1.1 Adjusted Income Stmt'!$AR53,'Income Statement Source'!AN:AN)/1000</f>
        <v>3.0858400000000001</v>
      </c>
      <c r="AM53" s="20">
        <f>SUMIF('Income Statement Source'!$C:$C,'1.1 Adjusted Income Stmt'!$AR53,'Income Statement Source'!AO:AO)/1000</f>
        <v>3.1328800000000001</v>
      </c>
      <c r="AN53" s="20">
        <f>SUMIF('Income Statement Source'!$C:$C,'1.1 Adjusted Income Stmt'!$AR53,'Income Statement Source'!AP:AP)/1000</f>
        <v>3.2218400000000003</v>
      </c>
      <c r="AO53" s="22">
        <f t="shared" si="27"/>
        <v>27.48685</v>
      </c>
      <c r="AP53" s="22">
        <f t="shared" si="28"/>
        <v>63.705910000000003</v>
      </c>
      <c r="AR53" s="53" t="s">
        <v>30</v>
      </c>
    </row>
    <row r="54" spans="2:44" hidden="1" outlineLevel="1" x14ac:dyDescent="0.2">
      <c r="B54" s="30" t="str">
        <f t="shared" si="24"/>
        <v>Payroll Taxes</v>
      </c>
      <c r="E54" s="20">
        <f>SUMIF('Income Statement Source'!$C:$C,'1.1 Adjusted Income Stmt'!$AR54,'Income Statement Source'!G:G)/1000</f>
        <v>3.9977900000000002</v>
      </c>
      <c r="F54" s="20">
        <f>SUMIF('Income Statement Source'!$C:$C,'1.1 Adjusted Income Stmt'!$AR54,'Income Statement Source'!H:H)/1000</f>
        <v>3.9849999999999999</v>
      </c>
      <c r="G54" s="20">
        <f>SUMIF('Income Statement Source'!$C:$C,'1.1 Adjusted Income Stmt'!$AR54,'Income Statement Source'!I:I)/1000</f>
        <v>3.9874899999999998</v>
      </c>
      <c r="H54" s="20">
        <f>SUMIF('Income Statement Source'!$C:$C,'1.1 Adjusted Income Stmt'!$AR54,'Income Statement Source'!J:J)/1000</f>
        <v>4.0049299999999999</v>
      </c>
      <c r="I54" s="20">
        <f>SUMIF('Income Statement Source'!$C:$C,'1.1 Adjusted Income Stmt'!$AR54,'Income Statement Source'!K:K)/1000</f>
        <v>9.0066399999999991</v>
      </c>
      <c r="J54" s="20">
        <f>SUMIF('Income Statement Source'!$C:$C,'1.1 Adjusted Income Stmt'!$AR54,'Income Statement Source'!L:L)/1000</f>
        <v>4.0552900000000003</v>
      </c>
      <c r="K54" s="20">
        <f>SUMIF('Income Statement Source'!$C:$C,'1.1 Adjusted Income Stmt'!$AR54,'Income Statement Source'!M:M)/1000</f>
        <v>4.0849700000000002</v>
      </c>
      <c r="L54" s="20">
        <f>SUMIF('Income Statement Source'!$C:$C,'1.1 Adjusted Income Stmt'!$AR54,'Income Statement Source'!N:N)/1000</f>
        <v>4.0007099999999998</v>
      </c>
      <c r="M54" s="20">
        <f>SUMIF('Income Statement Source'!$C:$C,'1.1 Adjusted Income Stmt'!$AR54,'Income Statement Source'!O:O)/1000</f>
        <v>4.0730000000000004</v>
      </c>
      <c r="N54" s="20">
        <f>SUMIF('Income Statement Source'!$C:$C,'1.1 Adjusted Income Stmt'!$AR54,'Income Statement Source'!P:P)/1000</f>
        <v>8.9223400000000002</v>
      </c>
      <c r="O54" s="20">
        <f>SUMIF('Income Statement Source'!$C:$C,'1.1 Adjusted Income Stmt'!$AR54,'Income Statement Source'!Q:Q)/1000</f>
        <v>3.9014199999999999</v>
      </c>
      <c r="P54" s="20">
        <f>SUMIF('Income Statement Source'!$C:$C,'1.1 Adjusted Income Stmt'!$AR54,'Income Statement Source'!R:R)/1000</f>
        <v>3.9807600000000001</v>
      </c>
      <c r="Q54" s="22">
        <f t="shared" si="25"/>
        <v>58.000339999999994</v>
      </c>
      <c r="R54" s="20">
        <f>SUMIF('Income Statement Source'!$C:$C,'1.1 Adjusted Income Stmt'!$AR54,'Income Statement Source'!T:T)/1000</f>
        <v>4.08378</v>
      </c>
      <c r="S54" s="20">
        <f>SUMIF('Income Statement Source'!$C:$C,'1.1 Adjusted Income Stmt'!$AR54,'Income Statement Source'!U:U)/1000</f>
        <v>3.9788999999999999</v>
      </c>
      <c r="T54" s="20">
        <f>SUMIF('Income Statement Source'!$C:$C,'1.1 Adjusted Income Stmt'!$AR54,'Income Statement Source'!V:V)/1000</f>
        <v>3.9434200000000001</v>
      </c>
      <c r="U54" s="20">
        <f>SUMIF('Income Statement Source'!$C:$C,'1.1 Adjusted Income Stmt'!$AR54,'Income Statement Source'!W:W)/1000</f>
        <v>4.0386600000000001</v>
      </c>
      <c r="V54" s="20">
        <f>SUMIF('Income Statement Source'!$C:$C,'1.1 Adjusted Income Stmt'!$AR54,'Income Statement Source'!X:X)/1000</f>
        <v>9.0802199999999988</v>
      </c>
      <c r="W54" s="20">
        <f>SUMIF('Income Statement Source'!$C:$C,'1.1 Adjusted Income Stmt'!$AR54,'Income Statement Source'!Y:Y)/1000</f>
        <v>4.0585100000000001</v>
      </c>
      <c r="X54" s="20">
        <f>SUMIF('Income Statement Source'!$C:$C,'1.1 Adjusted Income Stmt'!$AR54,'Income Statement Source'!Z:Z)/1000</f>
        <v>4.0833899999999996</v>
      </c>
      <c r="Y54" s="20">
        <f>SUMIF('Income Statement Source'!$C:$C,'1.1 Adjusted Income Stmt'!$AR54,'Income Statement Source'!AA:AA)/1000</f>
        <v>3.9284299999999996</v>
      </c>
      <c r="Z54" s="20">
        <f>SUMIF('Income Statement Source'!$C:$C,'1.1 Adjusted Income Stmt'!$AR54,'Income Statement Source'!AB:AB)/1000</f>
        <v>4.0032399999999999</v>
      </c>
      <c r="AA54" s="20">
        <f>SUMIF('Income Statement Source'!$C:$C,'1.1 Adjusted Income Stmt'!$AR54,'Income Statement Source'!AC:AC)/1000</f>
        <v>9.091940000000001</v>
      </c>
      <c r="AB54" s="20">
        <f>SUMIF('Income Statement Source'!$C:$C,'1.1 Adjusted Income Stmt'!$AR54,'Income Statement Source'!AD:AD)/1000</f>
        <v>4.0678000000000001</v>
      </c>
      <c r="AC54" s="20">
        <f>SUMIF('Income Statement Source'!$C:$C,'1.1 Adjusted Income Stmt'!$AR54,'Income Statement Source'!AE:AE)/1000</f>
        <v>3.9795199999999999</v>
      </c>
      <c r="AD54" s="22">
        <f t="shared" si="26"/>
        <v>58.337809999999998</v>
      </c>
      <c r="AE54" s="20">
        <f>SUMIF('Income Statement Source'!$C:$C,'1.1 Adjusted Income Stmt'!$AR54,'Income Statement Source'!AG:AG)/1000</f>
        <v>4.0523199999999999</v>
      </c>
      <c r="AF54" s="20">
        <f>SUMIF('Income Statement Source'!$C:$C,'1.1 Adjusted Income Stmt'!$AR54,'Income Statement Source'!AH:AH)/1000</f>
        <v>3.96692</v>
      </c>
      <c r="AG54" s="20">
        <f>SUMIF('Income Statement Source'!$C:$C,'1.1 Adjusted Income Stmt'!$AR54,'Income Statement Source'!AI:AI)/1000</f>
        <v>4.0781599999999996</v>
      </c>
      <c r="AH54" s="20">
        <f>SUMIF('Income Statement Source'!$C:$C,'1.1 Adjusted Income Stmt'!$AR54,'Income Statement Source'!AJ:AJ)/1000</f>
        <v>3.9301300000000001</v>
      </c>
      <c r="AI54" s="20">
        <f>SUMIF('Income Statement Source'!$C:$C,'1.1 Adjusted Income Stmt'!$AR54,'Income Statement Source'!AK:AK)/1000</f>
        <v>8.9093700000000009</v>
      </c>
      <c r="AJ54" s="20">
        <f>SUMIF('Income Statement Source'!$C:$C,'1.1 Adjusted Income Stmt'!$AR54,'Income Statement Source'!AL:AL)/1000</f>
        <v>4.0232999999999999</v>
      </c>
      <c r="AK54" s="20">
        <f>SUMIF('Income Statement Source'!$C:$C,'1.1 Adjusted Income Stmt'!$AR54,'Income Statement Source'!AM:AM)/1000</f>
        <v>3.8913500000000001</v>
      </c>
      <c r="AL54" s="20">
        <f>SUMIF('Income Statement Source'!$C:$C,'1.1 Adjusted Income Stmt'!$AR54,'Income Statement Source'!AN:AN)/1000</f>
        <v>4.0449200000000003</v>
      </c>
      <c r="AM54" s="20">
        <f>SUMIF('Income Statement Source'!$C:$C,'1.1 Adjusted Income Stmt'!$AR54,'Income Statement Source'!AO:AO)/1000</f>
        <v>4.0752899999999999</v>
      </c>
      <c r="AN54" s="20">
        <f>SUMIF('Income Statement Source'!$C:$C,'1.1 Adjusted Income Stmt'!$AR54,'Income Statement Source'!AP:AP)/1000</f>
        <v>8.8747800000000012</v>
      </c>
      <c r="AO54" s="22">
        <f t="shared" si="27"/>
        <v>49.846540000000005</v>
      </c>
      <c r="AP54" s="22">
        <f t="shared" si="28"/>
        <v>57.893860000000004</v>
      </c>
      <c r="AR54" s="53" t="s">
        <v>31</v>
      </c>
    </row>
    <row r="55" spans="2:44" hidden="1" outlineLevel="1" x14ac:dyDescent="0.2">
      <c r="B55" s="30" t="str">
        <f t="shared" si="24"/>
        <v>Health Insurance</v>
      </c>
      <c r="E55" s="31">
        <f>SUMIF('Income Statement Source'!$C:$C,'1.1 Adjusted Income Stmt'!$AR55,'Income Statement Source'!G:G)/1000</f>
        <v>4.2218500000000008</v>
      </c>
      <c r="F55" s="31">
        <f>SUMIF('Income Statement Source'!$C:$C,'1.1 Adjusted Income Stmt'!$AR55,'Income Statement Source'!H:H)/1000</f>
        <v>4.1500699999999995</v>
      </c>
      <c r="G55" s="31">
        <f>SUMIF('Income Statement Source'!$C:$C,'1.1 Adjusted Income Stmt'!$AR55,'Income Statement Source'!I:I)/1000</f>
        <v>4.15733</v>
      </c>
      <c r="H55" s="31">
        <f>SUMIF('Income Statement Source'!$C:$C,'1.1 Adjusted Income Stmt'!$AR55,'Income Statement Source'!J:J)/1000</f>
        <v>4.2306000000000008</v>
      </c>
      <c r="I55" s="31">
        <f>SUMIF('Income Statement Source'!$C:$C,'1.1 Adjusted Income Stmt'!$AR55,'Income Statement Source'!K:K)/1000</f>
        <v>4.2340499999999999</v>
      </c>
      <c r="J55" s="31">
        <f>SUMIF('Income Statement Source'!$C:$C,'1.1 Adjusted Income Stmt'!$AR55,'Income Statement Source'!L:L)/1000</f>
        <v>4.2143500000000005</v>
      </c>
      <c r="K55" s="31">
        <f>SUMIF('Income Statement Source'!$C:$C,'1.1 Adjusted Income Stmt'!$AR55,'Income Statement Source'!M:M)/1000</f>
        <v>4.1412800000000001</v>
      </c>
      <c r="L55" s="31">
        <f>SUMIF('Income Statement Source'!$C:$C,'1.1 Adjusted Income Stmt'!$AR55,'Income Statement Source'!N:N)/1000</f>
        <v>4.1522200000000007</v>
      </c>
      <c r="M55" s="31">
        <f>SUMIF('Income Statement Source'!$C:$C,'1.1 Adjusted Income Stmt'!$AR55,'Income Statement Source'!O:O)/1000</f>
        <v>4.23156</v>
      </c>
      <c r="N55" s="31">
        <f>SUMIF('Income Statement Source'!$C:$C,'1.1 Adjusted Income Stmt'!$AR55,'Income Statement Source'!P:P)/1000</f>
        <v>4.1422700000000008</v>
      </c>
      <c r="O55" s="31">
        <f>SUMIF('Income Statement Source'!$C:$C,'1.1 Adjusted Income Stmt'!$AR55,'Income Statement Source'!Q:Q)/1000</f>
        <v>4.15923</v>
      </c>
      <c r="P55" s="31">
        <f>SUMIF('Income Statement Source'!$C:$C,'1.1 Adjusted Income Stmt'!$AR55,'Income Statement Source'!R:R)/1000</f>
        <v>4.1951999999999998</v>
      </c>
      <c r="Q55" s="32">
        <f t="shared" si="25"/>
        <v>50.230010000000007</v>
      </c>
      <c r="R55" s="31">
        <f>SUMIF('Income Statement Source'!$C:$C,'1.1 Adjusted Income Stmt'!$AR55,'Income Statement Source'!T:T)/1000</f>
        <v>4.1850200000000006</v>
      </c>
      <c r="S55" s="31">
        <f>SUMIF('Income Statement Source'!$C:$C,'1.1 Adjusted Income Stmt'!$AR55,'Income Statement Source'!U:U)/1000</f>
        <v>4.1786499999999993</v>
      </c>
      <c r="T55" s="31">
        <f>SUMIF('Income Statement Source'!$C:$C,'1.1 Adjusted Income Stmt'!$AR55,'Income Statement Source'!V:V)/1000</f>
        <v>4.2610299999999999</v>
      </c>
      <c r="U55" s="31">
        <f>SUMIF('Income Statement Source'!$C:$C,'1.1 Adjusted Income Stmt'!$AR55,'Income Statement Source'!W:W)/1000</f>
        <v>4.2497299999999996</v>
      </c>
      <c r="V55" s="31">
        <f>SUMIF('Income Statement Source'!$C:$C,'1.1 Adjusted Income Stmt'!$AR55,'Income Statement Source'!X:X)/1000</f>
        <v>4.2229899999999994</v>
      </c>
      <c r="W55" s="31">
        <f>SUMIF('Income Statement Source'!$C:$C,'1.1 Adjusted Income Stmt'!$AR55,'Income Statement Source'!Y:Y)/1000</f>
        <v>4.1398199999999994</v>
      </c>
      <c r="X55" s="31">
        <f>SUMIF('Income Statement Source'!$C:$C,'1.1 Adjusted Income Stmt'!$AR55,'Income Statement Source'!Z:Z)/1000</f>
        <v>4.2326999999999995</v>
      </c>
      <c r="Y55" s="31">
        <f>SUMIF('Income Statement Source'!$C:$C,'1.1 Adjusted Income Stmt'!$AR55,'Income Statement Source'!AA:AA)/1000</f>
        <v>4.2137700000000002</v>
      </c>
      <c r="Z55" s="31">
        <f>SUMIF('Income Statement Source'!$C:$C,'1.1 Adjusted Income Stmt'!$AR55,'Income Statement Source'!AB:AB)/1000</f>
        <v>4.1585700000000001</v>
      </c>
      <c r="AA55" s="31">
        <f>SUMIF('Income Statement Source'!$C:$C,'1.1 Adjusted Income Stmt'!$AR55,'Income Statement Source'!AC:AC)/1000</f>
        <v>4.2615699999999999</v>
      </c>
      <c r="AB55" s="31">
        <f>SUMIF('Income Statement Source'!$C:$C,'1.1 Adjusted Income Stmt'!$AR55,'Income Statement Source'!AD:AD)/1000</f>
        <v>4.2545399999999995</v>
      </c>
      <c r="AC55" s="31">
        <f>SUMIF('Income Statement Source'!$C:$C,'1.1 Adjusted Income Stmt'!$AR55,'Income Statement Source'!AE:AE)/1000</f>
        <v>4.1447399999999996</v>
      </c>
      <c r="AD55" s="32">
        <f t="shared" si="26"/>
        <v>50.503129999999985</v>
      </c>
      <c r="AE55" s="31">
        <f>SUMIF('Income Statement Source'!$C:$C,'1.1 Adjusted Income Stmt'!$AR55,'Income Statement Source'!AG:AG)/1000</f>
        <v>4.19726</v>
      </c>
      <c r="AF55" s="31">
        <f>SUMIF('Income Statement Source'!$C:$C,'1.1 Adjusted Income Stmt'!$AR55,'Income Statement Source'!AH:AH)/1000</f>
        <v>4.1939099999999998</v>
      </c>
      <c r="AG55" s="31">
        <f>SUMIF('Income Statement Source'!$C:$C,'1.1 Adjusted Income Stmt'!$AR55,'Income Statement Source'!AI:AI)/1000</f>
        <v>4.2236099999999999</v>
      </c>
      <c r="AH55" s="31">
        <f>SUMIF('Income Statement Source'!$C:$C,'1.1 Adjusted Income Stmt'!$AR55,'Income Statement Source'!AJ:AJ)/1000</f>
        <v>4.1660300000000001</v>
      </c>
      <c r="AI55" s="31">
        <f>SUMIF('Income Statement Source'!$C:$C,'1.1 Adjusted Income Stmt'!$AR55,'Income Statement Source'!AK:AK)/1000</f>
        <v>4.2628599999999999</v>
      </c>
      <c r="AJ55" s="31">
        <f>SUMIF('Income Statement Source'!$C:$C,'1.1 Adjusted Income Stmt'!$AR55,'Income Statement Source'!AL:AL)/1000</f>
        <v>4.2216899999999997</v>
      </c>
      <c r="AK55" s="31">
        <f>SUMIF('Income Statement Source'!$C:$C,'1.1 Adjusted Income Stmt'!$AR55,'Income Statement Source'!AM:AM)/1000</f>
        <v>4.2501099999999994</v>
      </c>
      <c r="AL55" s="31">
        <f>SUMIF('Income Statement Source'!$C:$C,'1.1 Adjusted Income Stmt'!$AR55,'Income Statement Source'!AN:AN)/1000</f>
        <v>4.1679799999999991</v>
      </c>
      <c r="AM55" s="31">
        <f>SUMIF('Income Statement Source'!$C:$C,'1.1 Adjusted Income Stmt'!$AR55,'Income Statement Source'!AO:AO)/1000</f>
        <v>4.2139799999999994</v>
      </c>
      <c r="AN55" s="31">
        <f>SUMIF('Income Statement Source'!$C:$C,'1.1 Adjusted Income Stmt'!$AR55,'Income Statement Source'!AP:AP)/1000</f>
        <v>4.1434799999999994</v>
      </c>
      <c r="AO55" s="32">
        <f t="shared" si="27"/>
        <v>42.04090999999999</v>
      </c>
      <c r="AP55" s="32">
        <f t="shared" si="28"/>
        <v>50.440189999999987</v>
      </c>
      <c r="AR55" s="53" t="s">
        <v>32</v>
      </c>
    </row>
    <row r="56" spans="2:44" collapsed="1" x14ac:dyDescent="0.2">
      <c r="B56" s="27" t="str">
        <f>+B48</f>
        <v>Personnel</v>
      </c>
      <c r="C56" s="10"/>
      <c r="D56" s="10"/>
      <c r="E56" s="19">
        <f>SUM(E49:E55)</f>
        <v>49.976320000000008</v>
      </c>
      <c r="F56" s="19">
        <f t="shared" ref="F56:AP56" si="29">SUM(F49:F55)</f>
        <v>50.365160000000003</v>
      </c>
      <c r="G56" s="19">
        <f t="shared" si="29"/>
        <v>49.669750000000001</v>
      </c>
      <c r="H56" s="19">
        <f t="shared" si="29"/>
        <v>50.400030000000008</v>
      </c>
      <c r="I56" s="19">
        <f t="shared" si="29"/>
        <v>76.322339999999997</v>
      </c>
      <c r="J56" s="19">
        <f t="shared" si="29"/>
        <v>49.749120000000005</v>
      </c>
      <c r="K56" s="19">
        <f t="shared" si="29"/>
        <v>49.992439999999995</v>
      </c>
      <c r="L56" s="19">
        <f t="shared" si="29"/>
        <v>50.338459999999998</v>
      </c>
      <c r="M56" s="19">
        <f t="shared" si="29"/>
        <v>50.478650000000002</v>
      </c>
      <c r="N56" s="19">
        <f t="shared" si="29"/>
        <v>75.407070000000004</v>
      </c>
      <c r="O56" s="19">
        <f t="shared" si="29"/>
        <v>50.075350000000007</v>
      </c>
      <c r="P56" s="19">
        <f t="shared" si="29"/>
        <v>84.92022</v>
      </c>
      <c r="Q56" s="21">
        <f t="shared" si="29"/>
        <v>687.69490999999994</v>
      </c>
      <c r="R56" s="19">
        <f t="shared" si="29"/>
        <v>50.132259999999995</v>
      </c>
      <c r="S56" s="19">
        <f t="shared" si="29"/>
        <v>49.42801</v>
      </c>
      <c r="T56" s="19">
        <f t="shared" si="29"/>
        <v>50.372890000000005</v>
      </c>
      <c r="U56" s="19">
        <f t="shared" si="29"/>
        <v>50.583660000000002</v>
      </c>
      <c r="V56" s="19">
        <f t="shared" si="29"/>
        <v>77.144710000000003</v>
      </c>
      <c r="W56" s="19">
        <f t="shared" si="29"/>
        <v>50.182619999999993</v>
      </c>
      <c r="X56" s="19">
        <f t="shared" si="29"/>
        <v>50.363300000000002</v>
      </c>
      <c r="Y56" s="19">
        <f t="shared" si="29"/>
        <v>50.086749999999995</v>
      </c>
      <c r="Z56" s="19">
        <f t="shared" si="29"/>
        <v>49.552759999999999</v>
      </c>
      <c r="AA56" s="19">
        <f t="shared" si="29"/>
        <v>76.008020000000016</v>
      </c>
      <c r="AB56" s="19">
        <f t="shared" si="29"/>
        <v>50.003019999999999</v>
      </c>
      <c r="AC56" s="19">
        <f t="shared" si="29"/>
        <v>85.706289999999996</v>
      </c>
      <c r="AD56" s="21">
        <f t="shared" si="29"/>
        <v>689.56428999999991</v>
      </c>
      <c r="AE56" s="19">
        <f t="shared" si="29"/>
        <v>50.214379999999998</v>
      </c>
      <c r="AF56" s="19">
        <f t="shared" si="29"/>
        <v>53.363500000000002</v>
      </c>
      <c r="AG56" s="19">
        <f t="shared" si="29"/>
        <v>53.106479999999998</v>
      </c>
      <c r="AH56" s="19">
        <f t="shared" si="29"/>
        <v>52.764449999999997</v>
      </c>
      <c r="AI56" s="19">
        <f t="shared" si="29"/>
        <v>79.09438999999999</v>
      </c>
      <c r="AJ56" s="19">
        <f t="shared" si="29"/>
        <v>52.825620000000001</v>
      </c>
      <c r="AK56" s="19">
        <f t="shared" si="29"/>
        <v>52.541710000000002</v>
      </c>
      <c r="AL56" s="19">
        <f t="shared" si="29"/>
        <v>53.151109999999996</v>
      </c>
      <c r="AM56" s="19">
        <f t="shared" si="29"/>
        <v>52.689700000000002</v>
      </c>
      <c r="AN56" s="19">
        <f t="shared" si="29"/>
        <v>79.750509999999991</v>
      </c>
      <c r="AO56" s="21">
        <f t="shared" si="29"/>
        <v>579.50184999999999</v>
      </c>
      <c r="AP56" s="21">
        <f t="shared" si="29"/>
        <v>715.21116000000006</v>
      </c>
    </row>
    <row r="57" spans="2:44" x14ac:dyDescent="0.2">
      <c r="B57" s="28"/>
      <c r="C57" s="10"/>
      <c r="D57" s="10"/>
      <c r="E57" s="45">
        <f>IFERROR(E56/E$19,0)</f>
        <v>0.16684403614550763</v>
      </c>
      <c r="F57" s="45">
        <f t="shared" ref="F57:AP57" si="30">IFERROR(F56/F$19,0)</f>
        <v>0.20488334923044507</v>
      </c>
      <c r="G57" s="45">
        <f t="shared" si="30"/>
        <v>0.16761033213345811</v>
      </c>
      <c r="H57" s="45">
        <f t="shared" si="30"/>
        <v>0.30714949273226627</v>
      </c>
      <c r="I57" s="45">
        <f t="shared" si="30"/>
        <v>0.27557624256938468</v>
      </c>
      <c r="J57" s="45">
        <f t="shared" si="30"/>
        <v>0.1164829201779063</v>
      </c>
      <c r="K57" s="45">
        <f t="shared" si="30"/>
        <v>0.26269128611632941</v>
      </c>
      <c r="L57" s="45">
        <f t="shared" si="30"/>
        <v>0.20304677044504763</v>
      </c>
      <c r="M57" s="45">
        <f t="shared" si="30"/>
        <v>0.1024547280124562</v>
      </c>
      <c r="N57" s="45">
        <f t="shared" si="30"/>
        <v>0.3916741194022651</v>
      </c>
      <c r="O57" s="45">
        <f t="shared" si="30"/>
        <v>0.20537249875204455</v>
      </c>
      <c r="P57" s="45">
        <f t="shared" si="30"/>
        <v>0.20816620948272929</v>
      </c>
      <c r="Q57" s="46">
        <f t="shared" si="30"/>
        <v>0.19732685184908741</v>
      </c>
      <c r="R57" s="45">
        <f t="shared" si="30"/>
        <v>0.19290861168928758</v>
      </c>
      <c r="S57" s="45">
        <f t="shared" si="30"/>
        <v>0.16687183907875713</v>
      </c>
      <c r="T57" s="45">
        <f t="shared" si="30"/>
        <v>0.10757172743339294</v>
      </c>
      <c r="U57" s="45">
        <f t="shared" si="30"/>
        <v>0.2213089167769289</v>
      </c>
      <c r="V57" s="45">
        <f t="shared" si="30"/>
        <v>0.20136914189762814</v>
      </c>
      <c r="W57" s="45">
        <f t="shared" si="30"/>
        <v>9.5987590552843977E-2</v>
      </c>
      <c r="X57" s="45">
        <f t="shared" si="30"/>
        <v>0.11449348453742834</v>
      </c>
      <c r="Y57" s="45">
        <f t="shared" si="30"/>
        <v>0.15879522523251402</v>
      </c>
      <c r="Z57" s="45">
        <f t="shared" si="30"/>
        <v>0.10120816346676167</v>
      </c>
      <c r="AA57" s="45">
        <f t="shared" si="30"/>
        <v>0.21834547796699383</v>
      </c>
      <c r="AB57" s="45">
        <f t="shared" si="30"/>
        <v>0.11809011186575069</v>
      </c>
      <c r="AC57" s="45">
        <f t="shared" si="30"/>
        <v>0.22238716327230271</v>
      </c>
      <c r="AD57" s="46">
        <f t="shared" si="30"/>
        <v>0.15119826656419846</v>
      </c>
      <c r="AE57" s="45">
        <f t="shared" si="30"/>
        <v>0.22250110662654751</v>
      </c>
      <c r="AF57" s="45">
        <f t="shared" si="30"/>
        <v>0.23606547860559249</v>
      </c>
      <c r="AG57" s="45">
        <f t="shared" si="30"/>
        <v>0.13017401893512662</v>
      </c>
      <c r="AH57" s="45">
        <f t="shared" si="30"/>
        <v>0.13345598499756409</v>
      </c>
      <c r="AI57" s="45">
        <f t="shared" si="30"/>
        <v>0.30080066492680119</v>
      </c>
      <c r="AJ57" s="45">
        <f t="shared" si="30"/>
        <v>0.12797669142232079</v>
      </c>
      <c r="AK57" s="45">
        <f t="shared" si="30"/>
        <v>0.16004970090327153</v>
      </c>
      <c r="AL57" s="45">
        <f t="shared" si="30"/>
        <v>0.14266245437278452</v>
      </c>
      <c r="AM57" s="45">
        <f t="shared" si="30"/>
        <v>0.15989601390619718</v>
      </c>
      <c r="AN57" s="45">
        <f t="shared" si="30"/>
        <v>0.2035163098364349</v>
      </c>
      <c r="AO57" s="46">
        <f t="shared" si="30"/>
        <v>0.17282937021186215</v>
      </c>
      <c r="AP57" s="46">
        <f t="shared" si="30"/>
        <v>0.1718492507853101</v>
      </c>
    </row>
    <row r="58" spans="2:44" s="34" customFormat="1" hidden="1" outlineLevel="1" x14ac:dyDescent="0.2">
      <c r="B58" s="33" t="s">
        <v>96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2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2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2"/>
      <c r="AP58" s="52"/>
    </row>
    <row r="59" spans="2:44" s="34" customFormat="1" hidden="1" outlineLevel="1" x14ac:dyDescent="0.2">
      <c r="B59" s="30" t="str">
        <f t="shared" ref="B59:B61" si="31">+AR59</f>
        <v>Workers Compensation Insurance</v>
      </c>
      <c r="C59" s="4"/>
      <c r="D59" s="4"/>
      <c r="E59" s="20">
        <f>SUMIF('Income Statement Source'!$C:$C,'1.1 Adjusted Income Stmt'!$AR59,'Income Statement Source'!G:G)/1000</f>
        <v>5.7815799999999999</v>
      </c>
      <c r="F59" s="20">
        <f>SUMIF('Income Statement Source'!$C:$C,'1.1 Adjusted Income Stmt'!$AR59,'Income Statement Source'!H:H)/1000</f>
        <v>5.9215900000000001</v>
      </c>
      <c r="G59" s="20">
        <f>SUMIF('Income Statement Source'!$C:$C,'1.1 Adjusted Income Stmt'!$AR59,'Income Statement Source'!I:I)/1000</f>
        <v>5.5836999999999994</v>
      </c>
      <c r="H59" s="20">
        <f>SUMIF('Income Statement Source'!$C:$C,'1.1 Adjusted Income Stmt'!$AR59,'Income Statement Source'!J:J)/1000</f>
        <v>5.6655500000000005</v>
      </c>
      <c r="I59" s="20">
        <f>SUMIF('Income Statement Source'!$C:$C,'1.1 Adjusted Income Stmt'!$AR59,'Income Statement Source'!K:K)/1000</f>
        <v>5.7591099999999997</v>
      </c>
      <c r="J59" s="20">
        <f>SUMIF('Income Statement Source'!$C:$C,'1.1 Adjusted Income Stmt'!$AR59,'Income Statement Source'!L:L)/1000</f>
        <v>5.7126700000000001</v>
      </c>
      <c r="K59" s="20">
        <f>SUMIF('Income Statement Source'!$C:$C,'1.1 Adjusted Income Stmt'!$AR59,'Income Statement Source'!M:M)/1000</f>
        <v>5.8304999999999998</v>
      </c>
      <c r="L59" s="20">
        <f>SUMIF('Income Statement Source'!$C:$C,'1.1 Adjusted Income Stmt'!$AR59,'Income Statement Source'!N:N)/1000</f>
        <v>5.7920299999999996</v>
      </c>
      <c r="M59" s="20">
        <f>SUMIF('Income Statement Source'!$C:$C,'1.1 Adjusted Income Stmt'!$AR59,'Income Statement Source'!O:O)/1000</f>
        <v>5.6292299999999997</v>
      </c>
      <c r="N59" s="20">
        <f>SUMIF('Income Statement Source'!$C:$C,'1.1 Adjusted Income Stmt'!$AR59,'Income Statement Source'!P:P)/1000</f>
        <v>5.7910300000000001</v>
      </c>
      <c r="O59" s="20">
        <f>SUMIF('Income Statement Source'!$C:$C,'1.1 Adjusted Income Stmt'!$AR59,'Income Statement Source'!Q:Q)/1000</f>
        <v>5.5819300000000007</v>
      </c>
      <c r="P59" s="20">
        <f>SUMIF('Income Statement Source'!$C:$C,'1.1 Adjusted Income Stmt'!$AR59,'Income Statement Source'!R:R)/1000</f>
        <v>5.9848500000000007</v>
      </c>
      <c r="Q59" s="22">
        <f t="shared" ref="Q59:Q61" si="32">SUM(E59:P59)</f>
        <v>69.03376999999999</v>
      </c>
      <c r="R59" s="20">
        <f>SUMIF('Income Statement Source'!$C:$C,'1.1 Adjusted Income Stmt'!$AR59,'Income Statement Source'!T:T)/1000</f>
        <v>5.9429999999999996</v>
      </c>
      <c r="S59" s="20">
        <f>SUMIF('Income Statement Source'!$C:$C,'1.1 Adjusted Income Stmt'!$AR59,'Income Statement Source'!U:U)/1000</f>
        <v>5.6049300000000004</v>
      </c>
      <c r="T59" s="20">
        <f>SUMIF('Income Statement Source'!$C:$C,'1.1 Adjusted Income Stmt'!$AR59,'Income Statement Source'!V:V)/1000</f>
        <v>5.6333299999999999</v>
      </c>
      <c r="U59" s="20">
        <f>SUMIF('Income Statement Source'!$C:$C,'1.1 Adjusted Income Stmt'!$AR59,'Income Statement Source'!W:W)/1000</f>
        <v>5.65327</v>
      </c>
      <c r="V59" s="20">
        <f>SUMIF('Income Statement Source'!$C:$C,'1.1 Adjusted Income Stmt'!$AR59,'Income Statement Source'!X:X)/1000</f>
        <v>5.7717900000000002</v>
      </c>
      <c r="W59" s="20">
        <f>SUMIF('Income Statement Source'!$C:$C,'1.1 Adjusted Income Stmt'!$AR59,'Income Statement Source'!Y:Y)/1000</f>
        <v>5.9514799999999992</v>
      </c>
      <c r="X59" s="20">
        <f>SUMIF('Income Statement Source'!$C:$C,'1.1 Adjusted Income Stmt'!$AR59,'Income Statement Source'!Z:Z)/1000</f>
        <v>5.7539799999999994</v>
      </c>
      <c r="Y59" s="20">
        <f>SUMIF('Income Statement Source'!$C:$C,'1.1 Adjusted Income Stmt'!$AR59,'Income Statement Source'!AA:AA)/1000</f>
        <v>5.8372200000000003</v>
      </c>
      <c r="Z59" s="20">
        <f>SUMIF('Income Statement Source'!$C:$C,'1.1 Adjusted Income Stmt'!$AR59,'Income Statement Source'!AB:AB)/1000</f>
        <v>5.9823999999999993</v>
      </c>
      <c r="AA59" s="20">
        <f>SUMIF('Income Statement Source'!$C:$C,'1.1 Adjusted Income Stmt'!$AR59,'Income Statement Source'!AC:AC)/1000</f>
        <v>5.9271099999999999</v>
      </c>
      <c r="AB59" s="20">
        <f>SUMIF('Income Statement Source'!$C:$C,'1.1 Adjusted Income Stmt'!$AR59,'Income Statement Source'!AD:AD)/1000</f>
        <v>5.6865699999999997</v>
      </c>
      <c r="AC59" s="20">
        <f>SUMIF('Income Statement Source'!$C:$C,'1.1 Adjusted Income Stmt'!$AR59,'Income Statement Source'!AE:AE)/1000</f>
        <v>5.9705000000000004</v>
      </c>
      <c r="AD59" s="22">
        <f t="shared" ref="AD59:AD61" si="33">SUM(R59:AC59)</f>
        <v>69.715580000000003</v>
      </c>
      <c r="AE59" s="20">
        <f>SUMIF('Income Statement Source'!$C:$C,'1.1 Adjusted Income Stmt'!$AR59,'Income Statement Source'!AG:AG)/1000</f>
        <v>5.8217400000000001</v>
      </c>
      <c r="AF59" s="20">
        <f>SUMIF('Income Statement Source'!$C:$C,'1.1 Adjusted Income Stmt'!$AR59,'Income Statement Source'!AH:AH)/1000</f>
        <v>5.9985900000000001</v>
      </c>
      <c r="AG59" s="20">
        <f>SUMIF('Income Statement Source'!$C:$C,'1.1 Adjusted Income Stmt'!$AR59,'Income Statement Source'!AI:AI)/1000</f>
        <v>5.7949099999999998</v>
      </c>
      <c r="AH59" s="20">
        <f>SUMIF('Income Statement Source'!$C:$C,'1.1 Adjusted Income Stmt'!$AR59,'Income Statement Source'!AJ:AJ)/1000</f>
        <v>6.0128599999999999</v>
      </c>
      <c r="AI59" s="20">
        <f>SUMIF('Income Statement Source'!$C:$C,'1.1 Adjusted Income Stmt'!$AR59,'Income Statement Source'!AK:AK)/1000</f>
        <v>5.7328199999999994</v>
      </c>
      <c r="AJ59" s="20">
        <f>SUMIF('Income Statement Source'!$C:$C,'1.1 Adjusted Income Stmt'!$AR59,'Income Statement Source'!AL:AL)/1000</f>
        <v>5.6826400000000001</v>
      </c>
      <c r="AK59" s="20">
        <f>SUMIF('Income Statement Source'!$C:$C,'1.1 Adjusted Income Stmt'!$AR59,'Income Statement Source'!AM:AM)/1000</f>
        <v>5.7089699999999999</v>
      </c>
      <c r="AL59" s="20">
        <f>SUMIF('Income Statement Source'!$C:$C,'1.1 Adjusted Income Stmt'!$AR59,'Income Statement Source'!AN:AN)/1000</f>
        <v>5.8836300000000001</v>
      </c>
      <c r="AM59" s="20">
        <f>SUMIF('Income Statement Source'!$C:$C,'1.1 Adjusted Income Stmt'!$AR59,'Income Statement Source'!AO:AO)/1000</f>
        <v>5.8302899999999998</v>
      </c>
      <c r="AN59" s="20">
        <f>SUMIF('Income Statement Source'!$C:$C,'1.1 Adjusted Income Stmt'!$AR59,'Income Statement Source'!AP:AP)/1000</f>
        <v>5.6560100000000002</v>
      </c>
      <c r="AO59" s="22">
        <f t="shared" ref="AO59:AO61" si="34">SUM(AE59:AN59)</f>
        <v>58.122460000000004</v>
      </c>
      <c r="AP59" s="22">
        <f t="shared" ref="AP59:AP61" si="35">SUM(AO59,AB59:AC59)</f>
        <v>69.779530000000008</v>
      </c>
      <c r="AR59" s="34" t="s">
        <v>33</v>
      </c>
    </row>
    <row r="60" spans="2:44" s="34" customFormat="1" hidden="1" outlineLevel="1" x14ac:dyDescent="0.2">
      <c r="B60" s="30" t="str">
        <f t="shared" si="31"/>
        <v>General Liability Insurance</v>
      </c>
      <c r="C60" s="4"/>
      <c r="D60" s="4"/>
      <c r="E60" s="20">
        <f>SUMIF('Income Statement Source'!$C:$C,'1.1 Adjusted Income Stmt'!$AR60,'Income Statement Source'!G:G)/1000</f>
        <v>8.557129999999999</v>
      </c>
      <c r="F60" s="20">
        <f>SUMIF('Income Statement Source'!$C:$C,'1.1 Adjusted Income Stmt'!$AR60,'Income Statement Source'!H:H)/1000</f>
        <v>1.4148900000000002</v>
      </c>
      <c r="G60" s="20">
        <f>SUMIF('Income Statement Source'!$C:$C,'1.1 Adjusted Income Stmt'!$AR60,'Income Statement Source'!I:I)/1000</f>
        <v>1.3727</v>
      </c>
      <c r="H60" s="20">
        <f>SUMIF('Income Statement Source'!$C:$C,'1.1 Adjusted Income Stmt'!$AR60,'Income Statement Source'!J:J)/1000</f>
        <v>1.3730599999999999</v>
      </c>
      <c r="I60" s="20">
        <f>SUMIF('Income Statement Source'!$C:$C,'1.1 Adjusted Income Stmt'!$AR60,'Income Statement Source'!K:K)/1000</f>
        <v>1.4297599999999999</v>
      </c>
      <c r="J60" s="20">
        <f>SUMIF('Income Statement Source'!$C:$C,'1.1 Adjusted Income Stmt'!$AR60,'Income Statement Source'!L:L)/1000</f>
        <v>1.39673</v>
      </c>
      <c r="K60" s="20">
        <f>SUMIF('Income Statement Source'!$C:$C,'1.1 Adjusted Income Stmt'!$AR60,'Income Statement Source'!M:M)/1000</f>
        <v>1.37497</v>
      </c>
      <c r="L60" s="20">
        <f>SUMIF('Income Statement Source'!$C:$C,'1.1 Adjusted Income Stmt'!$AR60,'Income Statement Source'!N:N)/1000</f>
        <v>1.3833</v>
      </c>
      <c r="M60" s="20">
        <f>SUMIF('Income Statement Source'!$C:$C,'1.1 Adjusted Income Stmt'!$AR60,'Income Statement Source'!O:O)/1000</f>
        <v>1.4130499999999999</v>
      </c>
      <c r="N60" s="20">
        <f>SUMIF('Income Statement Source'!$C:$C,'1.1 Adjusted Income Stmt'!$AR60,'Income Statement Source'!P:P)/1000</f>
        <v>1.3986099999999999</v>
      </c>
      <c r="O60" s="20">
        <f>SUMIF('Income Statement Source'!$C:$C,'1.1 Adjusted Income Stmt'!$AR60,'Income Statement Source'!Q:Q)/1000</f>
        <v>0</v>
      </c>
      <c r="P60" s="20">
        <f>SUMIF('Income Statement Source'!$C:$C,'1.1 Adjusted Income Stmt'!$AR60,'Income Statement Source'!R:R)/1000</f>
        <v>0</v>
      </c>
      <c r="Q60" s="22">
        <f t="shared" si="32"/>
        <v>21.114199999999997</v>
      </c>
      <c r="R60" s="20">
        <f>SUMIF('Income Statement Source'!$C:$C,'1.1 Adjusted Income Stmt'!$AR60,'Income Statement Source'!T:T)/1000</f>
        <v>8.2333700000000007</v>
      </c>
      <c r="S60" s="20">
        <f>SUMIF('Income Statement Source'!$C:$C,'1.1 Adjusted Income Stmt'!$AR60,'Income Statement Source'!U:U)/1000</f>
        <v>1.40981</v>
      </c>
      <c r="T60" s="20">
        <f>SUMIF('Income Statement Source'!$C:$C,'1.1 Adjusted Income Stmt'!$AR60,'Income Statement Source'!V:V)/1000</f>
        <v>1.4307999999999998</v>
      </c>
      <c r="U60" s="20">
        <f>SUMIF('Income Statement Source'!$C:$C,'1.1 Adjusted Income Stmt'!$AR60,'Income Statement Source'!W:W)/1000</f>
        <v>1.3722999999999999</v>
      </c>
      <c r="V60" s="20">
        <f>SUMIF('Income Statement Source'!$C:$C,'1.1 Adjusted Income Stmt'!$AR60,'Income Statement Source'!X:X)/1000</f>
        <v>1.4010499999999999</v>
      </c>
      <c r="W60" s="20">
        <f>SUMIF('Income Statement Source'!$C:$C,'1.1 Adjusted Income Stmt'!$AR60,'Income Statement Source'!Y:Y)/1000</f>
        <v>1.42222</v>
      </c>
      <c r="X60" s="20">
        <f>SUMIF('Income Statement Source'!$C:$C,'1.1 Adjusted Income Stmt'!$AR60,'Income Statement Source'!Z:Z)/1000</f>
        <v>1.42405</v>
      </c>
      <c r="Y60" s="20">
        <f>SUMIF('Income Statement Source'!$C:$C,'1.1 Adjusted Income Stmt'!$AR60,'Income Statement Source'!AA:AA)/1000</f>
        <v>1.4056600000000001</v>
      </c>
      <c r="Z60" s="20">
        <f>SUMIF('Income Statement Source'!$C:$C,'1.1 Adjusted Income Stmt'!$AR60,'Income Statement Source'!AB:AB)/1000</f>
        <v>1.4137999999999999</v>
      </c>
      <c r="AA60" s="20">
        <f>SUMIF('Income Statement Source'!$C:$C,'1.1 Adjusted Income Stmt'!$AR60,'Income Statement Source'!AC:AC)/1000</f>
        <v>1.3953599999999999</v>
      </c>
      <c r="AB60" s="20">
        <f>SUMIF('Income Statement Source'!$C:$C,'1.1 Adjusted Income Stmt'!$AR60,'Income Statement Source'!AD:AD)/1000</f>
        <v>0</v>
      </c>
      <c r="AC60" s="20">
        <f>SUMIF('Income Statement Source'!$C:$C,'1.1 Adjusted Income Stmt'!$AR60,'Income Statement Source'!AE:AE)/1000</f>
        <v>0</v>
      </c>
      <c r="AD60" s="22">
        <f t="shared" si="33"/>
        <v>20.90842</v>
      </c>
      <c r="AE60" s="20">
        <f>SUMIF('Income Statement Source'!$C:$C,'1.1 Adjusted Income Stmt'!$AR60,'Income Statement Source'!AG:AG)/1000</f>
        <v>22.468599999999999</v>
      </c>
      <c r="AF60" s="20">
        <f>SUMIF('Income Statement Source'!$C:$C,'1.1 Adjusted Income Stmt'!$AR60,'Income Statement Source'!AH:AH)/1000</f>
        <v>0</v>
      </c>
      <c r="AG60" s="20">
        <f>SUMIF('Income Statement Source'!$C:$C,'1.1 Adjusted Income Stmt'!$AR60,'Income Statement Source'!AI:AI)/1000</f>
        <v>0</v>
      </c>
      <c r="AH60" s="20">
        <f>SUMIF('Income Statement Source'!$C:$C,'1.1 Adjusted Income Stmt'!$AR60,'Income Statement Source'!AJ:AJ)/1000</f>
        <v>0</v>
      </c>
      <c r="AI60" s="20">
        <f>SUMIF('Income Statement Source'!$C:$C,'1.1 Adjusted Income Stmt'!$AR60,'Income Statement Source'!AK:AK)/1000</f>
        <v>0</v>
      </c>
      <c r="AJ60" s="20">
        <f>SUMIF('Income Statement Source'!$C:$C,'1.1 Adjusted Income Stmt'!$AR60,'Income Statement Source'!AL:AL)/1000</f>
        <v>0</v>
      </c>
      <c r="AK60" s="20">
        <f>SUMIF('Income Statement Source'!$C:$C,'1.1 Adjusted Income Stmt'!$AR60,'Income Statement Source'!AM:AM)/1000</f>
        <v>0</v>
      </c>
      <c r="AL60" s="20">
        <f>SUMIF('Income Statement Source'!$C:$C,'1.1 Adjusted Income Stmt'!$AR60,'Income Statement Source'!AN:AN)/1000</f>
        <v>0</v>
      </c>
      <c r="AM60" s="20">
        <f>SUMIF('Income Statement Source'!$C:$C,'1.1 Adjusted Income Stmt'!$AR60,'Income Statement Source'!AO:AO)/1000</f>
        <v>0</v>
      </c>
      <c r="AN60" s="20">
        <f>SUMIF('Income Statement Source'!$C:$C,'1.1 Adjusted Income Stmt'!$AR60,'Income Statement Source'!AP:AP)/1000</f>
        <v>0</v>
      </c>
      <c r="AO60" s="22">
        <f t="shared" si="34"/>
        <v>22.468599999999999</v>
      </c>
      <c r="AP60" s="22">
        <f t="shared" si="35"/>
        <v>22.468599999999999</v>
      </c>
      <c r="AR60" s="34" t="s">
        <v>34</v>
      </c>
    </row>
    <row r="61" spans="2:44" s="34" customFormat="1" hidden="1" outlineLevel="1" x14ac:dyDescent="0.2">
      <c r="B61" s="30" t="str">
        <f t="shared" si="31"/>
        <v>Professional Liability Insurance</v>
      </c>
      <c r="C61" s="4"/>
      <c r="D61" s="4"/>
      <c r="E61" s="31">
        <f>SUMIF('Income Statement Source'!$C:$C,'1.1 Adjusted Income Stmt'!$AR61,'Income Statement Source'!G:G)/1000</f>
        <v>0.95217999999999992</v>
      </c>
      <c r="F61" s="31">
        <f>SUMIF('Income Statement Source'!$C:$C,'1.1 Adjusted Income Stmt'!$AR61,'Income Statement Source'!H:H)/1000</f>
        <v>0.94723999999999997</v>
      </c>
      <c r="G61" s="31">
        <f>SUMIF('Income Statement Source'!$C:$C,'1.1 Adjusted Income Stmt'!$AR61,'Income Statement Source'!I:I)/1000</f>
        <v>0.94526999999999994</v>
      </c>
      <c r="H61" s="31">
        <f>SUMIF('Income Statement Source'!$C:$C,'1.1 Adjusted Income Stmt'!$AR61,'Income Statement Source'!J:J)/1000</f>
        <v>0.94323999999999997</v>
      </c>
      <c r="I61" s="31">
        <f>SUMIF('Income Statement Source'!$C:$C,'1.1 Adjusted Income Stmt'!$AR61,'Income Statement Source'!K:K)/1000</f>
        <v>0.95072999999999996</v>
      </c>
      <c r="J61" s="31">
        <f>SUMIF('Income Statement Source'!$C:$C,'1.1 Adjusted Income Stmt'!$AR61,'Income Statement Source'!L:L)/1000</f>
        <v>0.94257000000000002</v>
      </c>
      <c r="K61" s="31">
        <f>SUMIF('Income Statement Source'!$C:$C,'1.1 Adjusted Income Stmt'!$AR61,'Income Statement Source'!M:M)/1000</f>
        <v>0.9486</v>
      </c>
      <c r="L61" s="31">
        <f>SUMIF('Income Statement Source'!$C:$C,'1.1 Adjusted Income Stmt'!$AR61,'Income Statement Source'!N:N)/1000</f>
        <v>0.95926999999999996</v>
      </c>
      <c r="M61" s="31">
        <f>SUMIF('Income Statement Source'!$C:$C,'1.1 Adjusted Income Stmt'!$AR61,'Income Statement Source'!O:O)/1000</f>
        <v>0.95404</v>
      </c>
      <c r="N61" s="31">
        <f>SUMIF('Income Statement Source'!$C:$C,'1.1 Adjusted Income Stmt'!$AR61,'Income Statement Source'!P:P)/1000</f>
        <v>0.94228999999999996</v>
      </c>
      <c r="O61" s="31">
        <f>SUMIF('Income Statement Source'!$C:$C,'1.1 Adjusted Income Stmt'!$AR61,'Income Statement Source'!Q:Q)/1000</f>
        <v>0.95092999999999994</v>
      </c>
      <c r="P61" s="31">
        <f>SUMIF('Income Statement Source'!$C:$C,'1.1 Adjusted Income Stmt'!$AR61,'Income Statement Source'!R:R)/1000</f>
        <v>0.95043</v>
      </c>
      <c r="Q61" s="32">
        <f t="shared" si="32"/>
        <v>11.38679</v>
      </c>
      <c r="R61" s="31">
        <f>SUMIF('Income Statement Source'!$C:$C,'1.1 Adjusted Income Stmt'!$AR61,'Income Statement Source'!T:T)/1000</f>
        <v>0.95944000000000007</v>
      </c>
      <c r="S61" s="31">
        <f>SUMIF('Income Statement Source'!$C:$C,'1.1 Adjusted Income Stmt'!$AR61,'Income Statement Source'!U:U)/1000</f>
        <v>0.95577000000000001</v>
      </c>
      <c r="T61" s="31">
        <f>SUMIF('Income Statement Source'!$C:$C,'1.1 Adjusted Income Stmt'!$AR61,'Income Statement Source'!V:V)/1000</f>
        <v>0.94159000000000004</v>
      </c>
      <c r="U61" s="31">
        <f>SUMIF('Income Statement Source'!$C:$C,'1.1 Adjusted Income Stmt'!$AR61,'Income Statement Source'!W:W)/1000</f>
        <v>0.95743</v>
      </c>
      <c r="V61" s="31">
        <f>SUMIF('Income Statement Source'!$C:$C,'1.1 Adjusted Income Stmt'!$AR61,'Income Statement Source'!X:X)/1000</f>
        <v>0.94840999999999998</v>
      </c>
      <c r="W61" s="31">
        <f>SUMIF('Income Statement Source'!$C:$C,'1.1 Adjusted Income Stmt'!$AR61,'Income Statement Source'!Y:Y)/1000</f>
        <v>0.95410000000000006</v>
      </c>
      <c r="X61" s="31">
        <f>SUMIF('Income Statement Source'!$C:$C,'1.1 Adjusted Income Stmt'!$AR61,'Income Statement Source'!Z:Z)/1000</f>
        <v>0.95586000000000004</v>
      </c>
      <c r="Y61" s="31">
        <f>SUMIF('Income Statement Source'!$C:$C,'1.1 Adjusted Income Stmt'!$AR61,'Income Statement Source'!AA:AA)/1000</f>
        <v>0.95752999999999999</v>
      </c>
      <c r="Z61" s="31">
        <f>SUMIF('Income Statement Source'!$C:$C,'1.1 Adjusted Income Stmt'!$AR61,'Income Statement Source'!AB:AB)/1000</f>
        <v>0.94435999999999998</v>
      </c>
      <c r="AA61" s="31">
        <f>SUMIF('Income Statement Source'!$C:$C,'1.1 Adjusted Income Stmt'!$AR61,'Income Statement Source'!AC:AC)/1000</f>
        <v>0.95811000000000002</v>
      </c>
      <c r="AB61" s="31">
        <f>SUMIF('Income Statement Source'!$C:$C,'1.1 Adjusted Income Stmt'!$AR61,'Income Statement Source'!AD:AD)/1000</f>
        <v>0.95557000000000003</v>
      </c>
      <c r="AC61" s="31">
        <f>SUMIF('Income Statement Source'!$C:$C,'1.1 Adjusted Income Stmt'!$AR61,'Income Statement Source'!AE:AE)/1000</f>
        <v>0.95275999999999994</v>
      </c>
      <c r="AD61" s="32">
        <f t="shared" si="33"/>
        <v>11.44093</v>
      </c>
      <c r="AE61" s="31">
        <f>SUMIF('Income Statement Source'!$C:$C,'1.1 Adjusted Income Stmt'!$AR61,'Income Statement Source'!AG:AG)/1000</f>
        <v>0.95838000000000001</v>
      </c>
      <c r="AF61" s="31">
        <f>SUMIF('Income Statement Source'!$C:$C,'1.1 Adjusted Income Stmt'!$AR61,'Income Statement Source'!AH:AH)/1000</f>
        <v>0.94361000000000006</v>
      </c>
      <c r="AG61" s="31">
        <f>SUMIF('Income Statement Source'!$C:$C,'1.1 Adjusted Income Stmt'!$AR61,'Income Statement Source'!AI:AI)/1000</f>
        <v>0.94550999999999996</v>
      </c>
      <c r="AH61" s="31">
        <f>SUMIF('Income Statement Source'!$C:$C,'1.1 Adjusted Income Stmt'!$AR61,'Income Statement Source'!AJ:AJ)/1000</f>
        <v>0.95029999999999992</v>
      </c>
      <c r="AI61" s="31">
        <f>SUMIF('Income Statement Source'!$C:$C,'1.1 Adjusted Income Stmt'!$AR61,'Income Statement Source'!AK:AK)/1000</f>
        <v>0.94086000000000003</v>
      </c>
      <c r="AJ61" s="31">
        <f>SUMIF('Income Statement Source'!$C:$C,'1.1 Adjusted Income Stmt'!$AR61,'Income Statement Source'!AL:AL)/1000</f>
        <v>0.94655999999999996</v>
      </c>
      <c r="AK61" s="31">
        <f>SUMIF('Income Statement Source'!$C:$C,'1.1 Adjusted Income Stmt'!$AR61,'Income Statement Source'!AM:AM)/1000</f>
        <v>0.95916000000000001</v>
      </c>
      <c r="AL61" s="31">
        <f>SUMIF('Income Statement Source'!$C:$C,'1.1 Adjusted Income Stmt'!$AR61,'Income Statement Source'!AN:AN)/1000</f>
        <v>0.95680999999999994</v>
      </c>
      <c r="AM61" s="31">
        <f>SUMIF('Income Statement Source'!$C:$C,'1.1 Adjusted Income Stmt'!$AR61,'Income Statement Source'!AO:AO)/1000</f>
        <v>0.94325000000000003</v>
      </c>
      <c r="AN61" s="31">
        <f>SUMIF('Income Statement Source'!$C:$C,'1.1 Adjusted Income Stmt'!$AR61,'Income Statement Source'!AP:AP)/1000</f>
        <v>0.95269999999999999</v>
      </c>
      <c r="AO61" s="32">
        <f t="shared" si="34"/>
        <v>9.4971399999999999</v>
      </c>
      <c r="AP61" s="32">
        <f t="shared" si="35"/>
        <v>11.405469999999999</v>
      </c>
      <c r="AR61" s="34" t="s">
        <v>35</v>
      </c>
    </row>
    <row r="62" spans="2:44" collapsed="1" x14ac:dyDescent="0.2">
      <c r="B62" s="29" t="str">
        <f>+B58</f>
        <v>Insurance</v>
      </c>
      <c r="E62" s="20">
        <f>SUM(E59:E61)</f>
        <v>15.290889999999999</v>
      </c>
      <c r="F62" s="20">
        <f t="shared" ref="F62:AP62" si="36">SUM(F59:F61)</f>
        <v>8.2837200000000006</v>
      </c>
      <c r="G62" s="20">
        <f t="shared" si="36"/>
        <v>7.9016699999999993</v>
      </c>
      <c r="H62" s="20">
        <f t="shared" si="36"/>
        <v>7.9818500000000006</v>
      </c>
      <c r="I62" s="20">
        <f t="shared" si="36"/>
        <v>8.1395999999999997</v>
      </c>
      <c r="J62" s="20">
        <f t="shared" si="36"/>
        <v>8.0519700000000007</v>
      </c>
      <c r="K62" s="20">
        <f t="shared" si="36"/>
        <v>8.1540700000000008</v>
      </c>
      <c r="L62" s="20">
        <f t="shared" si="36"/>
        <v>8.1345999999999989</v>
      </c>
      <c r="M62" s="20">
        <f t="shared" si="36"/>
        <v>7.9963199999999999</v>
      </c>
      <c r="N62" s="20">
        <f t="shared" si="36"/>
        <v>8.1319300000000005</v>
      </c>
      <c r="O62" s="20">
        <f t="shared" si="36"/>
        <v>6.5328600000000003</v>
      </c>
      <c r="P62" s="20">
        <f t="shared" si="36"/>
        <v>6.9352800000000006</v>
      </c>
      <c r="Q62" s="22">
        <f t="shared" si="36"/>
        <v>101.53475999999999</v>
      </c>
      <c r="R62" s="20">
        <f t="shared" si="36"/>
        <v>15.135810000000001</v>
      </c>
      <c r="S62" s="20">
        <f t="shared" si="36"/>
        <v>7.9705100000000009</v>
      </c>
      <c r="T62" s="20">
        <f t="shared" si="36"/>
        <v>8.0057200000000002</v>
      </c>
      <c r="U62" s="20">
        <f t="shared" si="36"/>
        <v>7.9830000000000005</v>
      </c>
      <c r="V62" s="20">
        <f t="shared" si="36"/>
        <v>8.1212499999999999</v>
      </c>
      <c r="W62" s="20">
        <f t="shared" si="36"/>
        <v>8.3277999999999999</v>
      </c>
      <c r="X62" s="20">
        <f t="shared" si="36"/>
        <v>8.1338899999999992</v>
      </c>
      <c r="Y62" s="20">
        <f t="shared" si="36"/>
        <v>8.2004099999999998</v>
      </c>
      <c r="Z62" s="20">
        <f t="shared" si="36"/>
        <v>8.34056</v>
      </c>
      <c r="AA62" s="20">
        <f t="shared" si="36"/>
        <v>8.2805800000000005</v>
      </c>
      <c r="AB62" s="20">
        <f t="shared" si="36"/>
        <v>6.6421399999999995</v>
      </c>
      <c r="AC62" s="20">
        <f t="shared" si="36"/>
        <v>6.92326</v>
      </c>
      <c r="AD62" s="22">
        <f t="shared" si="36"/>
        <v>102.06492999999999</v>
      </c>
      <c r="AE62" s="20">
        <f t="shared" si="36"/>
        <v>29.248719999999999</v>
      </c>
      <c r="AF62" s="20">
        <f t="shared" si="36"/>
        <v>6.9421999999999997</v>
      </c>
      <c r="AG62" s="20">
        <f t="shared" si="36"/>
        <v>6.7404199999999994</v>
      </c>
      <c r="AH62" s="20">
        <f t="shared" si="36"/>
        <v>6.9631600000000002</v>
      </c>
      <c r="AI62" s="20">
        <f t="shared" si="36"/>
        <v>6.6736799999999992</v>
      </c>
      <c r="AJ62" s="20">
        <f t="shared" si="36"/>
        <v>6.6292</v>
      </c>
      <c r="AK62" s="20">
        <f t="shared" si="36"/>
        <v>6.6681299999999997</v>
      </c>
      <c r="AL62" s="20">
        <f t="shared" si="36"/>
        <v>6.8404400000000001</v>
      </c>
      <c r="AM62" s="20">
        <f t="shared" si="36"/>
        <v>6.7735399999999997</v>
      </c>
      <c r="AN62" s="20">
        <f t="shared" si="36"/>
        <v>6.6087100000000003</v>
      </c>
      <c r="AO62" s="22">
        <f t="shared" si="36"/>
        <v>90.088200000000001</v>
      </c>
      <c r="AP62" s="22">
        <f t="shared" si="36"/>
        <v>103.6536</v>
      </c>
    </row>
    <row r="63" spans="2:44" x14ac:dyDescent="0.2">
      <c r="B63" s="25"/>
      <c r="E63" s="47">
        <f>IFERROR(E62/E$19,0)</f>
        <v>5.1048052434772721E-2</v>
      </c>
      <c r="F63" s="47">
        <f t="shared" ref="F63:AP63" si="37">IFERROR(F62/F$19,0)</f>
        <v>3.3697824005467718E-2</v>
      </c>
      <c r="G63" s="47">
        <f t="shared" si="37"/>
        <v>2.6664147355462464E-2</v>
      </c>
      <c r="H63" s="47">
        <f t="shared" si="37"/>
        <v>4.8643248398166417E-2</v>
      </c>
      <c r="I63" s="47">
        <f t="shared" si="37"/>
        <v>2.9389565152454226E-2</v>
      </c>
      <c r="J63" s="47">
        <f t="shared" si="37"/>
        <v>1.8852936067711275E-2</v>
      </c>
      <c r="K63" s="47">
        <f t="shared" si="37"/>
        <v>4.2846541104666597E-2</v>
      </c>
      <c r="L63" s="47">
        <f t="shared" si="37"/>
        <v>3.2811974360405234E-2</v>
      </c>
      <c r="M63" s="47">
        <f t="shared" si="37"/>
        <v>1.6229847484046499E-2</v>
      </c>
      <c r="N63" s="47">
        <f t="shared" si="37"/>
        <v>4.2238301021255191E-2</v>
      </c>
      <c r="O63" s="47">
        <f t="shared" si="37"/>
        <v>2.6793018564968227E-2</v>
      </c>
      <c r="P63" s="47">
        <f t="shared" si="37"/>
        <v>1.7000555925330656E-2</v>
      </c>
      <c r="Q63" s="48">
        <f t="shared" si="37"/>
        <v>2.9134335957281762E-2</v>
      </c>
      <c r="R63" s="47">
        <f t="shared" si="37"/>
        <v>5.8242498819978117E-2</v>
      </c>
      <c r="S63" s="47">
        <f t="shared" si="37"/>
        <v>2.690890574181774E-2</v>
      </c>
      <c r="T63" s="47">
        <f t="shared" si="37"/>
        <v>1.709628194348314E-2</v>
      </c>
      <c r="U63" s="47">
        <f t="shared" si="37"/>
        <v>3.4926477890888548E-2</v>
      </c>
      <c r="V63" s="47">
        <f t="shared" si="37"/>
        <v>2.1198720477867014E-2</v>
      </c>
      <c r="W63" s="47">
        <f t="shared" si="37"/>
        <v>1.592912957924425E-2</v>
      </c>
      <c r="X63" s="47">
        <f t="shared" si="37"/>
        <v>1.849119118374179E-2</v>
      </c>
      <c r="Y63" s="47">
        <f t="shared" si="37"/>
        <v>2.5998611468082085E-2</v>
      </c>
      <c r="Z63" s="47">
        <f t="shared" si="37"/>
        <v>1.7035030135240374E-2</v>
      </c>
      <c r="AA63" s="47">
        <f t="shared" si="37"/>
        <v>2.3787321363507818E-2</v>
      </c>
      <c r="AB63" s="47">
        <f t="shared" si="37"/>
        <v>1.5686473649551114E-2</v>
      </c>
      <c r="AC63" s="47">
        <f t="shared" si="37"/>
        <v>1.7964190866231668E-2</v>
      </c>
      <c r="AD63" s="48">
        <f t="shared" si="37"/>
        <v>2.2379407862022926E-2</v>
      </c>
      <c r="AE63" s="47">
        <f t="shared" si="37"/>
        <v>0.12960177079573684</v>
      </c>
      <c r="AF63" s="47">
        <f t="shared" si="37"/>
        <v>3.0710387541591989E-2</v>
      </c>
      <c r="AG63" s="47">
        <f t="shared" si="37"/>
        <v>1.6522043274393373E-2</v>
      </c>
      <c r="AH63" s="47">
        <f t="shared" si="37"/>
        <v>1.7611770358558432E-2</v>
      </c>
      <c r="AI63" s="47">
        <f t="shared" si="37"/>
        <v>2.5380401587377997E-2</v>
      </c>
      <c r="AJ63" s="47">
        <f t="shared" si="37"/>
        <v>1.6060068632925636E-2</v>
      </c>
      <c r="AK63" s="47">
        <f t="shared" si="37"/>
        <v>2.0312095135162748E-2</v>
      </c>
      <c r="AL63" s="47">
        <f t="shared" si="37"/>
        <v>1.8360368379696495E-2</v>
      </c>
      <c r="AM63" s="47">
        <f t="shared" si="37"/>
        <v>2.0555479458683246E-2</v>
      </c>
      <c r="AN63" s="47">
        <f t="shared" si="37"/>
        <v>1.6864848538011179E-2</v>
      </c>
      <c r="AO63" s="48">
        <f t="shared" si="37"/>
        <v>2.6867708652733861E-2</v>
      </c>
      <c r="AP63" s="48">
        <f t="shared" si="37"/>
        <v>2.490564255345263E-2</v>
      </c>
    </row>
    <row r="64" spans="2:44" s="34" customFormat="1" hidden="1" outlineLevel="1" x14ac:dyDescent="0.2">
      <c r="B64" s="33" t="s">
        <v>97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2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2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2"/>
      <c r="AP64" s="52"/>
    </row>
    <row r="65" spans="2:44" s="34" customFormat="1" hidden="1" outlineLevel="1" x14ac:dyDescent="0.2">
      <c r="B65" s="30" t="str">
        <f t="shared" ref="B65:B69" si="38">+AR65</f>
        <v>Rent - Office</v>
      </c>
      <c r="C65" s="4"/>
      <c r="D65" s="4"/>
      <c r="E65" s="20">
        <f>SUMIF('Income Statement Source'!$C:$C,'1.1 Adjusted Income Stmt'!$AR65,'Income Statement Source'!G:G)/1000</f>
        <v>3.2</v>
      </c>
      <c r="F65" s="20">
        <f>SUMIF('Income Statement Source'!$C:$C,'1.1 Adjusted Income Stmt'!$AR65,'Income Statement Source'!H:H)/1000</f>
        <v>3.2</v>
      </c>
      <c r="G65" s="20">
        <f>SUMIF('Income Statement Source'!$C:$C,'1.1 Adjusted Income Stmt'!$AR65,'Income Statement Source'!I:I)/1000</f>
        <v>3.2</v>
      </c>
      <c r="H65" s="20">
        <f>SUMIF('Income Statement Source'!$C:$C,'1.1 Adjusted Income Stmt'!$AR65,'Income Statement Source'!J:J)/1000</f>
        <v>3.2</v>
      </c>
      <c r="I65" s="20">
        <f>SUMIF('Income Statement Source'!$C:$C,'1.1 Adjusted Income Stmt'!$AR65,'Income Statement Source'!K:K)/1000</f>
        <v>3.2</v>
      </c>
      <c r="J65" s="20">
        <f>SUMIF('Income Statement Source'!$C:$C,'1.1 Adjusted Income Stmt'!$AR65,'Income Statement Source'!L:L)/1000</f>
        <v>3.2</v>
      </c>
      <c r="K65" s="20">
        <f>SUMIF('Income Statement Source'!$C:$C,'1.1 Adjusted Income Stmt'!$AR65,'Income Statement Source'!M:M)/1000</f>
        <v>3.2</v>
      </c>
      <c r="L65" s="20">
        <f>SUMIF('Income Statement Source'!$C:$C,'1.1 Adjusted Income Stmt'!$AR65,'Income Statement Source'!N:N)/1000</f>
        <v>3.2</v>
      </c>
      <c r="M65" s="20">
        <f>SUMIF('Income Statement Source'!$C:$C,'1.1 Adjusted Income Stmt'!$AR65,'Income Statement Source'!O:O)/1000</f>
        <v>3.2</v>
      </c>
      <c r="N65" s="20">
        <f>SUMIF('Income Statement Source'!$C:$C,'1.1 Adjusted Income Stmt'!$AR65,'Income Statement Source'!P:P)/1000</f>
        <v>3.2</v>
      </c>
      <c r="O65" s="20">
        <f>SUMIF('Income Statement Source'!$C:$C,'1.1 Adjusted Income Stmt'!$AR65,'Income Statement Source'!Q:Q)/1000</f>
        <v>3.2</v>
      </c>
      <c r="P65" s="20">
        <f>SUMIF('Income Statement Source'!$C:$C,'1.1 Adjusted Income Stmt'!$AR65,'Income Statement Source'!R:R)/1000</f>
        <v>3.2</v>
      </c>
      <c r="Q65" s="22">
        <f t="shared" ref="Q65:Q69" si="39">SUM(E65:P65)</f>
        <v>38.4</v>
      </c>
      <c r="R65" s="20">
        <f>SUMIF('Income Statement Source'!$C:$C,'1.1 Adjusted Income Stmt'!$AR65,'Income Statement Source'!T:T)/1000</f>
        <v>3.2</v>
      </c>
      <c r="S65" s="20">
        <f>SUMIF('Income Statement Source'!$C:$C,'1.1 Adjusted Income Stmt'!$AR65,'Income Statement Source'!U:U)/1000</f>
        <v>3.2</v>
      </c>
      <c r="T65" s="20">
        <f>SUMIF('Income Statement Source'!$C:$C,'1.1 Adjusted Income Stmt'!$AR65,'Income Statement Source'!V:V)/1000</f>
        <v>3.2</v>
      </c>
      <c r="U65" s="20">
        <f>SUMIF('Income Statement Source'!$C:$C,'1.1 Adjusted Income Stmt'!$AR65,'Income Statement Source'!W:W)/1000</f>
        <v>3.2</v>
      </c>
      <c r="V65" s="20">
        <f>SUMIF('Income Statement Source'!$C:$C,'1.1 Adjusted Income Stmt'!$AR65,'Income Statement Source'!X:X)/1000</f>
        <v>3.2</v>
      </c>
      <c r="W65" s="20">
        <f>SUMIF('Income Statement Source'!$C:$C,'1.1 Adjusted Income Stmt'!$AR65,'Income Statement Source'!Y:Y)/1000</f>
        <v>3.2</v>
      </c>
      <c r="X65" s="20">
        <f>SUMIF('Income Statement Source'!$C:$C,'1.1 Adjusted Income Stmt'!$AR65,'Income Statement Source'!Z:Z)/1000</f>
        <v>3.2</v>
      </c>
      <c r="Y65" s="20">
        <f>SUMIF('Income Statement Source'!$C:$C,'1.1 Adjusted Income Stmt'!$AR65,'Income Statement Source'!AA:AA)/1000</f>
        <v>3.2</v>
      </c>
      <c r="Z65" s="20">
        <f>SUMIF('Income Statement Source'!$C:$C,'1.1 Adjusted Income Stmt'!$AR65,'Income Statement Source'!AB:AB)/1000</f>
        <v>3.2</v>
      </c>
      <c r="AA65" s="20">
        <f>SUMIF('Income Statement Source'!$C:$C,'1.1 Adjusted Income Stmt'!$AR65,'Income Statement Source'!AC:AC)/1000</f>
        <v>3.2</v>
      </c>
      <c r="AB65" s="20">
        <f>SUMIF('Income Statement Source'!$C:$C,'1.1 Adjusted Income Stmt'!$AR65,'Income Statement Source'!AD:AD)/1000</f>
        <v>3.2</v>
      </c>
      <c r="AC65" s="20">
        <f>SUMIF('Income Statement Source'!$C:$C,'1.1 Adjusted Income Stmt'!$AR65,'Income Statement Source'!AE:AE)/1000</f>
        <v>3.2</v>
      </c>
      <c r="AD65" s="22">
        <f t="shared" ref="AD65:AD69" si="40">SUM(R65:AC65)</f>
        <v>38.4</v>
      </c>
      <c r="AE65" s="20">
        <f>SUMIF('Income Statement Source'!$C:$C,'1.1 Adjusted Income Stmt'!$AR65,'Income Statement Source'!AG:AG)/1000</f>
        <v>3.2</v>
      </c>
      <c r="AF65" s="20">
        <f>SUMIF('Income Statement Source'!$C:$C,'1.1 Adjusted Income Stmt'!$AR65,'Income Statement Source'!AH:AH)/1000</f>
        <v>3.2</v>
      </c>
      <c r="AG65" s="20">
        <f>SUMIF('Income Statement Source'!$C:$C,'1.1 Adjusted Income Stmt'!$AR65,'Income Statement Source'!AI:AI)/1000</f>
        <v>3.2</v>
      </c>
      <c r="AH65" s="20">
        <f>SUMIF('Income Statement Source'!$C:$C,'1.1 Adjusted Income Stmt'!$AR65,'Income Statement Source'!AJ:AJ)/1000</f>
        <v>3.2</v>
      </c>
      <c r="AI65" s="20">
        <f>SUMIF('Income Statement Source'!$C:$C,'1.1 Adjusted Income Stmt'!$AR65,'Income Statement Source'!AK:AK)/1000</f>
        <v>3.2</v>
      </c>
      <c r="AJ65" s="20">
        <f>SUMIF('Income Statement Source'!$C:$C,'1.1 Adjusted Income Stmt'!$AR65,'Income Statement Source'!AL:AL)/1000</f>
        <v>3.2</v>
      </c>
      <c r="AK65" s="20">
        <f>SUMIF('Income Statement Source'!$C:$C,'1.1 Adjusted Income Stmt'!$AR65,'Income Statement Source'!AM:AM)/1000</f>
        <v>3.2</v>
      </c>
      <c r="AL65" s="20">
        <f>SUMIF('Income Statement Source'!$C:$C,'1.1 Adjusted Income Stmt'!$AR65,'Income Statement Source'!AN:AN)/1000</f>
        <v>3.2</v>
      </c>
      <c r="AM65" s="20">
        <f>SUMIF('Income Statement Source'!$C:$C,'1.1 Adjusted Income Stmt'!$AR65,'Income Statement Source'!AO:AO)/1000</f>
        <v>3.2</v>
      </c>
      <c r="AN65" s="20">
        <f>SUMIF('Income Statement Source'!$C:$C,'1.1 Adjusted Income Stmt'!$AR65,'Income Statement Source'!AP:AP)/1000</f>
        <v>3.2</v>
      </c>
      <c r="AO65" s="22">
        <f t="shared" ref="AO65:AO69" si="41">SUM(AE65:AN65)</f>
        <v>31.999999999999996</v>
      </c>
      <c r="AP65" s="22">
        <f t="shared" ref="AP65:AP69" si="42">SUM(AO65,AB65:AC65)</f>
        <v>38.4</v>
      </c>
      <c r="AR65" s="34" t="s">
        <v>36</v>
      </c>
    </row>
    <row r="66" spans="2:44" s="34" customFormat="1" hidden="1" outlineLevel="1" x14ac:dyDescent="0.2">
      <c r="B66" s="30" t="str">
        <f t="shared" si="38"/>
        <v>Rent - Warehouse</v>
      </c>
      <c r="C66" s="4"/>
      <c r="D66" s="4"/>
      <c r="E66" s="20">
        <f>SUMIF('Income Statement Source'!$C:$C,'1.1 Adjusted Income Stmt'!$AR66,'Income Statement Source'!G:G)/1000</f>
        <v>2.8</v>
      </c>
      <c r="F66" s="20">
        <f>SUMIF('Income Statement Source'!$C:$C,'1.1 Adjusted Income Stmt'!$AR66,'Income Statement Source'!H:H)/1000</f>
        <v>2.8</v>
      </c>
      <c r="G66" s="20">
        <f>SUMIF('Income Statement Source'!$C:$C,'1.1 Adjusted Income Stmt'!$AR66,'Income Statement Source'!I:I)/1000</f>
        <v>2.8</v>
      </c>
      <c r="H66" s="20">
        <f>SUMIF('Income Statement Source'!$C:$C,'1.1 Adjusted Income Stmt'!$AR66,'Income Statement Source'!J:J)/1000</f>
        <v>2.8</v>
      </c>
      <c r="I66" s="20">
        <f>SUMIF('Income Statement Source'!$C:$C,'1.1 Adjusted Income Stmt'!$AR66,'Income Statement Source'!K:K)/1000</f>
        <v>2.8</v>
      </c>
      <c r="J66" s="20">
        <f>SUMIF('Income Statement Source'!$C:$C,'1.1 Adjusted Income Stmt'!$AR66,'Income Statement Source'!L:L)/1000</f>
        <v>2.8</v>
      </c>
      <c r="K66" s="20">
        <f>SUMIF('Income Statement Source'!$C:$C,'1.1 Adjusted Income Stmt'!$AR66,'Income Statement Source'!M:M)/1000</f>
        <v>2.8</v>
      </c>
      <c r="L66" s="20">
        <f>SUMIF('Income Statement Source'!$C:$C,'1.1 Adjusted Income Stmt'!$AR66,'Income Statement Source'!N:N)/1000</f>
        <v>2.8</v>
      </c>
      <c r="M66" s="20">
        <f>SUMIF('Income Statement Source'!$C:$C,'1.1 Adjusted Income Stmt'!$AR66,'Income Statement Source'!O:O)/1000</f>
        <v>2.8</v>
      </c>
      <c r="N66" s="20">
        <f>SUMIF('Income Statement Source'!$C:$C,'1.1 Adjusted Income Stmt'!$AR66,'Income Statement Source'!P:P)/1000</f>
        <v>2.8</v>
      </c>
      <c r="O66" s="20">
        <f>SUMIF('Income Statement Source'!$C:$C,'1.1 Adjusted Income Stmt'!$AR66,'Income Statement Source'!Q:Q)/1000</f>
        <v>2.8</v>
      </c>
      <c r="P66" s="20">
        <f>SUMIF('Income Statement Source'!$C:$C,'1.1 Adjusted Income Stmt'!$AR66,'Income Statement Source'!R:R)/1000</f>
        <v>2.8</v>
      </c>
      <c r="Q66" s="22">
        <f t="shared" si="39"/>
        <v>33.6</v>
      </c>
      <c r="R66" s="20">
        <f>SUMIF('Income Statement Source'!$C:$C,'1.1 Adjusted Income Stmt'!$AR66,'Income Statement Source'!T:T)/1000</f>
        <v>2.8</v>
      </c>
      <c r="S66" s="20">
        <f>SUMIF('Income Statement Source'!$C:$C,'1.1 Adjusted Income Stmt'!$AR66,'Income Statement Source'!U:U)/1000</f>
        <v>2.8</v>
      </c>
      <c r="T66" s="20">
        <f>SUMIF('Income Statement Source'!$C:$C,'1.1 Adjusted Income Stmt'!$AR66,'Income Statement Source'!V:V)/1000</f>
        <v>2.8</v>
      </c>
      <c r="U66" s="20">
        <f>SUMIF('Income Statement Source'!$C:$C,'1.1 Adjusted Income Stmt'!$AR66,'Income Statement Source'!W:W)/1000</f>
        <v>2.8</v>
      </c>
      <c r="V66" s="20">
        <f>SUMIF('Income Statement Source'!$C:$C,'1.1 Adjusted Income Stmt'!$AR66,'Income Statement Source'!X:X)/1000</f>
        <v>2.8</v>
      </c>
      <c r="W66" s="20">
        <f>SUMIF('Income Statement Source'!$C:$C,'1.1 Adjusted Income Stmt'!$AR66,'Income Statement Source'!Y:Y)/1000</f>
        <v>2.8</v>
      </c>
      <c r="X66" s="20">
        <f>SUMIF('Income Statement Source'!$C:$C,'1.1 Adjusted Income Stmt'!$AR66,'Income Statement Source'!Z:Z)/1000</f>
        <v>2.8</v>
      </c>
      <c r="Y66" s="20">
        <f>SUMIF('Income Statement Source'!$C:$C,'1.1 Adjusted Income Stmt'!$AR66,'Income Statement Source'!AA:AA)/1000</f>
        <v>2.8</v>
      </c>
      <c r="Z66" s="20">
        <f>SUMIF('Income Statement Source'!$C:$C,'1.1 Adjusted Income Stmt'!$AR66,'Income Statement Source'!AB:AB)/1000</f>
        <v>2.8</v>
      </c>
      <c r="AA66" s="20">
        <f>SUMIF('Income Statement Source'!$C:$C,'1.1 Adjusted Income Stmt'!$AR66,'Income Statement Source'!AC:AC)/1000</f>
        <v>2.8</v>
      </c>
      <c r="AB66" s="20">
        <f>SUMIF('Income Statement Source'!$C:$C,'1.1 Adjusted Income Stmt'!$AR66,'Income Statement Source'!AD:AD)/1000</f>
        <v>2.8</v>
      </c>
      <c r="AC66" s="20">
        <f>SUMIF('Income Statement Source'!$C:$C,'1.1 Adjusted Income Stmt'!$AR66,'Income Statement Source'!AE:AE)/1000</f>
        <v>2.8</v>
      </c>
      <c r="AD66" s="22">
        <f t="shared" si="40"/>
        <v>33.6</v>
      </c>
      <c r="AE66" s="20">
        <f>SUMIF('Income Statement Source'!$C:$C,'1.1 Adjusted Income Stmt'!$AR66,'Income Statement Source'!AG:AG)/1000</f>
        <v>2.8</v>
      </c>
      <c r="AF66" s="20">
        <f>SUMIF('Income Statement Source'!$C:$C,'1.1 Adjusted Income Stmt'!$AR66,'Income Statement Source'!AH:AH)/1000</f>
        <v>2.8</v>
      </c>
      <c r="AG66" s="20">
        <f>SUMIF('Income Statement Source'!$C:$C,'1.1 Adjusted Income Stmt'!$AR66,'Income Statement Source'!AI:AI)/1000</f>
        <v>2.8</v>
      </c>
      <c r="AH66" s="20">
        <f>SUMIF('Income Statement Source'!$C:$C,'1.1 Adjusted Income Stmt'!$AR66,'Income Statement Source'!AJ:AJ)/1000</f>
        <v>2.8</v>
      </c>
      <c r="AI66" s="20">
        <f>SUMIF('Income Statement Source'!$C:$C,'1.1 Adjusted Income Stmt'!$AR66,'Income Statement Source'!AK:AK)/1000</f>
        <v>2.8</v>
      </c>
      <c r="AJ66" s="20">
        <f>SUMIF('Income Statement Source'!$C:$C,'1.1 Adjusted Income Stmt'!$AR66,'Income Statement Source'!AL:AL)/1000</f>
        <v>2.8</v>
      </c>
      <c r="AK66" s="20">
        <f>SUMIF('Income Statement Source'!$C:$C,'1.1 Adjusted Income Stmt'!$AR66,'Income Statement Source'!AM:AM)/1000</f>
        <v>2.8</v>
      </c>
      <c r="AL66" s="20">
        <f>SUMIF('Income Statement Source'!$C:$C,'1.1 Adjusted Income Stmt'!$AR66,'Income Statement Source'!AN:AN)/1000</f>
        <v>2.8</v>
      </c>
      <c r="AM66" s="20">
        <f>SUMIF('Income Statement Source'!$C:$C,'1.1 Adjusted Income Stmt'!$AR66,'Income Statement Source'!AO:AO)/1000</f>
        <v>2.8</v>
      </c>
      <c r="AN66" s="20">
        <f>SUMIF('Income Statement Source'!$C:$C,'1.1 Adjusted Income Stmt'!$AR66,'Income Statement Source'!AP:AP)/1000</f>
        <v>2.8</v>
      </c>
      <c r="AO66" s="22">
        <f t="shared" si="41"/>
        <v>28.000000000000004</v>
      </c>
      <c r="AP66" s="22">
        <f t="shared" si="42"/>
        <v>33.6</v>
      </c>
      <c r="AR66" s="34" t="s">
        <v>37</v>
      </c>
    </row>
    <row r="67" spans="2:44" s="34" customFormat="1" hidden="1" outlineLevel="1" x14ac:dyDescent="0.2">
      <c r="B67" s="30" t="str">
        <f t="shared" si="38"/>
        <v>Utilities</v>
      </c>
      <c r="C67" s="4"/>
      <c r="D67" s="4"/>
      <c r="E67" s="20">
        <f>SUMIF('Income Statement Source'!$C:$C,'1.1 Adjusted Income Stmt'!$AR67,'Income Statement Source'!G:G)/1000</f>
        <v>0.87148999999999999</v>
      </c>
      <c r="F67" s="20">
        <f>SUMIF('Income Statement Source'!$C:$C,'1.1 Adjusted Income Stmt'!$AR67,'Income Statement Source'!H:H)/1000</f>
        <v>0.80398000000000003</v>
      </c>
      <c r="G67" s="20">
        <f>SUMIF('Income Statement Source'!$C:$C,'1.1 Adjusted Income Stmt'!$AR67,'Income Statement Source'!I:I)/1000</f>
        <v>0.89925999999999995</v>
      </c>
      <c r="H67" s="20">
        <f>SUMIF('Income Statement Source'!$C:$C,'1.1 Adjusted Income Stmt'!$AR67,'Income Statement Source'!J:J)/1000</f>
        <v>0.88227999999999995</v>
      </c>
      <c r="I67" s="20">
        <f>SUMIF('Income Statement Source'!$C:$C,'1.1 Adjusted Income Stmt'!$AR67,'Income Statement Source'!K:K)/1000</f>
        <v>0.81494000000000011</v>
      </c>
      <c r="J67" s="20">
        <f>SUMIF('Income Statement Source'!$C:$C,'1.1 Adjusted Income Stmt'!$AR67,'Income Statement Source'!L:L)/1000</f>
        <v>0.84105999999999992</v>
      </c>
      <c r="K67" s="20">
        <f>SUMIF('Income Statement Source'!$C:$C,'1.1 Adjusted Income Stmt'!$AR67,'Income Statement Source'!M:M)/1000</f>
        <v>0.87224999999999997</v>
      </c>
      <c r="L67" s="20">
        <f>SUMIF('Income Statement Source'!$C:$C,'1.1 Adjusted Income Stmt'!$AR67,'Income Statement Source'!N:N)/1000</f>
        <v>0.87017</v>
      </c>
      <c r="M67" s="20">
        <f>SUMIF('Income Statement Source'!$C:$C,'1.1 Adjusted Income Stmt'!$AR67,'Income Statement Source'!O:O)/1000</f>
        <v>0.87802000000000002</v>
      </c>
      <c r="N67" s="20">
        <f>SUMIF('Income Statement Source'!$C:$C,'1.1 Adjusted Income Stmt'!$AR67,'Income Statement Source'!P:P)/1000</f>
        <v>0.78655999999999993</v>
      </c>
      <c r="O67" s="20">
        <f>SUMIF('Income Statement Source'!$C:$C,'1.1 Adjusted Income Stmt'!$AR67,'Income Statement Source'!Q:Q)/1000</f>
        <v>0.90078000000000003</v>
      </c>
      <c r="P67" s="20">
        <f>SUMIF('Income Statement Source'!$C:$C,'1.1 Adjusted Income Stmt'!$AR67,'Income Statement Source'!R:R)/1000</f>
        <v>0.88361999999999996</v>
      </c>
      <c r="Q67" s="22">
        <f t="shared" si="39"/>
        <v>10.304409999999999</v>
      </c>
      <c r="R67" s="20">
        <f>SUMIF('Income Statement Source'!$C:$C,'1.1 Adjusted Income Stmt'!$AR67,'Income Statement Source'!T:T)/1000</f>
        <v>0.90994000000000008</v>
      </c>
      <c r="S67" s="20">
        <f>SUMIF('Income Statement Source'!$C:$C,'1.1 Adjusted Income Stmt'!$AR67,'Income Statement Source'!U:U)/1000</f>
        <v>0.79657</v>
      </c>
      <c r="T67" s="20">
        <f>SUMIF('Income Statement Source'!$C:$C,'1.1 Adjusted Income Stmt'!$AR67,'Income Statement Source'!V:V)/1000</f>
        <v>0.82752999999999999</v>
      </c>
      <c r="U67" s="20">
        <f>SUMIF('Income Statement Source'!$C:$C,'1.1 Adjusted Income Stmt'!$AR67,'Income Statement Source'!W:W)/1000</f>
        <v>0.86438000000000004</v>
      </c>
      <c r="V67" s="20">
        <f>SUMIF('Income Statement Source'!$C:$C,'1.1 Adjusted Income Stmt'!$AR67,'Income Statement Source'!X:X)/1000</f>
        <v>0.87612999999999996</v>
      </c>
      <c r="W67" s="20">
        <f>SUMIF('Income Statement Source'!$C:$C,'1.1 Adjusted Income Stmt'!$AR67,'Income Statement Source'!Y:Y)/1000</f>
        <v>0.86978</v>
      </c>
      <c r="X67" s="20">
        <f>SUMIF('Income Statement Source'!$C:$C,'1.1 Adjusted Income Stmt'!$AR67,'Income Statement Source'!Z:Z)/1000</f>
        <v>0.80796000000000001</v>
      </c>
      <c r="Y67" s="20">
        <f>SUMIF('Income Statement Source'!$C:$C,'1.1 Adjusted Income Stmt'!$AR67,'Income Statement Source'!AA:AA)/1000</f>
        <v>0.81738</v>
      </c>
      <c r="Z67" s="20">
        <f>SUMIF('Income Statement Source'!$C:$C,'1.1 Adjusted Income Stmt'!$AR67,'Income Statement Source'!AB:AB)/1000</f>
        <v>0.90971999999999997</v>
      </c>
      <c r="AA67" s="20">
        <f>SUMIF('Income Statement Source'!$C:$C,'1.1 Adjusted Income Stmt'!$AR67,'Income Statement Source'!AC:AC)/1000</f>
        <v>0.91136000000000006</v>
      </c>
      <c r="AB67" s="20">
        <f>SUMIF('Income Statement Source'!$C:$C,'1.1 Adjusted Income Stmt'!$AR67,'Income Statement Source'!AD:AD)/1000</f>
        <v>0.86660000000000004</v>
      </c>
      <c r="AC67" s="20">
        <f>SUMIF('Income Statement Source'!$C:$C,'1.1 Adjusted Income Stmt'!$AR67,'Income Statement Source'!AE:AE)/1000</f>
        <v>0.8763200000000001</v>
      </c>
      <c r="AD67" s="22">
        <f t="shared" si="40"/>
        <v>10.33367</v>
      </c>
      <c r="AE67" s="20">
        <f>SUMIF('Income Statement Source'!$C:$C,'1.1 Adjusted Income Stmt'!$AR67,'Income Statement Source'!AG:AG)/1000</f>
        <v>0.87182000000000004</v>
      </c>
      <c r="AF67" s="20">
        <f>SUMIF('Income Statement Source'!$C:$C,'1.1 Adjusted Income Stmt'!$AR67,'Income Statement Source'!AH:AH)/1000</f>
        <v>0.82802999999999993</v>
      </c>
      <c r="AG67" s="20">
        <f>SUMIF('Income Statement Source'!$C:$C,'1.1 Adjusted Income Stmt'!$AR67,'Income Statement Source'!AI:AI)/1000</f>
        <v>0.80057</v>
      </c>
      <c r="AH67" s="20">
        <f>SUMIF('Income Statement Source'!$C:$C,'1.1 Adjusted Income Stmt'!$AR67,'Income Statement Source'!AJ:AJ)/1000</f>
        <v>0.86682000000000003</v>
      </c>
      <c r="AI67" s="20">
        <f>SUMIF('Income Statement Source'!$C:$C,'1.1 Adjusted Income Stmt'!$AR67,'Income Statement Source'!AK:AK)/1000</f>
        <v>0.84344000000000008</v>
      </c>
      <c r="AJ67" s="20">
        <f>SUMIF('Income Statement Source'!$C:$C,'1.1 Adjusted Income Stmt'!$AR67,'Income Statement Source'!AL:AL)/1000</f>
        <v>0.89382000000000006</v>
      </c>
      <c r="AK67" s="20">
        <f>SUMIF('Income Statement Source'!$C:$C,'1.1 Adjusted Income Stmt'!$AR67,'Income Statement Source'!AM:AM)/1000</f>
        <v>0.78783999999999998</v>
      </c>
      <c r="AL67" s="20">
        <f>SUMIF('Income Statement Source'!$C:$C,'1.1 Adjusted Income Stmt'!$AR67,'Income Statement Source'!AN:AN)/1000</f>
        <v>0.79258000000000006</v>
      </c>
      <c r="AM67" s="20">
        <f>SUMIF('Income Statement Source'!$C:$C,'1.1 Adjusted Income Stmt'!$AR67,'Income Statement Source'!AO:AO)/1000</f>
        <v>0.7924500000000001</v>
      </c>
      <c r="AN67" s="20">
        <f>SUMIF('Income Statement Source'!$C:$C,'1.1 Adjusted Income Stmt'!$AR67,'Income Statement Source'!AP:AP)/1000</f>
        <v>0.83150000000000002</v>
      </c>
      <c r="AO67" s="22">
        <f t="shared" si="41"/>
        <v>8.3088700000000006</v>
      </c>
      <c r="AP67" s="22">
        <f t="shared" si="42"/>
        <v>10.05179</v>
      </c>
      <c r="AR67" s="34" t="s">
        <v>38</v>
      </c>
    </row>
    <row r="68" spans="2:44" s="34" customFormat="1" hidden="1" outlineLevel="1" x14ac:dyDescent="0.2">
      <c r="B68" s="30" t="str">
        <f t="shared" si="38"/>
        <v>Telephone &amp; Internet</v>
      </c>
      <c r="C68" s="4"/>
      <c r="D68" s="4"/>
      <c r="E68" s="20">
        <f>SUMIF('Income Statement Source'!$C:$C,'1.1 Adjusted Income Stmt'!$AR68,'Income Statement Source'!G:G)/1000</f>
        <v>0.67430999999999996</v>
      </c>
      <c r="F68" s="20">
        <f>SUMIF('Income Statement Source'!$C:$C,'1.1 Adjusted Income Stmt'!$AR68,'Income Statement Source'!H:H)/1000</f>
        <v>0.66877999999999993</v>
      </c>
      <c r="G68" s="20">
        <f>SUMIF('Income Statement Source'!$C:$C,'1.1 Adjusted Income Stmt'!$AR68,'Income Statement Source'!I:I)/1000</f>
        <v>0.70047999999999999</v>
      </c>
      <c r="H68" s="20">
        <f>SUMIF('Income Statement Source'!$C:$C,'1.1 Adjusted Income Stmt'!$AR68,'Income Statement Source'!J:J)/1000</f>
        <v>0.68497000000000008</v>
      </c>
      <c r="I68" s="20">
        <f>SUMIF('Income Statement Source'!$C:$C,'1.1 Adjusted Income Stmt'!$AR68,'Income Statement Source'!K:K)/1000</f>
        <v>0.67498999999999998</v>
      </c>
      <c r="J68" s="20">
        <f>SUMIF('Income Statement Source'!$C:$C,'1.1 Adjusted Income Stmt'!$AR68,'Income Statement Source'!L:L)/1000</f>
        <v>0.68780999999999992</v>
      </c>
      <c r="K68" s="20">
        <f>SUMIF('Income Statement Source'!$C:$C,'1.1 Adjusted Income Stmt'!$AR68,'Income Statement Source'!M:M)/1000</f>
        <v>0.68167</v>
      </c>
      <c r="L68" s="20">
        <f>SUMIF('Income Statement Source'!$C:$C,'1.1 Adjusted Income Stmt'!$AR68,'Income Statement Source'!N:N)/1000</f>
        <v>0.68054999999999999</v>
      </c>
      <c r="M68" s="20">
        <f>SUMIF('Income Statement Source'!$C:$C,'1.1 Adjusted Income Stmt'!$AR68,'Income Statement Source'!O:O)/1000</f>
        <v>0.67645</v>
      </c>
      <c r="N68" s="20">
        <f>SUMIF('Income Statement Source'!$C:$C,'1.1 Adjusted Income Stmt'!$AR68,'Income Statement Source'!P:P)/1000</f>
        <v>0.67183999999999999</v>
      </c>
      <c r="O68" s="20">
        <f>SUMIF('Income Statement Source'!$C:$C,'1.1 Adjusted Income Stmt'!$AR68,'Income Statement Source'!Q:Q)/1000</f>
        <v>0.65271000000000001</v>
      </c>
      <c r="P68" s="20">
        <f>SUMIF('Income Statement Source'!$C:$C,'1.1 Adjusted Income Stmt'!$AR68,'Income Statement Source'!R:R)/1000</f>
        <v>0.69752999999999998</v>
      </c>
      <c r="Q68" s="22">
        <f t="shared" si="39"/>
        <v>8.1520899999999994</v>
      </c>
      <c r="R68" s="20">
        <f>SUMIF('Income Statement Source'!$C:$C,'1.1 Adjusted Income Stmt'!$AR68,'Income Statement Source'!T:T)/1000</f>
        <v>0.66247</v>
      </c>
      <c r="S68" s="20">
        <f>SUMIF('Income Statement Source'!$C:$C,'1.1 Adjusted Income Stmt'!$AR68,'Income Statement Source'!U:U)/1000</f>
        <v>0.67813000000000001</v>
      </c>
      <c r="T68" s="20">
        <f>SUMIF('Income Statement Source'!$C:$C,'1.1 Adjusted Income Stmt'!$AR68,'Income Statement Source'!V:V)/1000</f>
        <v>0.64824999999999999</v>
      </c>
      <c r="U68" s="20">
        <f>SUMIF('Income Statement Source'!$C:$C,'1.1 Adjusted Income Stmt'!$AR68,'Income Statement Source'!W:W)/1000</f>
        <v>0.70486000000000004</v>
      </c>
      <c r="V68" s="20">
        <f>SUMIF('Income Statement Source'!$C:$C,'1.1 Adjusted Income Stmt'!$AR68,'Income Statement Source'!X:X)/1000</f>
        <v>0.67486999999999997</v>
      </c>
      <c r="W68" s="20">
        <f>SUMIF('Income Statement Source'!$C:$C,'1.1 Adjusted Income Stmt'!$AR68,'Income Statement Source'!Y:Y)/1000</f>
        <v>0.65745000000000009</v>
      </c>
      <c r="X68" s="20">
        <f>SUMIF('Income Statement Source'!$C:$C,'1.1 Adjusted Income Stmt'!$AR68,'Income Statement Source'!Z:Z)/1000</f>
        <v>0.70317999999999992</v>
      </c>
      <c r="Y68" s="20">
        <f>SUMIF('Income Statement Source'!$C:$C,'1.1 Adjusted Income Stmt'!$AR68,'Income Statement Source'!AA:AA)/1000</f>
        <v>0.68164999999999998</v>
      </c>
      <c r="Z68" s="20">
        <f>SUMIF('Income Statement Source'!$C:$C,'1.1 Adjusted Income Stmt'!$AR68,'Income Statement Source'!AB:AB)/1000</f>
        <v>0.65045000000000008</v>
      </c>
      <c r="AA68" s="20">
        <f>SUMIF('Income Statement Source'!$C:$C,'1.1 Adjusted Income Stmt'!$AR68,'Income Statement Source'!AC:AC)/1000</f>
        <v>0.67664000000000002</v>
      </c>
      <c r="AB68" s="20">
        <f>SUMIF('Income Statement Source'!$C:$C,'1.1 Adjusted Income Stmt'!$AR68,'Income Statement Source'!AD:AD)/1000</f>
        <v>0.69273000000000007</v>
      </c>
      <c r="AC68" s="20">
        <f>SUMIF('Income Statement Source'!$C:$C,'1.1 Adjusted Income Stmt'!$AR68,'Income Statement Source'!AE:AE)/1000</f>
        <v>0.65095000000000003</v>
      </c>
      <c r="AD68" s="22">
        <f t="shared" si="40"/>
        <v>8.0816300000000005</v>
      </c>
      <c r="AE68" s="20">
        <f>SUMIF('Income Statement Source'!$C:$C,'1.1 Adjusted Income Stmt'!$AR68,'Income Statement Source'!AG:AG)/1000</f>
        <v>0.66488999999999998</v>
      </c>
      <c r="AF68" s="20">
        <f>SUMIF('Income Statement Source'!$C:$C,'1.1 Adjusted Income Stmt'!$AR68,'Income Statement Source'!AH:AH)/1000</f>
        <v>0.68980999999999992</v>
      </c>
      <c r="AG68" s="20">
        <f>SUMIF('Income Statement Source'!$C:$C,'1.1 Adjusted Income Stmt'!$AR68,'Income Statement Source'!AI:AI)/1000</f>
        <v>0.66300000000000003</v>
      </c>
      <c r="AH68" s="20">
        <f>SUMIF('Income Statement Source'!$C:$C,'1.1 Adjusted Income Stmt'!$AR68,'Income Statement Source'!AJ:AJ)/1000</f>
        <v>0.68425000000000002</v>
      </c>
      <c r="AI68" s="20">
        <f>SUMIF('Income Statement Source'!$C:$C,'1.1 Adjusted Income Stmt'!$AR68,'Income Statement Source'!AK:AK)/1000</f>
        <v>0.66910999999999998</v>
      </c>
      <c r="AJ68" s="20">
        <f>SUMIF('Income Statement Source'!$C:$C,'1.1 Adjusted Income Stmt'!$AR68,'Income Statement Source'!AL:AL)/1000</f>
        <v>0.68476999999999999</v>
      </c>
      <c r="AK68" s="20">
        <f>SUMIF('Income Statement Source'!$C:$C,'1.1 Adjusted Income Stmt'!$AR68,'Income Statement Source'!AM:AM)/1000</f>
        <v>0.68303999999999998</v>
      </c>
      <c r="AL68" s="20">
        <f>SUMIF('Income Statement Source'!$C:$C,'1.1 Adjusted Income Stmt'!$AR68,'Income Statement Source'!AN:AN)/1000</f>
        <v>0.65828999999999993</v>
      </c>
      <c r="AM68" s="20">
        <f>SUMIF('Income Statement Source'!$C:$C,'1.1 Adjusted Income Stmt'!$AR68,'Income Statement Source'!AO:AO)/1000</f>
        <v>0.71002999999999994</v>
      </c>
      <c r="AN68" s="20">
        <f>SUMIF('Income Statement Source'!$C:$C,'1.1 Adjusted Income Stmt'!$AR68,'Income Statement Source'!AP:AP)/1000</f>
        <v>0.70608000000000004</v>
      </c>
      <c r="AO68" s="22">
        <f t="shared" si="41"/>
        <v>6.8132699999999993</v>
      </c>
      <c r="AP68" s="22">
        <f t="shared" si="42"/>
        <v>8.1569500000000001</v>
      </c>
      <c r="AR68" s="34" t="s">
        <v>39</v>
      </c>
    </row>
    <row r="69" spans="2:44" s="34" customFormat="1" hidden="1" outlineLevel="1" x14ac:dyDescent="0.2">
      <c r="B69" s="30" t="str">
        <f t="shared" si="38"/>
        <v>Office Supplies</v>
      </c>
      <c r="C69" s="4"/>
      <c r="D69" s="4"/>
      <c r="E69" s="31">
        <f>SUMIF('Income Statement Source'!$C:$C,'1.1 Adjusted Income Stmt'!$AR69,'Income Statement Source'!G:G)/1000</f>
        <v>0.45143</v>
      </c>
      <c r="F69" s="31">
        <f>SUMIF('Income Statement Source'!$C:$C,'1.1 Adjusted Income Stmt'!$AR69,'Income Statement Source'!H:H)/1000</f>
        <v>0.46718999999999999</v>
      </c>
      <c r="G69" s="31">
        <f>SUMIF('Income Statement Source'!$C:$C,'1.1 Adjusted Income Stmt'!$AR69,'Income Statement Source'!I:I)/1000</f>
        <v>0.40597000000000005</v>
      </c>
      <c r="H69" s="31">
        <f>SUMIF('Income Statement Source'!$C:$C,'1.1 Adjusted Income Stmt'!$AR69,'Income Statement Source'!J:J)/1000</f>
        <v>0.40749000000000002</v>
      </c>
      <c r="I69" s="31">
        <f>SUMIF('Income Statement Source'!$C:$C,'1.1 Adjusted Income Stmt'!$AR69,'Income Statement Source'!K:K)/1000</f>
        <v>0.41949999999999998</v>
      </c>
      <c r="J69" s="31">
        <f>SUMIF('Income Statement Source'!$C:$C,'1.1 Adjusted Income Stmt'!$AR69,'Income Statement Source'!L:L)/1000</f>
        <v>0.37892000000000003</v>
      </c>
      <c r="K69" s="31">
        <f>SUMIF('Income Statement Source'!$C:$C,'1.1 Adjusted Income Stmt'!$AR69,'Income Statement Source'!M:M)/1000</f>
        <v>0.40161000000000002</v>
      </c>
      <c r="L69" s="31">
        <f>SUMIF('Income Statement Source'!$C:$C,'1.1 Adjusted Income Stmt'!$AR69,'Income Statement Source'!N:N)/1000</f>
        <v>0.39388000000000001</v>
      </c>
      <c r="M69" s="31">
        <f>SUMIF('Income Statement Source'!$C:$C,'1.1 Adjusted Income Stmt'!$AR69,'Income Statement Source'!O:O)/1000</f>
        <v>0.45205000000000001</v>
      </c>
      <c r="N69" s="31">
        <f>SUMIF('Income Statement Source'!$C:$C,'1.1 Adjusted Income Stmt'!$AR69,'Income Statement Source'!P:P)/1000</f>
        <v>0.46912999999999999</v>
      </c>
      <c r="O69" s="31">
        <f>SUMIF('Income Statement Source'!$C:$C,'1.1 Adjusted Income Stmt'!$AR69,'Income Statement Source'!Q:Q)/1000</f>
        <v>0.46351999999999999</v>
      </c>
      <c r="P69" s="31">
        <f>SUMIF('Income Statement Source'!$C:$C,'1.1 Adjusted Income Stmt'!$AR69,'Income Statement Source'!R:R)/1000</f>
        <v>0.41954000000000002</v>
      </c>
      <c r="Q69" s="32">
        <f t="shared" si="39"/>
        <v>5.1302299999999992</v>
      </c>
      <c r="R69" s="31">
        <f>SUMIF('Income Statement Source'!$C:$C,'1.1 Adjusted Income Stmt'!$AR69,'Income Statement Source'!T:T)/1000</f>
        <v>0.37001999999999996</v>
      </c>
      <c r="S69" s="31">
        <f>SUMIF('Income Statement Source'!$C:$C,'1.1 Adjusted Income Stmt'!$AR69,'Income Statement Source'!U:U)/1000</f>
        <v>0.44004000000000004</v>
      </c>
      <c r="T69" s="31">
        <f>SUMIF('Income Statement Source'!$C:$C,'1.1 Adjusted Income Stmt'!$AR69,'Income Statement Source'!V:V)/1000</f>
        <v>0.39277000000000001</v>
      </c>
      <c r="U69" s="31">
        <f>SUMIF('Income Statement Source'!$C:$C,'1.1 Adjusted Income Stmt'!$AR69,'Income Statement Source'!W:W)/1000</f>
        <v>0.44302999999999998</v>
      </c>
      <c r="V69" s="31">
        <f>SUMIF('Income Statement Source'!$C:$C,'1.1 Adjusted Income Stmt'!$AR69,'Income Statement Source'!X:X)/1000</f>
        <v>0.40422000000000002</v>
      </c>
      <c r="W69" s="31">
        <f>SUMIF('Income Statement Source'!$C:$C,'1.1 Adjusted Income Stmt'!$AR69,'Income Statement Source'!Y:Y)/1000</f>
        <v>0.46048</v>
      </c>
      <c r="X69" s="31">
        <f>SUMIF('Income Statement Source'!$C:$C,'1.1 Adjusted Income Stmt'!$AR69,'Income Statement Source'!Z:Z)/1000</f>
        <v>0.41102999999999995</v>
      </c>
      <c r="Y69" s="31">
        <f>SUMIF('Income Statement Source'!$C:$C,'1.1 Adjusted Income Stmt'!$AR69,'Income Statement Source'!AA:AA)/1000</f>
        <v>0.43432999999999999</v>
      </c>
      <c r="Z69" s="31">
        <f>SUMIF('Income Statement Source'!$C:$C,'1.1 Adjusted Income Stmt'!$AR69,'Income Statement Source'!AB:AB)/1000</f>
        <v>0.42847000000000002</v>
      </c>
      <c r="AA69" s="31">
        <f>SUMIF('Income Statement Source'!$C:$C,'1.1 Adjusted Income Stmt'!$AR69,'Income Statement Source'!AC:AC)/1000</f>
        <v>0.44161</v>
      </c>
      <c r="AB69" s="31">
        <f>SUMIF('Income Statement Source'!$C:$C,'1.1 Adjusted Income Stmt'!$AR69,'Income Statement Source'!AD:AD)/1000</f>
        <v>0.40844000000000003</v>
      </c>
      <c r="AC69" s="31">
        <f>SUMIF('Income Statement Source'!$C:$C,'1.1 Adjusted Income Stmt'!$AR69,'Income Statement Source'!AE:AE)/1000</f>
        <v>0.39954000000000001</v>
      </c>
      <c r="AD69" s="32">
        <f t="shared" si="40"/>
        <v>5.0339799999999997</v>
      </c>
      <c r="AE69" s="31">
        <f>SUMIF('Income Statement Source'!$C:$C,'1.1 Adjusted Income Stmt'!$AR69,'Income Statement Source'!AG:AG)/1000</f>
        <v>0.37792000000000003</v>
      </c>
      <c r="AF69" s="31">
        <f>SUMIF('Income Statement Source'!$C:$C,'1.1 Adjusted Income Stmt'!$AR69,'Income Statement Source'!AH:AH)/1000</f>
        <v>0.38677999999999996</v>
      </c>
      <c r="AG69" s="31">
        <f>SUMIF('Income Statement Source'!$C:$C,'1.1 Adjusted Income Stmt'!$AR69,'Income Statement Source'!AI:AI)/1000</f>
        <v>0.40543000000000001</v>
      </c>
      <c r="AH69" s="31">
        <f>SUMIF('Income Statement Source'!$C:$C,'1.1 Adjusted Income Stmt'!$AR69,'Income Statement Source'!AJ:AJ)/1000</f>
        <v>0.39468999999999999</v>
      </c>
      <c r="AI69" s="31">
        <f>SUMIF('Income Statement Source'!$C:$C,'1.1 Adjusted Income Stmt'!$AR69,'Income Statement Source'!AK:AK)/1000</f>
        <v>0.39345999999999998</v>
      </c>
      <c r="AJ69" s="31">
        <f>SUMIF('Income Statement Source'!$C:$C,'1.1 Adjusted Income Stmt'!$AR69,'Income Statement Source'!AL:AL)/1000</f>
        <v>0.45341999999999999</v>
      </c>
      <c r="AK69" s="31">
        <f>SUMIF('Income Statement Source'!$C:$C,'1.1 Adjusted Income Stmt'!$AR69,'Income Statement Source'!AM:AM)/1000</f>
        <v>0.41549999999999998</v>
      </c>
      <c r="AL69" s="31">
        <f>SUMIF('Income Statement Source'!$C:$C,'1.1 Adjusted Income Stmt'!$AR69,'Income Statement Source'!AN:AN)/1000</f>
        <v>0.40694999999999998</v>
      </c>
      <c r="AM69" s="31">
        <f>SUMIF('Income Statement Source'!$C:$C,'1.1 Adjusted Income Stmt'!$AR69,'Income Statement Source'!AO:AO)/1000</f>
        <v>0.42277999999999999</v>
      </c>
      <c r="AN69" s="31">
        <f>SUMIF('Income Statement Source'!$C:$C,'1.1 Adjusted Income Stmt'!$AR69,'Income Statement Source'!AP:AP)/1000</f>
        <v>0.45256999999999997</v>
      </c>
      <c r="AO69" s="32">
        <f t="shared" si="41"/>
        <v>4.1094999999999997</v>
      </c>
      <c r="AP69" s="32">
        <f t="shared" si="42"/>
        <v>4.9174799999999994</v>
      </c>
      <c r="AR69" s="34" t="s">
        <v>44</v>
      </c>
    </row>
    <row r="70" spans="2:44" collapsed="1" x14ac:dyDescent="0.2">
      <c r="B70" s="27" t="str">
        <f>+B64</f>
        <v>Facilities</v>
      </c>
      <c r="C70" s="10"/>
      <c r="D70" s="10"/>
      <c r="E70" s="19">
        <f>SUM(E65:E69)</f>
        <v>7.9972300000000001</v>
      </c>
      <c r="F70" s="19">
        <f t="shared" ref="F70:AP70" si="43">SUM(F65:F69)</f>
        <v>7.9399499999999996</v>
      </c>
      <c r="G70" s="19">
        <f t="shared" si="43"/>
        <v>8.0057100000000005</v>
      </c>
      <c r="H70" s="19">
        <f t="shared" si="43"/>
        <v>7.9747399999999997</v>
      </c>
      <c r="I70" s="19">
        <f t="shared" si="43"/>
        <v>7.9094300000000004</v>
      </c>
      <c r="J70" s="19">
        <f t="shared" si="43"/>
        <v>7.9077899999999994</v>
      </c>
      <c r="K70" s="19">
        <f t="shared" si="43"/>
        <v>7.9555299999999995</v>
      </c>
      <c r="L70" s="19">
        <f t="shared" si="43"/>
        <v>7.9446000000000003</v>
      </c>
      <c r="M70" s="19">
        <f t="shared" si="43"/>
        <v>8.0065200000000001</v>
      </c>
      <c r="N70" s="19">
        <f t="shared" si="43"/>
        <v>7.9275299999999991</v>
      </c>
      <c r="O70" s="19">
        <f t="shared" si="43"/>
        <v>8.0170100000000009</v>
      </c>
      <c r="P70" s="19">
        <f t="shared" si="43"/>
        <v>8.0006899999999987</v>
      </c>
      <c r="Q70" s="21">
        <f t="shared" si="43"/>
        <v>95.586730000000003</v>
      </c>
      <c r="R70" s="19">
        <f t="shared" si="43"/>
        <v>7.9424299999999999</v>
      </c>
      <c r="S70" s="19">
        <f t="shared" si="43"/>
        <v>7.9147400000000001</v>
      </c>
      <c r="T70" s="19">
        <f t="shared" si="43"/>
        <v>7.8685499999999999</v>
      </c>
      <c r="U70" s="19">
        <f t="shared" si="43"/>
        <v>8.0122699999999991</v>
      </c>
      <c r="V70" s="19">
        <f t="shared" si="43"/>
        <v>7.9552200000000006</v>
      </c>
      <c r="W70" s="19">
        <f t="shared" si="43"/>
        <v>7.9877099999999999</v>
      </c>
      <c r="X70" s="19">
        <f t="shared" si="43"/>
        <v>7.9221699999999995</v>
      </c>
      <c r="Y70" s="19">
        <f t="shared" si="43"/>
        <v>7.9333600000000004</v>
      </c>
      <c r="Z70" s="19">
        <f t="shared" si="43"/>
        <v>7.9886400000000002</v>
      </c>
      <c r="AA70" s="19">
        <f t="shared" si="43"/>
        <v>8.0296099999999999</v>
      </c>
      <c r="AB70" s="19">
        <f t="shared" si="43"/>
        <v>7.9677699999999998</v>
      </c>
      <c r="AC70" s="19">
        <f t="shared" si="43"/>
        <v>7.9268099999999997</v>
      </c>
      <c r="AD70" s="21">
        <f t="shared" si="43"/>
        <v>95.449280000000002</v>
      </c>
      <c r="AE70" s="19">
        <f t="shared" si="43"/>
        <v>7.9146299999999989</v>
      </c>
      <c r="AF70" s="19">
        <f t="shared" si="43"/>
        <v>7.9046199999999995</v>
      </c>
      <c r="AG70" s="19">
        <f t="shared" si="43"/>
        <v>7.8690000000000007</v>
      </c>
      <c r="AH70" s="19">
        <f t="shared" si="43"/>
        <v>7.945759999999999</v>
      </c>
      <c r="AI70" s="19">
        <f t="shared" si="43"/>
        <v>7.9060100000000002</v>
      </c>
      <c r="AJ70" s="19">
        <f t="shared" si="43"/>
        <v>8.0320099999999996</v>
      </c>
      <c r="AK70" s="19">
        <f t="shared" si="43"/>
        <v>7.8863799999999999</v>
      </c>
      <c r="AL70" s="19">
        <f t="shared" si="43"/>
        <v>7.8578200000000002</v>
      </c>
      <c r="AM70" s="19">
        <f t="shared" si="43"/>
        <v>7.9252600000000006</v>
      </c>
      <c r="AN70" s="19">
        <f t="shared" si="43"/>
        <v>7.9901499999999999</v>
      </c>
      <c r="AO70" s="21">
        <f t="shared" si="43"/>
        <v>79.231639999999999</v>
      </c>
      <c r="AP70" s="21">
        <f t="shared" si="43"/>
        <v>95.126219999999989</v>
      </c>
    </row>
    <row r="71" spans="2:44" x14ac:dyDescent="0.2">
      <c r="B71" s="28"/>
      <c r="C71" s="10"/>
      <c r="D71" s="10"/>
      <c r="E71" s="45">
        <f>IFERROR(E70/E$19,0)</f>
        <v>2.669844700818183E-2</v>
      </c>
      <c r="F71" s="45">
        <f t="shared" ref="F71:AP71" si="44">IFERROR(F70/F$19,0)</f>
        <v>3.2299382126896294E-2</v>
      </c>
      <c r="G71" s="45">
        <f t="shared" si="44"/>
        <v>2.7015229834338746E-2</v>
      </c>
      <c r="H71" s="45">
        <f t="shared" si="44"/>
        <v>4.8599918406233344E-2</v>
      </c>
      <c r="I71" s="45">
        <f t="shared" si="44"/>
        <v>2.8558492837949784E-2</v>
      </c>
      <c r="J71" s="45">
        <f t="shared" si="44"/>
        <v>1.8515352057556909E-2</v>
      </c>
      <c r="K71" s="45">
        <f t="shared" si="44"/>
        <v>4.180328880600831E-2</v>
      </c>
      <c r="L71" s="45">
        <f t="shared" si="44"/>
        <v>3.2045584479098596E-2</v>
      </c>
      <c r="M71" s="45">
        <f t="shared" si="44"/>
        <v>1.6250550062774871E-2</v>
      </c>
      <c r="N71" s="45">
        <f t="shared" si="44"/>
        <v>4.1176620863070772E-2</v>
      </c>
      <c r="O71" s="45">
        <f t="shared" si="44"/>
        <v>3.2879917488747031E-2</v>
      </c>
      <c r="P71" s="45">
        <f t="shared" si="44"/>
        <v>1.9612211444416619E-2</v>
      </c>
      <c r="Q71" s="46">
        <f t="shared" si="44"/>
        <v>2.7427611045497954E-2</v>
      </c>
      <c r="R71" s="45">
        <f t="shared" si="44"/>
        <v>3.056241918356261E-2</v>
      </c>
      <c r="S71" s="45">
        <f t="shared" si="44"/>
        <v>2.6720622975317077E-2</v>
      </c>
      <c r="T71" s="45">
        <f t="shared" si="44"/>
        <v>1.6803354262501593E-2</v>
      </c>
      <c r="U71" s="45">
        <f t="shared" si="44"/>
        <v>3.5054537268048296E-2</v>
      </c>
      <c r="V71" s="45">
        <f t="shared" si="44"/>
        <v>2.0765336015999662E-2</v>
      </c>
      <c r="W71" s="45">
        <f t="shared" si="44"/>
        <v>1.5278617117537056E-2</v>
      </c>
      <c r="X71" s="45">
        <f t="shared" si="44"/>
        <v>1.8009877200220768E-2</v>
      </c>
      <c r="Y71" s="45">
        <f t="shared" si="44"/>
        <v>2.5151955118881096E-2</v>
      </c>
      <c r="Z71" s="45">
        <f t="shared" si="44"/>
        <v>1.631625731840388E-2</v>
      </c>
      <c r="AA71" s="45">
        <f t="shared" si="44"/>
        <v>2.3066368961308991E-2</v>
      </c>
      <c r="AB71" s="45">
        <f t="shared" si="44"/>
        <v>1.8817160455919909E-2</v>
      </c>
      <c r="AC71" s="45">
        <f t="shared" si="44"/>
        <v>2.0568161213121255E-2</v>
      </c>
      <c r="AD71" s="46">
        <f t="shared" si="44"/>
        <v>2.0928818226362649E-2</v>
      </c>
      <c r="AE71" s="45">
        <f t="shared" si="44"/>
        <v>3.5069912912191116E-2</v>
      </c>
      <c r="AF71" s="45">
        <f t="shared" si="44"/>
        <v>3.4967869489357678E-2</v>
      </c>
      <c r="AG71" s="45">
        <f t="shared" si="44"/>
        <v>1.9288406141783669E-2</v>
      </c>
      <c r="AH71" s="45">
        <f t="shared" si="44"/>
        <v>2.0097039339067209E-2</v>
      </c>
      <c r="AI71" s="45">
        <f t="shared" si="44"/>
        <v>3.0067025801930321E-2</v>
      </c>
      <c r="AJ71" s="45">
        <f t="shared" si="44"/>
        <v>1.9458551840394772E-2</v>
      </c>
      <c r="AK71" s="45">
        <f t="shared" si="44"/>
        <v>2.402306206268396E-2</v>
      </c>
      <c r="AL71" s="45">
        <f t="shared" si="44"/>
        <v>2.1091109615952588E-2</v>
      </c>
      <c r="AM71" s="45">
        <f t="shared" si="44"/>
        <v>2.405057313232431E-2</v>
      </c>
      <c r="AN71" s="45">
        <f t="shared" si="44"/>
        <v>2.0390162307922427E-2</v>
      </c>
      <c r="AO71" s="46">
        <f t="shared" si="44"/>
        <v>2.3629871832252108E-2</v>
      </c>
      <c r="AP71" s="46">
        <f t="shared" si="44"/>
        <v>2.285670379785262E-2</v>
      </c>
    </row>
    <row r="72" spans="2:44" s="34" customFormat="1" hidden="1" outlineLevel="1" x14ac:dyDescent="0.2">
      <c r="B72" s="33" t="s">
        <v>98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2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2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2"/>
      <c r="AP72" s="52"/>
    </row>
    <row r="73" spans="2:44" s="34" customFormat="1" hidden="1" outlineLevel="1" x14ac:dyDescent="0.2">
      <c r="B73" s="30" t="str">
        <f t="shared" ref="B73:B76" si="45">+AR73</f>
        <v>Vehicle Lease Payments</v>
      </c>
      <c r="C73" s="4"/>
      <c r="D73" s="4"/>
      <c r="E73" s="20">
        <f>SUMIF('Income Statement Source'!$C:$C,'1.1 Adjusted Income Stmt'!$AR73,'Income Statement Source'!G:G)/1000</f>
        <v>2.39045</v>
      </c>
      <c r="F73" s="20">
        <f>SUMIF('Income Statement Source'!$C:$C,'1.1 Adjusted Income Stmt'!$AR73,'Income Statement Source'!H:H)/1000</f>
        <v>2.3797800000000002</v>
      </c>
      <c r="G73" s="20">
        <f>SUMIF('Income Statement Source'!$C:$C,'1.1 Adjusted Income Stmt'!$AR73,'Income Statement Source'!I:I)/1000</f>
        <v>2.3882600000000003</v>
      </c>
      <c r="H73" s="20">
        <f>SUMIF('Income Statement Source'!$C:$C,'1.1 Adjusted Income Stmt'!$AR73,'Income Statement Source'!J:J)/1000</f>
        <v>2.4222700000000001</v>
      </c>
      <c r="I73" s="20">
        <f>SUMIF('Income Statement Source'!$C:$C,'1.1 Adjusted Income Stmt'!$AR73,'Income Statement Source'!K:K)/1000</f>
        <v>2.4116999999999997</v>
      </c>
      <c r="J73" s="20">
        <f>SUMIF('Income Statement Source'!$C:$C,'1.1 Adjusted Income Stmt'!$AR73,'Income Statement Source'!L:L)/1000</f>
        <v>2.4111199999999999</v>
      </c>
      <c r="K73" s="20">
        <f>SUMIF('Income Statement Source'!$C:$C,'1.1 Adjusted Income Stmt'!$AR73,'Income Statement Source'!M:M)/1000</f>
        <v>2.3895599999999999</v>
      </c>
      <c r="L73" s="20">
        <f>SUMIF('Income Statement Source'!$C:$C,'1.1 Adjusted Income Stmt'!$AR73,'Income Statement Source'!N:N)/1000</f>
        <v>2.3956</v>
      </c>
      <c r="M73" s="20">
        <f>SUMIF('Income Statement Source'!$C:$C,'1.1 Adjusted Income Stmt'!$AR73,'Income Statement Source'!O:O)/1000</f>
        <v>2.39981</v>
      </c>
      <c r="N73" s="20">
        <f>SUMIF('Income Statement Source'!$C:$C,'1.1 Adjusted Income Stmt'!$AR73,'Income Statement Source'!P:P)/1000</f>
        <v>2.3913500000000001</v>
      </c>
      <c r="O73" s="20">
        <f>SUMIF('Income Statement Source'!$C:$C,'1.1 Adjusted Income Stmt'!$AR73,'Income Statement Source'!Q:Q)/1000</f>
        <v>2.3844600000000002</v>
      </c>
      <c r="P73" s="20">
        <f>SUMIF('Income Statement Source'!$C:$C,'1.1 Adjusted Income Stmt'!$AR73,'Income Statement Source'!R:R)/1000</f>
        <v>2.3967100000000001</v>
      </c>
      <c r="Q73" s="22">
        <f t="shared" ref="Q73:Q76" si="46">SUM(E73:P73)</f>
        <v>28.76107</v>
      </c>
      <c r="R73" s="20">
        <f>SUMIF('Income Statement Source'!$C:$C,'1.1 Adjusted Income Stmt'!$AR73,'Income Statement Source'!T:T)/1000</f>
        <v>2.3768400000000001</v>
      </c>
      <c r="S73" s="20">
        <f>SUMIF('Income Statement Source'!$C:$C,'1.1 Adjusted Income Stmt'!$AR73,'Income Statement Source'!U:U)/1000</f>
        <v>2.3943600000000003</v>
      </c>
      <c r="T73" s="20">
        <f>SUMIF('Income Statement Source'!$C:$C,'1.1 Adjusted Income Stmt'!$AR73,'Income Statement Source'!V:V)/1000</f>
        <v>2.4152199999999997</v>
      </c>
      <c r="U73" s="20">
        <f>SUMIF('Income Statement Source'!$C:$C,'1.1 Adjusted Income Stmt'!$AR73,'Income Statement Source'!W:W)/1000</f>
        <v>2.3805700000000001</v>
      </c>
      <c r="V73" s="20">
        <f>SUMIF('Income Statement Source'!$C:$C,'1.1 Adjusted Income Stmt'!$AR73,'Income Statement Source'!X:X)/1000</f>
        <v>2.4075600000000001</v>
      </c>
      <c r="W73" s="20">
        <f>SUMIF('Income Statement Source'!$C:$C,'1.1 Adjusted Income Stmt'!$AR73,'Income Statement Source'!Y:Y)/1000</f>
        <v>2.4051</v>
      </c>
      <c r="X73" s="20">
        <f>SUMIF('Income Statement Source'!$C:$C,'1.1 Adjusted Income Stmt'!$AR73,'Income Statement Source'!Z:Z)/1000</f>
        <v>2.4216599999999997</v>
      </c>
      <c r="Y73" s="20">
        <f>SUMIF('Income Statement Source'!$C:$C,'1.1 Adjusted Income Stmt'!$AR73,'Income Statement Source'!AA:AA)/1000</f>
        <v>2.39385</v>
      </c>
      <c r="Z73" s="20">
        <f>SUMIF('Income Statement Source'!$C:$C,'1.1 Adjusted Income Stmt'!$AR73,'Income Statement Source'!AB:AB)/1000</f>
        <v>2.3872900000000001</v>
      </c>
      <c r="AA73" s="20">
        <f>SUMIF('Income Statement Source'!$C:$C,'1.1 Adjusted Income Stmt'!$AR73,'Income Statement Source'!AC:AC)/1000</f>
        <v>2.4031100000000003</v>
      </c>
      <c r="AB73" s="20">
        <f>SUMIF('Income Statement Source'!$C:$C,'1.1 Adjusted Income Stmt'!$AR73,'Income Statement Source'!AD:AD)/1000</f>
        <v>2.3848099999999999</v>
      </c>
      <c r="AC73" s="20">
        <f>SUMIF('Income Statement Source'!$C:$C,'1.1 Adjusted Income Stmt'!$AR73,'Income Statement Source'!AE:AE)/1000</f>
        <v>2.3971199999999997</v>
      </c>
      <c r="AD73" s="22">
        <f t="shared" ref="AD73:AD76" si="47">SUM(R73:AC73)</f>
        <v>28.767490000000002</v>
      </c>
      <c r="AE73" s="20">
        <f>SUMIF('Income Statement Source'!$C:$C,'1.1 Adjusted Income Stmt'!$AR73,'Income Statement Source'!AG:AG)/1000</f>
        <v>2.39845</v>
      </c>
      <c r="AF73" s="20">
        <f>SUMIF('Income Statement Source'!$C:$C,'1.1 Adjusted Income Stmt'!$AR73,'Income Statement Source'!AH:AH)/1000</f>
        <v>2.4044699999999999</v>
      </c>
      <c r="AG73" s="20">
        <f>SUMIF('Income Statement Source'!$C:$C,'1.1 Adjusted Income Stmt'!$AR73,'Income Statement Source'!AI:AI)/1000</f>
        <v>2.4062800000000002</v>
      </c>
      <c r="AH73" s="20">
        <f>SUMIF('Income Statement Source'!$C:$C,'1.1 Adjusted Income Stmt'!$AR73,'Income Statement Source'!AJ:AJ)/1000</f>
        <v>2.4091100000000001</v>
      </c>
      <c r="AI73" s="20">
        <f>SUMIF('Income Statement Source'!$C:$C,'1.1 Adjusted Income Stmt'!$AR73,'Income Statement Source'!AK:AK)/1000</f>
        <v>2.3918400000000002</v>
      </c>
      <c r="AJ73" s="20">
        <f>SUMIF('Income Statement Source'!$C:$C,'1.1 Adjusted Income Stmt'!$AR73,'Income Statement Source'!AL:AL)/1000</f>
        <v>2.3985300000000001</v>
      </c>
      <c r="AK73" s="20">
        <f>SUMIF('Income Statement Source'!$C:$C,'1.1 Adjusted Income Stmt'!$AR73,'Income Statement Source'!AM:AM)/1000</f>
        <v>2.4003699999999997</v>
      </c>
      <c r="AL73" s="20">
        <f>SUMIF('Income Statement Source'!$C:$C,'1.1 Adjusted Income Stmt'!$AR73,'Income Statement Source'!AN:AN)/1000</f>
        <v>2.3908</v>
      </c>
      <c r="AM73" s="20">
        <f>SUMIF('Income Statement Source'!$C:$C,'1.1 Adjusted Income Stmt'!$AR73,'Income Statement Source'!AO:AO)/1000</f>
        <v>2.4227099999999999</v>
      </c>
      <c r="AN73" s="20">
        <f>SUMIF('Income Statement Source'!$C:$C,'1.1 Adjusted Income Stmt'!$AR73,'Income Statement Source'!AP:AP)/1000</f>
        <v>2.39011</v>
      </c>
      <c r="AO73" s="22">
        <f t="shared" ref="AO73:AO76" si="48">SUM(AE73:AN73)</f>
        <v>24.012669999999996</v>
      </c>
      <c r="AP73" s="22">
        <f t="shared" ref="AP73:AP76" si="49">SUM(AO73,AB73:AC73)</f>
        <v>28.794599999999996</v>
      </c>
      <c r="AR73" s="34" t="s">
        <v>40</v>
      </c>
    </row>
    <row r="74" spans="2:44" s="34" customFormat="1" hidden="1" outlineLevel="1" x14ac:dyDescent="0.2">
      <c r="B74" s="30" t="str">
        <f t="shared" si="45"/>
        <v>Vehicle Insurance</v>
      </c>
      <c r="C74" s="4"/>
      <c r="D74" s="4"/>
      <c r="E74" s="20">
        <f>SUMIF('Income Statement Source'!$C:$C,'1.1 Adjusted Income Stmt'!$AR74,'Income Statement Source'!G:G)/1000</f>
        <v>1.8373299999999999</v>
      </c>
      <c r="F74" s="20">
        <f>SUMIF('Income Statement Source'!$C:$C,'1.1 Adjusted Income Stmt'!$AR74,'Income Statement Source'!H:H)/1000</f>
        <v>1.8486500000000001</v>
      </c>
      <c r="G74" s="20">
        <f>SUMIF('Income Statement Source'!$C:$C,'1.1 Adjusted Income Stmt'!$AR74,'Income Statement Source'!I:I)/1000</f>
        <v>1.8460999999999999</v>
      </c>
      <c r="H74" s="20">
        <f>SUMIF('Income Statement Source'!$C:$C,'1.1 Adjusted Income Stmt'!$AR74,'Income Statement Source'!J:J)/1000</f>
        <v>1.8453499999999998</v>
      </c>
      <c r="I74" s="20">
        <f>SUMIF('Income Statement Source'!$C:$C,'1.1 Adjusted Income Stmt'!$AR74,'Income Statement Source'!K:K)/1000</f>
        <v>1.85083</v>
      </c>
      <c r="J74" s="20">
        <f>SUMIF('Income Statement Source'!$C:$C,'1.1 Adjusted Income Stmt'!$AR74,'Income Statement Source'!L:L)/1000</f>
        <v>1.8286500000000001</v>
      </c>
      <c r="K74" s="20">
        <f>SUMIF('Income Statement Source'!$C:$C,'1.1 Adjusted Income Stmt'!$AR74,'Income Statement Source'!M:M)/1000</f>
        <v>1.8282100000000001</v>
      </c>
      <c r="L74" s="20">
        <f>SUMIF('Income Statement Source'!$C:$C,'1.1 Adjusted Income Stmt'!$AR74,'Income Statement Source'!N:N)/1000</f>
        <v>1.84477</v>
      </c>
      <c r="M74" s="20">
        <f>SUMIF('Income Statement Source'!$C:$C,'1.1 Adjusted Income Stmt'!$AR74,'Income Statement Source'!O:O)/1000</f>
        <v>1.84928</v>
      </c>
      <c r="N74" s="20">
        <f>SUMIF('Income Statement Source'!$C:$C,'1.1 Adjusted Income Stmt'!$AR74,'Income Statement Source'!P:P)/1000</f>
        <v>1.8665799999999999</v>
      </c>
      <c r="O74" s="20">
        <f>SUMIF('Income Statement Source'!$C:$C,'1.1 Adjusted Income Stmt'!$AR74,'Income Statement Source'!Q:Q)/1000</f>
        <v>1.87201</v>
      </c>
      <c r="P74" s="20">
        <f>SUMIF('Income Statement Source'!$C:$C,'1.1 Adjusted Income Stmt'!$AR74,'Income Statement Source'!R:R)/1000</f>
        <v>1.8230500000000001</v>
      </c>
      <c r="Q74" s="22">
        <f t="shared" si="46"/>
        <v>22.140809999999995</v>
      </c>
      <c r="R74" s="20">
        <f>SUMIF('Income Statement Source'!$C:$C,'1.1 Adjusted Income Stmt'!$AR74,'Income Statement Source'!T:T)/1000</f>
        <v>1.8451</v>
      </c>
      <c r="S74" s="20">
        <f>SUMIF('Income Statement Source'!$C:$C,'1.1 Adjusted Income Stmt'!$AR74,'Income Statement Source'!U:U)/1000</f>
        <v>1.8522100000000001</v>
      </c>
      <c r="T74" s="20">
        <f>SUMIF('Income Statement Source'!$C:$C,'1.1 Adjusted Income Stmt'!$AR74,'Income Statement Source'!V:V)/1000</f>
        <v>1.8250999999999999</v>
      </c>
      <c r="U74" s="20">
        <f>SUMIF('Income Statement Source'!$C:$C,'1.1 Adjusted Income Stmt'!$AR74,'Income Statement Source'!W:W)/1000</f>
        <v>1.8704499999999999</v>
      </c>
      <c r="V74" s="20">
        <f>SUMIF('Income Statement Source'!$C:$C,'1.1 Adjusted Income Stmt'!$AR74,'Income Statement Source'!X:X)/1000</f>
        <v>1.85907</v>
      </c>
      <c r="W74" s="20">
        <f>SUMIF('Income Statement Source'!$C:$C,'1.1 Adjusted Income Stmt'!$AR74,'Income Statement Source'!Y:Y)/1000</f>
        <v>1.8292599999999999</v>
      </c>
      <c r="X74" s="20">
        <f>SUMIF('Income Statement Source'!$C:$C,'1.1 Adjusted Income Stmt'!$AR74,'Income Statement Source'!Z:Z)/1000</f>
        <v>1.8416400000000002</v>
      </c>
      <c r="Y74" s="20">
        <f>SUMIF('Income Statement Source'!$C:$C,'1.1 Adjusted Income Stmt'!$AR74,'Income Statement Source'!AA:AA)/1000</f>
        <v>1.8611</v>
      </c>
      <c r="Z74" s="20">
        <f>SUMIF('Income Statement Source'!$C:$C,'1.1 Adjusted Income Stmt'!$AR74,'Income Statement Source'!AB:AB)/1000</f>
        <v>1.85225</v>
      </c>
      <c r="AA74" s="20">
        <f>SUMIF('Income Statement Source'!$C:$C,'1.1 Adjusted Income Stmt'!$AR74,'Income Statement Source'!AC:AC)/1000</f>
        <v>1.82978</v>
      </c>
      <c r="AB74" s="20">
        <f>SUMIF('Income Statement Source'!$C:$C,'1.1 Adjusted Income Stmt'!$AR74,'Income Statement Source'!AD:AD)/1000</f>
        <v>1.8695200000000001</v>
      </c>
      <c r="AC74" s="20">
        <f>SUMIF('Income Statement Source'!$C:$C,'1.1 Adjusted Income Stmt'!$AR74,'Income Statement Source'!AE:AE)/1000</f>
        <v>1.84067</v>
      </c>
      <c r="AD74" s="22">
        <f t="shared" si="47"/>
        <v>22.17615</v>
      </c>
      <c r="AE74" s="20">
        <f>SUMIF('Income Statement Source'!$C:$C,'1.1 Adjusted Income Stmt'!$AR74,'Income Statement Source'!AG:AG)/1000</f>
        <v>1.8346600000000002</v>
      </c>
      <c r="AF74" s="20">
        <f>SUMIF('Income Statement Source'!$C:$C,'1.1 Adjusted Income Stmt'!$AR74,'Income Statement Source'!AH:AH)/1000</f>
        <v>1.87626</v>
      </c>
      <c r="AG74" s="20">
        <f>SUMIF('Income Statement Source'!$C:$C,'1.1 Adjusted Income Stmt'!$AR74,'Income Statement Source'!AI:AI)/1000</f>
        <v>1.83064</v>
      </c>
      <c r="AH74" s="20">
        <f>SUMIF('Income Statement Source'!$C:$C,'1.1 Adjusted Income Stmt'!$AR74,'Income Statement Source'!AJ:AJ)/1000</f>
        <v>1.8625799999999999</v>
      </c>
      <c r="AI74" s="20">
        <f>SUMIF('Income Statement Source'!$C:$C,'1.1 Adjusted Income Stmt'!$AR74,'Income Statement Source'!AK:AK)/1000</f>
        <v>1.8238800000000002</v>
      </c>
      <c r="AJ74" s="20">
        <f>SUMIF('Income Statement Source'!$C:$C,'1.1 Adjusted Income Stmt'!$AR74,'Income Statement Source'!AL:AL)/1000</f>
        <v>1.85714</v>
      </c>
      <c r="AK74" s="20">
        <f>SUMIF('Income Statement Source'!$C:$C,'1.1 Adjusted Income Stmt'!$AR74,'Income Statement Source'!AM:AM)/1000</f>
        <v>1.83087</v>
      </c>
      <c r="AL74" s="20">
        <f>SUMIF('Income Statement Source'!$C:$C,'1.1 Adjusted Income Stmt'!$AR74,'Income Statement Source'!AN:AN)/1000</f>
        <v>1.8347899999999999</v>
      </c>
      <c r="AM74" s="20">
        <f>SUMIF('Income Statement Source'!$C:$C,'1.1 Adjusted Income Stmt'!$AR74,'Income Statement Source'!AO:AO)/1000</f>
        <v>1.86277</v>
      </c>
      <c r="AN74" s="20">
        <f>SUMIF('Income Statement Source'!$C:$C,'1.1 Adjusted Income Stmt'!$AR74,'Income Statement Source'!AP:AP)/1000</f>
        <v>1.8737000000000001</v>
      </c>
      <c r="AO74" s="22">
        <f t="shared" si="48"/>
        <v>18.487289999999998</v>
      </c>
      <c r="AP74" s="22">
        <f t="shared" si="49"/>
        <v>22.197479999999999</v>
      </c>
      <c r="AR74" s="34" t="s">
        <v>41</v>
      </c>
    </row>
    <row r="75" spans="2:44" s="34" customFormat="1" hidden="1" outlineLevel="1" x14ac:dyDescent="0.2">
      <c r="B75" s="30" t="str">
        <f t="shared" si="45"/>
        <v>Vehicle Maintenance &amp; Repairs</v>
      </c>
      <c r="C75" s="4"/>
      <c r="D75" s="4"/>
      <c r="E75" s="20">
        <f>SUMIF('Income Statement Source'!$C:$C,'1.1 Adjusted Income Stmt'!$AR75,'Income Statement Source'!G:G)/1000</f>
        <v>1.2138399999999998</v>
      </c>
      <c r="F75" s="20">
        <f>SUMIF('Income Statement Source'!$C:$C,'1.1 Adjusted Income Stmt'!$AR75,'Income Statement Source'!H:H)/1000</f>
        <v>1.17275</v>
      </c>
      <c r="G75" s="20">
        <f>SUMIF('Income Statement Source'!$C:$C,'1.1 Adjusted Income Stmt'!$AR75,'Income Statement Source'!I:I)/1000</f>
        <v>12.22096</v>
      </c>
      <c r="H75" s="20">
        <f>SUMIF('Income Statement Source'!$C:$C,'1.1 Adjusted Income Stmt'!$AR75,'Income Statement Source'!J:J)/1000</f>
        <v>1.11063</v>
      </c>
      <c r="I75" s="20">
        <f>SUMIF('Income Statement Source'!$C:$C,'1.1 Adjusted Income Stmt'!$AR75,'Income Statement Source'!K:K)/1000</f>
        <v>1.2807200000000001</v>
      </c>
      <c r="J75" s="20">
        <f>SUMIF('Income Statement Source'!$C:$C,'1.1 Adjusted Income Stmt'!$AR75,'Income Statement Source'!L:L)/1000</f>
        <v>1.1918900000000001</v>
      </c>
      <c r="K75" s="20">
        <f>SUMIF('Income Statement Source'!$C:$C,'1.1 Adjusted Income Stmt'!$AR75,'Income Statement Source'!M:M)/1000</f>
        <v>1.3746800000000001</v>
      </c>
      <c r="L75" s="20">
        <f>SUMIF('Income Statement Source'!$C:$C,'1.1 Adjusted Income Stmt'!$AR75,'Income Statement Source'!N:N)/1000</f>
        <v>1.1499200000000001</v>
      </c>
      <c r="M75" s="20">
        <f>SUMIF('Income Statement Source'!$C:$C,'1.1 Adjusted Income Stmt'!$AR75,'Income Statement Source'!O:O)/1000</f>
        <v>1.2108699999999999</v>
      </c>
      <c r="N75" s="20">
        <f>SUMIF('Income Statement Source'!$C:$C,'1.1 Adjusted Income Stmt'!$AR75,'Income Statement Source'!P:P)/1000</f>
        <v>1.3286900000000001</v>
      </c>
      <c r="O75" s="20">
        <f>SUMIF('Income Statement Source'!$C:$C,'1.1 Adjusted Income Stmt'!$AR75,'Income Statement Source'!Q:Q)/1000</f>
        <v>1.2657400000000001</v>
      </c>
      <c r="P75" s="20">
        <f>SUMIF('Income Statement Source'!$C:$C,'1.1 Adjusted Income Stmt'!$AR75,'Income Statement Source'!R:R)/1000</f>
        <v>1.27057</v>
      </c>
      <c r="Q75" s="22">
        <f t="shared" si="46"/>
        <v>25.791260000000005</v>
      </c>
      <c r="R75" s="20">
        <f>SUMIF('Income Statement Source'!$C:$C,'1.1 Adjusted Income Stmt'!$AR75,'Income Statement Source'!T:T)/1000</f>
        <v>1.1286500000000002</v>
      </c>
      <c r="S75" s="20">
        <f>SUMIF('Income Statement Source'!$C:$C,'1.1 Adjusted Income Stmt'!$AR75,'Income Statement Source'!U:U)/1000</f>
        <v>1.19591</v>
      </c>
      <c r="T75" s="20">
        <f>SUMIF('Income Statement Source'!$C:$C,'1.1 Adjusted Income Stmt'!$AR75,'Income Statement Source'!V:V)/1000</f>
        <v>1.05366</v>
      </c>
      <c r="U75" s="20">
        <f>SUMIF('Income Statement Source'!$C:$C,'1.1 Adjusted Income Stmt'!$AR75,'Income Statement Source'!W:W)/1000</f>
        <v>1.27308</v>
      </c>
      <c r="V75" s="20">
        <f>SUMIF('Income Statement Source'!$C:$C,'1.1 Adjusted Income Stmt'!$AR75,'Income Statement Source'!X:X)/1000</f>
        <v>1.1186400000000001</v>
      </c>
      <c r="W75" s="20">
        <f>SUMIF('Income Statement Source'!$C:$C,'1.1 Adjusted Income Stmt'!$AR75,'Income Statement Source'!Y:Y)/1000</f>
        <v>1.1774200000000001</v>
      </c>
      <c r="X75" s="20">
        <f>SUMIF('Income Statement Source'!$C:$C,'1.1 Adjusted Income Stmt'!$AR75,'Income Statement Source'!Z:Z)/1000</f>
        <v>1.0387899999999999</v>
      </c>
      <c r="Y75" s="20">
        <f>SUMIF('Income Statement Source'!$C:$C,'1.1 Adjusted Income Stmt'!$AR75,'Income Statement Source'!AA:AA)/1000</f>
        <v>12.440959999999999</v>
      </c>
      <c r="Z75" s="20">
        <f>SUMIF('Income Statement Source'!$C:$C,'1.1 Adjusted Income Stmt'!$AR75,'Income Statement Source'!AB:AB)/1000</f>
        <v>1.31</v>
      </c>
      <c r="AA75" s="20">
        <f>SUMIF('Income Statement Source'!$C:$C,'1.1 Adjusted Income Stmt'!$AR75,'Income Statement Source'!AC:AC)/1000</f>
        <v>51.070480000000003</v>
      </c>
      <c r="AB75" s="20">
        <f>SUMIF('Income Statement Source'!$C:$C,'1.1 Adjusted Income Stmt'!$AR75,'Income Statement Source'!AD:AD)/1000</f>
        <v>1.28773</v>
      </c>
      <c r="AC75" s="20">
        <f>SUMIF('Income Statement Source'!$C:$C,'1.1 Adjusted Income Stmt'!$AR75,'Income Statement Source'!AE:AE)/1000</f>
        <v>1.0895599999999999</v>
      </c>
      <c r="AD75" s="22">
        <f t="shared" si="47"/>
        <v>75.184880000000007</v>
      </c>
      <c r="AE75" s="20">
        <f>SUMIF('Income Statement Source'!$C:$C,'1.1 Adjusted Income Stmt'!$AR75,'Income Statement Source'!AG:AG)/1000</f>
        <v>1.12341</v>
      </c>
      <c r="AF75" s="20">
        <f>SUMIF('Income Statement Source'!$C:$C,'1.1 Adjusted Income Stmt'!$AR75,'Income Statement Source'!AH:AH)/1000</f>
        <v>1.22651</v>
      </c>
      <c r="AG75" s="20">
        <f>SUMIF('Income Statement Source'!$C:$C,'1.1 Adjusted Income Stmt'!$AR75,'Income Statement Source'!AI:AI)/1000</f>
        <v>1.3509200000000001</v>
      </c>
      <c r="AH75" s="20">
        <f>SUMIF('Income Statement Source'!$C:$C,'1.1 Adjusted Income Stmt'!$AR75,'Income Statement Source'!AJ:AJ)/1000</f>
        <v>1.25665</v>
      </c>
      <c r="AI75" s="20">
        <f>SUMIF('Income Statement Source'!$C:$C,'1.1 Adjusted Income Stmt'!$AR75,'Income Statement Source'!AK:AK)/1000</f>
        <v>1.1485799999999999</v>
      </c>
      <c r="AJ75" s="20">
        <f>SUMIF('Income Statement Source'!$C:$C,'1.1 Adjusted Income Stmt'!$AR75,'Income Statement Source'!AL:AL)/1000</f>
        <v>11.704690000000001</v>
      </c>
      <c r="AK75" s="20">
        <f>SUMIF('Income Statement Source'!$C:$C,'1.1 Adjusted Income Stmt'!$AR75,'Income Statement Source'!AM:AM)/1000</f>
        <v>1.0458699999999999</v>
      </c>
      <c r="AL75" s="20">
        <f>SUMIF('Income Statement Source'!$C:$C,'1.1 Adjusted Income Stmt'!$AR75,'Income Statement Source'!AN:AN)/1000</f>
        <v>1.34318</v>
      </c>
      <c r="AM75" s="20">
        <f>SUMIF('Income Statement Source'!$C:$C,'1.1 Adjusted Income Stmt'!$AR75,'Income Statement Source'!AO:AO)/1000</f>
        <v>1.2041500000000001</v>
      </c>
      <c r="AN75" s="20">
        <f>SUMIF('Income Statement Source'!$C:$C,'1.1 Adjusted Income Stmt'!$AR75,'Income Statement Source'!AP:AP)/1000</f>
        <v>1.1229800000000001</v>
      </c>
      <c r="AO75" s="22">
        <f t="shared" si="48"/>
        <v>22.526940000000003</v>
      </c>
      <c r="AP75" s="22">
        <f t="shared" si="49"/>
        <v>24.904230000000002</v>
      </c>
      <c r="AR75" s="34" t="s">
        <v>42</v>
      </c>
    </row>
    <row r="76" spans="2:44" s="34" customFormat="1" hidden="1" outlineLevel="1" x14ac:dyDescent="0.2">
      <c r="B76" s="30" t="str">
        <f t="shared" si="45"/>
        <v>Fuel - Non-Job Related</v>
      </c>
      <c r="C76" s="4"/>
      <c r="D76" s="4"/>
      <c r="E76" s="31">
        <f>SUMIF('Income Statement Source'!$C:$C,'1.1 Adjusted Income Stmt'!$AR76,'Income Statement Source'!G:G)/1000</f>
        <v>0.92413000000000001</v>
      </c>
      <c r="F76" s="31">
        <f>SUMIF('Income Statement Source'!$C:$C,'1.1 Adjusted Income Stmt'!$AR76,'Income Statement Source'!H:H)/1000</f>
        <v>0.85147000000000006</v>
      </c>
      <c r="G76" s="31">
        <f>SUMIF('Income Statement Source'!$C:$C,'1.1 Adjusted Income Stmt'!$AR76,'Income Statement Source'!I:I)/1000</f>
        <v>0.98948999999999998</v>
      </c>
      <c r="H76" s="31">
        <f>SUMIF('Income Statement Source'!$C:$C,'1.1 Adjusted Income Stmt'!$AR76,'Income Statement Source'!J:J)/1000</f>
        <v>0.97192999999999996</v>
      </c>
      <c r="I76" s="31">
        <f>SUMIF('Income Statement Source'!$C:$C,'1.1 Adjusted Income Stmt'!$AR76,'Income Statement Source'!K:K)/1000</f>
        <v>0.96023000000000003</v>
      </c>
      <c r="J76" s="31">
        <f>SUMIF('Income Statement Source'!$C:$C,'1.1 Adjusted Income Stmt'!$AR76,'Income Statement Source'!L:L)/1000</f>
        <v>0.98938999999999999</v>
      </c>
      <c r="K76" s="31">
        <f>SUMIF('Income Statement Source'!$C:$C,'1.1 Adjusted Income Stmt'!$AR76,'Income Statement Source'!M:M)/1000</f>
        <v>0.97775000000000001</v>
      </c>
      <c r="L76" s="31">
        <f>SUMIF('Income Statement Source'!$C:$C,'1.1 Adjusted Income Stmt'!$AR76,'Income Statement Source'!N:N)/1000</f>
        <v>0.9243300000000001</v>
      </c>
      <c r="M76" s="31">
        <f>SUMIF('Income Statement Source'!$C:$C,'1.1 Adjusted Income Stmt'!$AR76,'Income Statement Source'!O:O)/1000</f>
        <v>0.90942000000000001</v>
      </c>
      <c r="N76" s="31">
        <f>SUMIF('Income Statement Source'!$C:$C,'1.1 Adjusted Income Stmt'!$AR76,'Income Statement Source'!P:P)/1000</f>
        <v>0.92479999999999996</v>
      </c>
      <c r="O76" s="31">
        <f>SUMIF('Income Statement Source'!$C:$C,'1.1 Adjusted Income Stmt'!$AR76,'Income Statement Source'!Q:Q)/1000</f>
        <v>0.91832000000000003</v>
      </c>
      <c r="P76" s="31">
        <f>SUMIF('Income Statement Source'!$C:$C,'1.1 Adjusted Income Stmt'!$AR76,'Income Statement Source'!R:R)/1000</f>
        <v>0.92246000000000006</v>
      </c>
      <c r="Q76" s="32">
        <f t="shared" si="46"/>
        <v>11.263719999999999</v>
      </c>
      <c r="R76" s="31">
        <f>SUMIF('Income Statement Source'!$C:$C,'1.1 Adjusted Income Stmt'!$AR76,'Income Statement Source'!T:T)/1000</f>
        <v>0.87727999999999995</v>
      </c>
      <c r="S76" s="31">
        <f>SUMIF('Income Statement Source'!$C:$C,'1.1 Adjusted Income Stmt'!$AR76,'Income Statement Source'!U:U)/1000</f>
        <v>0.87891999999999992</v>
      </c>
      <c r="T76" s="31">
        <f>SUMIF('Income Statement Source'!$C:$C,'1.1 Adjusted Income Stmt'!$AR76,'Income Statement Source'!V:V)/1000</f>
        <v>0.83741999999999994</v>
      </c>
      <c r="U76" s="31">
        <f>SUMIF('Income Statement Source'!$C:$C,'1.1 Adjusted Income Stmt'!$AR76,'Income Statement Source'!W:W)/1000</f>
        <v>0.82380999999999993</v>
      </c>
      <c r="V76" s="31">
        <f>SUMIF('Income Statement Source'!$C:$C,'1.1 Adjusted Income Stmt'!$AR76,'Income Statement Source'!X:X)/1000</f>
        <v>0.89787000000000006</v>
      </c>
      <c r="W76" s="31">
        <f>SUMIF('Income Statement Source'!$C:$C,'1.1 Adjusted Income Stmt'!$AR76,'Income Statement Source'!Y:Y)/1000</f>
        <v>0.91058000000000006</v>
      </c>
      <c r="X76" s="31">
        <f>SUMIF('Income Statement Source'!$C:$C,'1.1 Adjusted Income Stmt'!$AR76,'Income Statement Source'!Z:Z)/1000</f>
        <v>0.84126000000000001</v>
      </c>
      <c r="Y76" s="31">
        <f>SUMIF('Income Statement Source'!$C:$C,'1.1 Adjusted Income Stmt'!$AR76,'Income Statement Source'!AA:AA)/1000</f>
        <v>0.88457000000000008</v>
      </c>
      <c r="Z76" s="31">
        <f>SUMIF('Income Statement Source'!$C:$C,'1.1 Adjusted Income Stmt'!$AR76,'Income Statement Source'!AB:AB)/1000</f>
        <v>0.89490000000000003</v>
      </c>
      <c r="AA76" s="31">
        <f>SUMIF('Income Statement Source'!$C:$C,'1.1 Adjusted Income Stmt'!$AR76,'Income Statement Source'!AC:AC)/1000</f>
        <v>0.90395999999999999</v>
      </c>
      <c r="AB76" s="31">
        <f>SUMIF('Income Statement Source'!$C:$C,'1.1 Adjusted Income Stmt'!$AR76,'Income Statement Source'!AD:AD)/1000</f>
        <v>0.95161000000000007</v>
      </c>
      <c r="AC76" s="31">
        <f>SUMIF('Income Statement Source'!$C:$C,'1.1 Adjusted Income Stmt'!$AR76,'Income Statement Source'!AE:AE)/1000</f>
        <v>0.95352000000000003</v>
      </c>
      <c r="AD76" s="32">
        <f t="shared" si="47"/>
        <v>10.6557</v>
      </c>
      <c r="AE76" s="31">
        <f>SUMIF('Income Statement Source'!$C:$C,'1.1 Adjusted Income Stmt'!$AR76,'Income Statement Source'!AG:AG)/1000</f>
        <v>0.83650999999999998</v>
      </c>
      <c r="AF76" s="31">
        <f>SUMIF('Income Statement Source'!$C:$C,'1.1 Adjusted Income Stmt'!$AR76,'Income Statement Source'!AH:AH)/1000</f>
        <v>0.82991999999999999</v>
      </c>
      <c r="AG76" s="31">
        <f>SUMIF('Income Statement Source'!$C:$C,'1.1 Adjusted Income Stmt'!$AR76,'Income Statement Source'!AI:AI)/1000</f>
        <v>0.98085</v>
      </c>
      <c r="AH76" s="31">
        <f>SUMIF('Income Statement Source'!$C:$C,'1.1 Adjusted Income Stmt'!$AR76,'Income Statement Source'!AJ:AJ)/1000</f>
        <v>0.91642000000000001</v>
      </c>
      <c r="AI76" s="31">
        <f>SUMIF('Income Statement Source'!$C:$C,'1.1 Adjusted Income Stmt'!$AR76,'Income Statement Source'!AK:AK)/1000</f>
        <v>0.82037000000000004</v>
      </c>
      <c r="AJ76" s="31">
        <f>SUMIF('Income Statement Source'!$C:$C,'1.1 Adjusted Income Stmt'!$AR76,'Income Statement Source'!AL:AL)/1000</f>
        <v>0.91207000000000005</v>
      </c>
      <c r="AK76" s="31">
        <f>SUMIF('Income Statement Source'!$C:$C,'1.1 Adjusted Income Stmt'!$AR76,'Income Statement Source'!AM:AM)/1000</f>
        <v>0.84751999999999994</v>
      </c>
      <c r="AL76" s="31">
        <f>SUMIF('Income Statement Source'!$C:$C,'1.1 Adjusted Income Stmt'!$AR76,'Income Statement Source'!AN:AN)/1000</f>
        <v>0.83799999999999997</v>
      </c>
      <c r="AM76" s="31">
        <f>SUMIF('Income Statement Source'!$C:$C,'1.1 Adjusted Income Stmt'!$AR76,'Income Statement Source'!AO:AO)/1000</f>
        <v>0.83266999999999991</v>
      </c>
      <c r="AN76" s="31">
        <f>SUMIF('Income Statement Source'!$C:$C,'1.1 Adjusted Income Stmt'!$AR76,'Income Statement Source'!AP:AP)/1000</f>
        <v>0.87021999999999999</v>
      </c>
      <c r="AO76" s="32">
        <f t="shared" si="48"/>
        <v>8.6845500000000015</v>
      </c>
      <c r="AP76" s="32">
        <f t="shared" si="49"/>
        <v>10.589680000000001</v>
      </c>
      <c r="AR76" s="34" t="s">
        <v>43</v>
      </c>
    </row>
    <row r="77" spans="2:44" collapsed="1" x14ac:dyDescent="0.2">
      <c r="B77" s="29" t="str">
        <f>+B72</f>
        <v>Vehicle</v>
      </c>
      <c r="E77" s="20">
        <f>SUM(E73:E76)</f>
        <v>6.3657500000000002</v>
      </c>
      <c r="F77" s="20">
        <f t="shared" ref="F77:AP77" si="50">SUM(F73:F76)</f>
        <v>6.25265</v>
      </c>
      <c r="G77" s="20">
        <f t="shared" si="50"/>
        <v>17.44481</v>
      </c>
      <c r="H77" s="20">
        <f t="shared" si="50"/>
        <v>6.3501799999999999</v>
      </c>
      <c r="I77" s="20">
        <f t="shared" si="50"/>
        <v>6.5034800000000006</v>
      </c>
      <c r="J77" s="20">
        <f t="shared" si="50"/>
        <v>6.4210500000000001</v>
      </c>
      <c r="K77" s="20">
        <f t="shared" si="50"/>
        <v>6.5701999999999998</v>
      </c>
      <c r="L77" s="20">
        <f t="shared" si="50"/>
        <v>6.3146200000000006</v>
      </c>
      <c r="M77" s="20">
        <f t="shared" si="50"/>
        <v>6.3693799999999996</v>
      </c>
      <c r="N77" s="20">
        <f t="shared" si="50"/>
        <v>6.5114200000000002</v>
      </c>
      <c r="O77" s="20">
        <f t="shared" si="50"/>
        <v>6.4405300000000008</v>
      </c>
      <c r="P77" s="20">
        <f t="shared" si="50"/>
        <v>6.4127900000000002</v>
      </c>
      <c r="Q77" s="22">
        <f t="shared" si="50"/>
        <v>87.956860000000006</v>
      </c>
      <c r="R77" s="20">
        <f t="shared" si="50"/>
        <v>6.2278700000000002</v>
      </c>
      <c r="S77" s="20">
        <f t="shared" si="50"/>
        <v>6.3213999999999997</v>
      </c>
      <c r="T77" s="20">
        <f t="shared" si="50"/>
        <v>6.1313999999999993</v>
      </c>
      <c r="U77" s="20">
        <f t="shared" si="50"/>
        <v>6.3479100000000006</v>
      </c>
      <c r="V77" s="20">
        <f t="shared" si="50"/>
        <v>6.2831400000000004</v>
      </c>
      <c r="W77" s="20">
        <f t="shared" si="50"/>
        <v>6.3223600000000006</v>
      </c>
      <c r="X77" s="20">
        <f t="shared" si="50"/>
        <v>6.1433499999999999</v>
      </c>
      <c r="Y77" s="20">
        <f t="shared" si="50"/>
        <v>17.580479999999998</v>
      </c>
      <c r="Z77" s="20">
        <f t="shared" si="50"/>
        <v>6.4444400000000002</v>
      </c>
      <c r="AA77" s="20">
        <f t="shared" si="50"/>
        <v>56.207329999999999</v>
      </c>
      <c r="AB77" s="20">
        <f t="shared" si="50"/>
        <v>6.4936699999999998</v>
      </c>
      <c r="AC77" s="20">
        <f t="shared" si="50"/>
        <v>6.2808699999999993</v>
      </c>
      <c r="AD77" s="22">
        <f t="shared" si="50"/>
        <v>136.78422</v>
      </c>
      <c r="AE77" s="20">
        <f t="shared" si="50"/>
        <v>6.1930299999999994</v>
      </c>
      <c r="AF77" s="20">
        <f t="shared" si="50"/>
        <v>6.3371600000000008</v>
      </c>
      <c r="AG77" s="20">
        <f t="shared" si="50"/>
        <v>6.568690000000001</v>
      </c>
      <c r="AH77" s="20">
        <f t="shared" si="50"/>
        <v>6.4447600000000005</v>
      </c>
      <c r="AI77" s="20">
        <f t="shared" si="50"/>
        <v>6.1846700000000006</v>
      </c>
      <c r="AJ77" s="20">
        <f t="shared" si="50"/>
        <v>16.872430000000001</v>
      </c>
      <c r="AK77" s="20">
        <f t="shared" si="50"/>
        <v>6.1246299999999998</v>
      </c>
      <c r="AL77" s="20">
        <f t="shared" si="50"/>
        <v>6.4067700000000007</v>
      </c>
      <c r="AM77" s="20">
        <f t="shared" si="50"/>
        <v>6.3223000000000003</v>
      </c>
      <c r="AN77" s="20">
        <f t="shared" si="50"/>
        <v>6.2570100000000002</v>
      </c>
      <c r="AO77" s="22">
        <f t="shared" si="50"/>
        <v>73.711449999999999</v>
      </c>
      <c r="AP77" s="22">
        <f t="shared" si="50"/>
        <v>86.485990000000001</v>
      </c>
    </row>
    <row r="78" spans="2:44" x14ac:dyDescent="0.2">
      <c r="B78" s="25"/>
      <c r="E78" s="47">
        <f>IFERROR(E77/E$19,0)</f>
        <v>2.1251813320653963E-2</v>
      </c>
      <c r="F78" s="47">
        <f t="shared" ref="F78:AP78" si="51">IFERROR(F77/F$19,0)</f>
        <v>2.5435516804984681E-2</v>
      </c>
      <c r="G78" s="47">
        <f t="shared" si="51"/>
        <v>5.8867427319547035E-2</v>
      </c>
      <c r="H78" s="47">
        <f t="shared" si="51"/>
        <v>3.8699472316952636E-2</v>
      </c>
      <c r="I78" s="47">
        <f t="shared" si="51"/>
        <v>2.3482044471188148E-2</v>
      </c>
      <c r="J78" s="47">
        <f t="shared" si="51"/>
        <v>1.5034289141362607E-2</v>
      </c>
      <c r="K78" s="47">
        <f t="shared" si="51"/>
        <v>3.452390577538339E-2</v>
      </c>
      <c r="L78" s="47">
        <f t="shared" si="51"/>
        <v>2.547084669629756E-2</v>
      </c>
      <c r="M78" s="47">
        <f t="shared" si="51"/>
        <v>1.2927704990287541E-2</v>
      </c>
      <c r="N78" s="47">
        <f t="shared" si="51"/>
        <v>3.3821161524486984E-2</v>
      </c>
      <c r="O78" s="47">
        <f t="shared" si="51"/>
        <v>2.641434836476441E-2</v>
      </c>
      <c r="P78" s="47">
        <f t="shared" si="51"/>
        <v>1.5719768348559999E-2</v>
      </c>
      <c r="Q78" s="48">
        <f t="shared" si="51"/>
        <v>2.523829976047216E-2</v>
      </c>
      <c r="R78" s="47">
        <f t="shared" si="51"/>
        <v>2.3964803411642793E-2</v>
      </c>
      <c r="S78" s="47">
        <f t="shared" si="51"/>
        <v>2.1341414383311309E-2</v>
      </c>
      <c r="T78" s="47">
        <f t="shared" si="51"/>
        <v>1.3093655924548012E-2</v>
      </c>
      <c r="U78" s="47">
        <f t="shared" si="51"/>
        <v>2.7772784450501107E-2</v>
      </c>
      <c r="V78" s="47">
        <f t="shared" si="51"/>
        <v>1.6400742322093934E-2</v>
      </c>
      <c r="W78" s="47">
        <f t="shared" si="51"/>
        <v>1.2093192882469643E-2</v>
      </c>
      <c r="X78" s="47">
        <f t="shared" si="51"/>
        <v>1.3965994051879253E-2</v>
      </c>
      <c r="Y78" s="47">
        <f t="shared" si="51"/>
        <v>5.5737221546530935E-2</v>
      </c>
      <c r="Z78" s="47">
        <f t="shared" si="51"/>
        <v>1.3162333177238516E-2</v>
      </c>
      <c r="AA78" s="47">
        <f t="shared" si="51"/>
        <v>0.16146475508898336</v>
      </c>
      <c r="AB78" s="47">
        <f t="shared" si="51"/>
        <v>1.5335838049767179E-2</v>
      </c>
      <c r="AC78" s="47">
        <f t="shared" si="51"/>
        <v>1.6297343662665924E-2</v>
      </c>
      <c r="AD78" s="48">
        <f t="shared" si="51"/>
        <v>2.9992180942745701E-2</v>
      </c>
      <c r="AE78" s="47">
        <f t="shared" si="51"/>
        <v>2.7441462552587673E-2</v>
      </c>
      <c r="AF78" s="47">
        <f t="shared" si="51"/>
        <v>2.8033856632346393E-2</v>
      </c>
      <c r="AG78" s="47">
        <f t="shared" si="51"/>
        <v>1.6101100589588635E-2</v>
      </c>
      <c r="AH78" s="47">
        <f t="shared" si="51"/>
        <v>1.6300592422983678E-2</v>
      </c>
      <c r="AI78" s="47">
        <f t="shared" si="51"/>
        <v>2.3520667500600737E-2</v>
      </c>
      <c r="AJ78" s="47">
        <f t="shared" si="51"/>
        <v>4.0875578320797905E-2</v>
      </c>
      <c r="AK78" s="47">
        <f t="shared" si="51"/>
        <v>1.8656514979112859E-2</v>
      </c>
      <c r="AL78" s="47">
        <f t="shared" si="51"/>
        <v>1.7196358322562312E-2</v>
      </c>
      <c r="AM78" s="47">
        <f t="shared" si="51"/>
        <v>1.9186113580436981E-2</v>
      </c>
      <c r="AN78" s="47">
        <f t="shared" si="51"/>
        <v>1.5967340971357699E-2</v>
      </c>
      <c r="AO78" s="48">
        <f t="shared" si="51"/>
        <v>2.198354238369242E-2</v>
      </c>
      <c r="AP78" s="48">
        <f t="shared" si="51"/>
        <v>2.0780649710395765E-2</v>
      </c>
    </row>
    <row r="79" spans="2:44" s="34" customFormat="1" hidden="1" outlineLevel="1" x14ac:dyDescent="0.2">
      <c r="B79" s="33" t="s">
        <v>99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2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2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2"/>
      <c r="AP79" s="52"/>
    </row>
    <row r="80" spans="2:44" s="34" customFormat="1" hidden="1" outlineLevel="1" x14ac:dyDescent="0.2">
      <c r="B80" s="30" t="str">
        <f t="shared" ref="B80:B81" si="52">+AR80</f>
        <v>Accounting &amp; Bookkeeping</v>
      </c>
      <c r="C80" s="4"/>
      <c r="D80" s="4"/>
      <c r="E80" s="20">
        <f>SUMIF('Income Statement Source'!$C:$C,'1.1 Adjusted Income Stmt'!$AR80,'Income Statement Source'!G:G)/1000</f>
        <v>0</v>
      </c>
      <c r="F80" s="20">
        <f>SUMIF('Income Statement Source'!$C:$C,'1.1 Adjusted Income Stmt'!$AR80,'Income Statement Source'!H:H)/1000</f>
        <v>0</v>
      </c>
      <c r="G80" s="20">
        <f>SUMIF('Income Statement Source'!$C:$C,'1.1 Adjusted Income Stmt'!$AR80,'Income Statement Source'!I:I)/1000</f>
        <v>0</v>
      </c>
      <c r="H80" s="20">
        <f>SUMIF('Income Statement Source'!$C:$C,'1.1 Adjusted Income Stmt'!$AR80,'Income Statement Source'!J:J)/1000</f>
        <v>0</v>
      </c>
      <c r="I80" s="20">
        <f>SUMIF('Income Statement Source'!$C:$C,'1.1 Adjusted Income Stmt'!$AR80,'Income Statement Source'!K:K)/1000</f>
        <v>6.2740900000000002</v>
      </c>
      <c r="J80" s="20">
        <f>SUMIF('Income Statement Source'!$C:$C,'1.1 Adjusted Income Stmt'!$AR80,'Income Statement Source'!L:L)/1000</f>
        <v>0</v>
      </c>
      <c r="K80" s="20">
        <f>SUMIF('Income Statement Source'!$C:$C,'1.1 Adjusted Income Stmt'!$AR80,'Income Statement Source'!M:M)/1000</f>
        <v>0</v>
      </c>
      <c r="L80" s="20">
        <f>SUMIF('Income Statement Source'!$C:$C,'1.1 Adjusted Income Stmt'!$AR80,'Income Statement Source'!N:N)/1000</f>
        <v>0</v>
      </c>
      <c r="M80" s="20">
        <f>SUMIF('Income Statement Source'!$C:$C,'1.1 Adjusted Income Stmt'!$AR80,'Income Statement Source'!O:O)/1000</f>
        <v>0</v>
      </c>
      <c r="N80" s="20">
        <f>SUMIF('Income Statement Source'!$C:$C,'1.1 Adjusted Income Stmt'!$AR80,'Income Statement Source'!P:P)/1000</f>
        <v>0</v>
      </c>
      <c r="O80" s="20">
        <f>SUMIF('Income Statement Source'!$C:$C,'1.1 Adjusted Income Stmt'!$AR80,'Income Statement Source'!Q:Q)/1000</f>
        <v>0</v>
      </c>
      <c r="P80" s="20">
        <f>SUMIF('Income Statement Source'!$C:$C,'1.1 Adjusted Income Stmt'!$AR80,'Income Statement Source'!R:R)/1000</f>
        <v>0</v>
      </c>
      <c r="Q80" s="22">
        <f t="shared" ref="Q80:Q81" si="53">SUM(E80:P80)</f>
        <v>6.2740900000000002</v>
      </c>
      <c r="R80" s="20">
        <f>SUMIF('Income Statement Source'!$C:$C,'1.1 Adjusted Income Stmt'!$AR80,'Income Statement Source'!T:T)/1000</f>
        <v>0</v>
      </c>
      <c r="S80" s="20">
        <f>SUMIF('Income Statement Source'!$C:$C,'1.1 Adjusted Income Stmt'!$AR80,'Income Statement Source'!U:U)/1000</f>
        <v>0</v>
      </c>
      <c r="T80" s="20">
        <f>SUMIF('Income Statement Source'!$C:$C,'1.1 Adjusted Income Stmt'!$AR80,'Income Statement Source'!V:V)/1000</f>
        <v>0</v>
      </c>
      <c r="U80" s="20">
        <f>SUMIF('Income Statement Source'!$C:$C,'1.1 Adjusted Income Stmt'!$AR80,'Income Statement Source'!W:W)/1000</f>
        <v>0</v>
      </c>
      <c r="V80" s="20">
        <f>SUMIF('Income Statement Source'!$C:$C,'1.1 Adjusted Income Stmt'!$AR80,'Income Statement Source'!X:X)/1000</f>
        <v>6.4674799999999992</v>
      </c>
      <c r="W80" s="20">
        <f>SUMIF('Income Statement Source'!$C:$C,'1.1 Adjusted Income Stmt'!$AR80,'Income Statement Source'!Y:Y)/1000</f>
        <v>0</v>
      </c>
      <c r="X80" s="20">
        <f>SUMIF('Income Statement Source'!$C:$C,'1.1 Adjusted Income Stmt'!$AR80,'Income Statement Source'!Z:Z)/1000</f>
        <v>0</v>
      </c>
      <c r="Y80" s="20">
        <f>SUMIF('Income Statement Source'!$C:$C,'1.1 Adjusted Income Stmt'!$AR80,'Income Statement Source'!AA:AA)/1000</f>
        <v>0</v>
      </c>
      <c r="Z80" s="20">
        <f>SUMIF('Income Statement Source'!$C:$C,'1.1 Adjusted Income Stmt'!$AR80,'Income Statement Source'!AB:AB)/1000</f>
        <v>0</v>
      </c>
      <c r="AA80" s="20">
        <f>SUMIF('Income Statement Source'!$C:$C,'1.1 Adjusted Income Stmt'!$AR80,'Income Statement Source'!AC:AC)/1000</f>
        <v>0</v>
      </c>
      <c r="AB80" s="20">
        <f>SUMIF('Income Statement Source'!$C:$C,'1.1 Adjusted Income Stmt'!$AR80,'Income Statement Source'!AD:AD)/1000</f>
        <v>0</v>
      </c>
      <c r="AC80" s="20">
        <f>SUMIF('Income Statement Source'!$C:$C,'1.1 Adjusted Income Stmt'!$AR80,'Income Statement Source'!AE:AE)/1000</f>
        <v>0</v>
      </c>
      <c r="AD80" s="22">
        <f t="shared" ref="AD80:AD81" si="54">SUM(R80:AC80)</f>
        <v>6.4674799999999992</v>
      </c>
      <c r="AE80" s="20">
        <f>SUMIF('Income Statement Source'!$C:$C,'1.1 Adjusted Income Stmt'!$AR80,'Income Statement Source'!AG:AG)/1000</f>
        <v>0</v>
      </c>
      <c r="AF80" s="20">
        <f>SUMIF('Income Statement Source'!$C:$C,'1.1 Adjusted Income Stmt'!$AR80,'Income Statement Source'!AH:AH)/1000</f>
        <v>0</v>
      </c>
      <c r="AG80" s="20">
        <f>SUMIF('Income Statement Source'!$C:$C,'1.1 Adjusted Income Stmt'!$AR80,'Income Statement Source'!AI:AI)/1000</f>
        <v>0</v>
      </c>
      <c r="AH80" s="20">
        <f>SUMIF('Income Statement Source'!$C:$C,'1.1 Adjusted Income Stmt'!$AR80,'Income Statement Source'!AJ:AJ)/1000</f>
        <v>0</v>
      </c>
      <c r="AI80" s="20">
        <f>SUMIF('Income Statement Source'!$C:$C,'1.1 Adjusted Income Stmt'!$AR80,'Income Statement Source'!AK:AK)/1000</f>
        <v>6.41099</v>
      </c>
      <c r="AJ80" s="20">
        <f>SUMIF('Income Statement Source'!$C:$C,'1.1 Adjusted Income Stmt'!$AR80,'Income Statement Source'!AL:AL)/1000</f>
        <v>0</v>
      </c>
      <c r="AK80" s="20">
        <f>SUMIF('Income Statement Source'!$C:$C,'1.1 Adjusted Income Stmt'!$AR80,'Income Statement Source'!AM:AM)/1000</f>
        <v>0</v>
      </c>
      <c r="AL80" s="20">
        <f>SUMIF('Income Statement Source'!$C:$C,'1.1 Adjusted Income Stmt'!$AR80,'Income Statement Source'!AN:AN)/1000</f>
        <v>0</v>
      </c>
      <c r="AM80" s="20">
        <f>SUMIF('Income Statement Source'!$C:$C,'1.1 Adjusted Income Stmt'!$AR80,'Income Statement Source'!AO:AO)/1000</f>
        <v>0</v>
      </c>
      <c r="AN80" s="20">
        <f>SUMIF('Income Statement Source'!$C:$C,'1.1 Adjusted Income Stmt'!$AR80,'Income Statement Source'!AP:AP)/1000</f>
        <v>0</v>
      </c>
      <c r="AO80" s="22">
        <f t="shared" ref="AO80:AO81" si="55">SUM(AE80:AN80)</f>
        <v>6.41099</v>
      </c>
      <c r="AP80" s="22">
        <f t="shared" ref="AP80:AP81" si="56">SUM(AO80,AB80:AC80)</f>
        <v>6.41099</v>
      </c>
      <c r="AR80" s="34" t="s">
        <v>46</v>
      </c>
    </row>
    <row r="81" spans="2:44" s="34" customFormat="1" hidden="1" outlineLevel="1" x14ac:dyDescent="0.2">
      <c r="B81" s="30" t="str">
        <f t="shared" si="52"/>
        <v>Legal &amp; Professional Fees</v>
      </c>
      <c r="C81" s="4"/>
      <c r="D81" s="4"/>
      <c r="E81" s="31">
        <f>SUMIF('Income Statement Source'!$C:$C,'1.1 Adjusted Income Stmt'!$AR81,'Income Statement Source'!G:G)/1000</f>
        <v>0.86090999999999995</v>
      </c>
      <c r="F81" s="31">
        <f>SUMIF('Income Statement Source'!$C:$C,'1.1 Adjusted Income Stmt'!$AR81,'Income Statement Source'!H:H)/1000</f>
        <v>0.73603999999999992</v>
      </c>
      <c r="G81" s="31">
        <f>SUMIF('Income Statement Source'!$C:$C,'1.1 Adjusted Income Stmt'!$AR81,'Income Statement Source'!I:I)/1000</f>
        <v>0.85016999999999998</v>
      </c>
      <c r="H81" s="31">
        <f>SUMIF('Income Statement Source'!$C:$C,'1.1 Adjusted Income Stmt'!$AR81,'Income Statement Source'!J:J)/1000</f>
        <v>0.87690000000000001</v>
      </c>
      <c r="I81" s="31">
        <f>SUMIF('Income Statement Source'!$C:$C,'1.1 Adjusted Income Stmt'!$AR81,'Income Statement Source'!K:K)/1000</f>
        <v>0.75288999999999995</v>
      </c>
      <c r="J81" s="31">
        <f>SUMIF('Income Statement Source'!$C:$C,'1.1 Adjusted Income Stmt'!$AR81,'Income Statement Source'!L:L)/1000</f>
        <v>100</v>
      </c>
      <c r="K81" s="31">
        <f>SUMIF('Income Statement Source'!$C:$C,'1.1 Adjusted Income Stmt'!$AR81,'Income Statement Source'!M:M)/1000</f>
        <v>0.76148000000000005</v>
      </c>
      <c r="L81" s="31">
        <f>SUMIF('Income Statement Source'!$C:$C,'1.1 Adjusted Income Stmt'!$AR81,'Income Statement Source'!N:N)/1000</f>
        <v>0.95117999999999991</v>
      </c>
      <c r="M81" s="31">
        <f>SUMIF('Income Statement Source'!$C:$C,'1.1 Adjusted Income Stmt'!$AR81,'Income Statement Source'!O:O)/1000</f>
        <v>0.77742</v>
      </c>
      <c r="N81" s="31">
        <f>SUMIF('Income Statement Source'!$C:$C,'1.1 Adjusted Income Stmt'!$AR81,'Income Statement Source'!P:P)/1000</f>
        <v>0.67776999999999998</v>
      </c>
      <c r="O81" s="31">
        <f>SUMIF('Income Statement Source'!$C:$C,'1.1 Adjusted Income Stmt'!$AR81,'Income Statement Source'!Q:Q)/1000</f>
        <v>0.81264000000000003</v>
      </c>
      <c r="P81" s="31">
        <f>SUMIF('Income Statement Source'!$C:$C,'1.1 Adjusted Income Stmt'!$AR81,'Income Statement Source'!R:R)/1000</f>
        <v>0.89517999999999998</v>
      </c>
      <c r="Q81" s="32">
        <f t="shared" si="53"/>
        <v>108.95258</v>
      </c>
      <c r="R81" s="31">
        <f>SUMIF('Income Statement Source'!$C:$C,'1.1 Adjusted Income Stmt'!$AR81,'Income Statement Source'!T:T)/1000</f>
        <v>0.75682000000000005</v>
      </c>
      <c r="S81" s="31">
        <f>SUMIF('Income Statement Source'!$C:$C,'1.1 Adjusted Income Stmt'!$AR81,'Income Statement Source'!U:U)/1000</f>
        <v>0.66383999999999999</v>
      </c>
      <c r="T81" s="31">
        <f>SUMIF('Income Statement Source'!$C:$C,'1.1 Adjusted Income Stmt'!$AR81,'Income Statement Source'!V:V)/1000</f>
        <v>0.76411000000000007</v>
      </c>
      <c r="U81" s="31">
        <f>SUMIF('Income Statement Source'!$C:$C,'1.1 Adjusted Income Stmt'!$AR81,'Income Statement Source'!W:W)/1000</f>
        <v>0.79324000000000006</v>
      </c>
      <c r="V81" s="31">
        <f>SUMIF('Income Statement Source'!$C:$C,'1.1 Adjusted Income Stmt'!$AR81,'Income Statement Source'!X:X)/1000</f>
        <v>0.74614999999999998</v>
      </c>
      <c r="W81" s="31">
        <f>SUMIF('Income Statement Source'!$C:$C,'1.1 Adjusted Income Stmt'!$AR81,'Income Statement Source'!Y:Y)/1000</f>
        <v>0.64737999999999996</v>
      </c>
      <c r="X81" s="31">
        <f>SUMIF('Income Statement Source'!$C:$C,'1.1 Adjusted Income Stmt'!$AR81,'Income Statement Source'!Z:Z)/1000</f>
        <v>0.72442999999999991</v>
      </c>
      <c r="Y81" s="31">
        <f>SUMIF('Income Statement Source'!$C:$C,'1.1 Adjusted Income Stmt'!$AR81,'Income Statement Source'!AA:AA)/1000</f>
        <v>0.7582000000000001</v>
      </c>
      <c r="Z81" s="31">
        <f>SUMIF('Income Statement Source'!$C:$C,'1.1 Adjusted Income Stmt'!$AR81,'Income Statement Source'!AB:AB)/1000</f>
        <v>0.86104999999999998</v>
      </c>
      <c r="AA81" s="31">
        <f>SUMIF('Income Statement Source'!$C:$C,'1.1 Adjusted Income Stmt'!$AR81,'Income Statement Source'!AC:AC)/1000</f>
        <v>0.75065999999999999</v>
      </c>
      <c r="AB81" s="31">
        <f>SUMIF('Income Statement Source'!$C:$C,'1.1 Adjusted Income Stmt'!$AR81,'Income Statement Source'!AD:AD)/1000</f>
        <v>0.72570000000000001</v>
      </c>
      <c r="AC81" s="31">
        <f>SUMIF('Income Statement Source'!$C:$C,'1.1 Adjusted Income Stmt'!$AR81,'Income Statement Source'!AE:AE)/1000</f>
        <v>0.83289999999999997</v>
      </c>
      <c r="AD81" s="32">
        <f t="shared" si="54"/>
        <v>9.0244800000000005</v>
      </c>
      <c r="AE81" s="31">
        <f>SUMIF('Income Statement Source'!$C:$C,'1.1 Adjusted Income Stmt'!$AR81,'Income Statement Source'!AG:AG)/1000</f>
        <v>0.88824999999999998</v>
      </c>
      <c r="AF81" s="31">
        <f>SUMIF('Income Statement Source'!$C:$C,'1.1 Adjusted Income Stmt'!$AR81,'Income Statement Source'!AH:AH)/1000</f>
        <v>0.65091999999999994</v>
      </c>
      <c r="AG81" s="31">
        <f>SUMIF('Income Statement Source'!$C:$C,'1.1 Adjusted Income Stmt'!$AR81,'Income Statement Source'!AI:AI)/1000</f>
        <v>0.9355</v>
      </c>
      <c r="AH81" s="31">
        <f>SUMIF('Income Statement Source'!$C:$C,'1.1 Adjusted Income Stmt'!$AR81,'Income Statement Source'!AJ:AJ)/1000</f>
        <v>0.69684999999999997</v>
      </c>
      <c r="AI81" s="31">
        <f>SUMIF('Income Statement Source'!$C:$C,'1.1 Adjusted Income Stmt'!$AR81,'Income Statement Source'!AK:AK)/1000</f>
        <v>0.72775999999999996</v>
      </c>
      <c r="AJ81" s="31">
        <f>SUMIF('Income Statement Source'!$C:$C,'1.1 Adjusted Income Stmt'!$AR81,'Income Statement Source'!AL:AL)/1000</f>
        <v>0.92703999999999998</v>
      </c>
      <c r="AK81" s="31">
        <f>SUMIF('Income Statement Source'!$C:$C,'1.1 Adjusted Income Stmt'!$AR81,'Income Statement Source'!AM:AM)/1000</f>
        <v>0.81270000000000009</v>
      </c>
      <c r="AL81" s="31">
        <f>SUMIF('Income Statement Source'!$C:$C,'1.1 Adjusted Income Stmt'!$AR81,'Income Statement Source'!AN:AN)/1000</f>
        <v>0.8881</v>
      </c>
      <c r="AM81" s="31">
        <f>SUMIF('Income Statement Source'!$C:$C,'1.1 Adjusted Income Stmt'!$AR81,'Income Statement Source'!AO:AO)/1000</f>
        <v>0.78570000000000007</v>
      </c>
      <c r="AN81" s="31">
        <f>SUMIF('Income Statement Source'!$C:$C,'1.1 Adjusted Income Stmt'!$AR81,'Income Statement Source'!AP:AP)/1000</f>
        <v>0.75879999999999992</v>
      </c>
      <c r="AO81" s="32">
        <f t="shared" si="55"/>
        <v>8.0716199999999994</v>
      </c>
      <c r="AP81" s="32">
        <f t="shared" si="56"/>
        <v>9.6302199999999996</v>
      </c>
      <c r="AR81" s="34" t="s">
        <v>47</v>
      </c>
    </row>
    <row r="82" spans="2:44" collapsed="1" x14ac:dyDescent="0.2">
      <c r="B82" s="27" t="str">
        <f>+B79</f>
        <v>Professional Fees</v>
      </c>
      <c r="C82" s="10"/>
      <c r="D82" s="10"/>
      <c r="E82" s="19">
        <f>SUM(E80:E81)</f>
        <v>0.86090999999999995</v>
      </c>
      <c r="F82" s="19">
        <f t="shared" ref="F82:AP82" si="57">SUM(F80:F81)</f>
        <v>0.73603999999999992</v>
      </c>
      <c r="G82" s="19">
        <f t="shared" si="57"/>
        <v>0.85016999999999998</v>
      </c>
      <c r="H82" s="19">
        <f t="shared" si="57"/>
        <v>0.87690000000000001</v>
      </c>
      <c r="I82" s="19">
        <f t="shared" si="57"/>
        <v>7.02698</v>
      </c>
      <c r="J82" s="19">
        <f t="shared" si="57"/>
        <v>100</v>
      </c>
      <c r="K82" s="19">
        <f t="shared" si="57"/>
        <v>0.76148000000000005</v>
      </c>
      <c r="L82" s="19">
        <f t="shared" si="57"/>
        <v>0.95117999999999991</v>
      </c>
      <c r="M82" s="19">
        <f t="shared" si="57"/>
        <v>0.77742</v>
      </c>
      <c r="N82" s="19">
        <f t="shared" si="57"/>
        <v>0.67776999999999998</v>
      </c>
      <c r="O82" s="19">
        <f t="shared" si="57"/>
        <v>0.81264000000000003</v>
      </c>
      <c r="P82" s="19">
        <f t="shared" si="57"/>
        <v>0.89517999999999998</v>
      </c>
      <c r="Q82" s="21">
        <f t="shared" si="57"/>
        <v>115.22667</v>
      </c>
      <c r="R82" s="19">
        <f t="shared" si="57"/>
        <v>0.75682000000000005</v>
      </c>
      <c r="S82" s="19">
        <f t="shared" si="57"/>
        <v>0.66383999999999999</v>
      </c>
      <c r="T82" s="19">
        <f t="shared" si="57"/>
        <v>0.76411000000000007</v>
      </c>
      <c r="U82" s="19">
        <f t="shared" si="57"/>
        <v>0.79324000000000006</v>
      </c>
      <c r="V82" s="19">
        <f t="shared" si="57"/>
        <v>7.2136299999999993</v>
      </c>
      <c r="W82" s="19">
        <f t="shared" si="57"/>
        <v>0.64737999999999996</v>
      </c>
      <c r="X82" s="19">
        <f t="shared" si="57"/>
        <v>0.72442999999999991</v>
      </c>
      <c r="Y82" s="19">
        <f t="shared" si="57"/>
        <v>0.7582000000000001</v>
      </c>
      <c r="Z82" s="19">
        <f t="shared" si="57"/>
        <v>0.86104999999999998</v>
      </c>
      <c r="AA82" s="19">
        <f t="shared" si="57"/>
        <v>0.75065999999999999</v>
      </c>
      <c r="AB82" s="19">
        <f t="shared" si="57"/>
        <v>0.72570000000000001</v>
      </c>
      <c r="AC82" s="19">
        <f t="shared" si="57"/>
        <v>0.83289999999999997</v>
      </c>
      <c r="AD82" s="21">
        <f t="shared" si="57"/>
        <v>15.491959999999999</v>
      </c>
      <c r="AE82" s="19">
        <f t="shared" si="57"/>
        <v>0.88824999999999998</v>
      </c>
      <c r="AF82" s="19">
        <f t="shared" si="57"/>
        <v>0.65091999999999994</v>
      </c>
      <c r="AG82" s="19">
        <f t="shared" si="57"/>
        <v>0.9355</v>
      </c>
      <c r="AH82" s="19">
        <f t="shared" si="57"/>
        <v>0.69684999999999997</v>
      </c>
      <c r="AI82" s="19">
        <f t="shared" si="57"/>
        <v>7.1387499999999999</v>
      </c>
      <c r="AJ82" s="19">
        <f t="shared" si="57"/>
        <v>0.92703999999999998</v>
      </c>
      <c r="AK82" s="19">
        <f t="shared" si="57"/>
        <v>0.81270000000000009</v>
      </c>
      <c r="AL82" s="19">
        <f t="shared" si="57"/>
        <v>0.8881</v>
      </c>
      <c r="AM82" s="19">
        <f t="shared" si="57"/>
        <v>0.78570000000000007</v>
      </c>
      <c r="AN82" s="19">
        <f t="shared" si="57"/>
        <v>0.75879999999999992</v>
      </c>
      <c r="AO82" s="21">
        <f t="shared" si="57"/>
        <v>14.482609999999999</v>
      </c>
      <c r="AP82" s="21">
        <f t="shared" si="57"/>
        <v>16.04121</v>
      </c>
    </row>
    <row r="83" spans="2:44" x14ac:dyDescent="0.2">
      <c r="B83" s="28"/>
      <c r="C83" s="10"/>
      <c r="D83" s="10"/>
      <c r="E83" s="45">
        <f>IFERROR(E82/E$19,0)</f>
        <v>2.8741151641022977E-3</v>
      </c>
      <c r="F83" s="45">
        <f t="shared" ref="F83:AP83" si="58">IFERROR(F82/F$19,0)</f>
        <v>2.9941797140637847E-3</v>
      </c>
      <c r="G83" s="45">
        <f t="shared" si="58"/>
        <v>2.86889457003311E-3</v>
      </c>
      <c r="H83" s="45">
        <f t="shared" si="58"/>
        <v>5.3440323384117885E-3</v>
      </c>
      <c r="I83" s="45">
        <f t="shared" si="58"/>
        <v>2.5372240224948744E-2</v>
      </c>
      <c r="J83" s="45">
        <f t="shared" si="58"/>
        <v>0.23414066455428015</v>
      </c>
      <c r="K83" s="45">
        <f t="shared" si="58"/>
        <v>4.0012882058139696E-3</v>
      </c>
      <c r="L83" s="45">
        <f t="shared" si="58"/>
        <v>3.8367090910592103E-3</v>
      </c>
      <c r="M83" s="45">
        <f t="shared" si="58"/>
        <v>1.5779018387267428E-3</v>
      </c>
      <c r="N83" s="45">
        <f t="shared" si="58"/>
        <v>3.5204254442888867E-3</v>
      </c>
      <c r="O83" s="45">
        <f t="shared" si="58"/>
        <v>3.3328555344268478E-3</v>
      </c>
      <c r="P83" s="45">
        <f t="shared" si="58"/>
        <v>2.1943681658473046E-3</v>
      </c>
      <c r="Q83" s="46">
        <f t="shared" si="58"/>
        <v>3.3063086129507174E-2</v>
      </c>
      <c r="R83" s="45">
        <f t="shared" si="58"/>
        <v>2.9122384568077849E-3</v>
      </c>
      <c r="S83" s="45">
        <f t="shared" si="58"/>
        <v>2.2411624836614326E-3</v>
      </c>
      <c r="T83" s="45">
        <f t="shared" si="58"/>
        <v>1.6317632887279225E-3</v>
      </c>
      <c r="U83" s="45">
        <f t="shared" si="58"/>
        <v>3.4705097484865879E-3</v>
      </c>
      <c r="V83" s="45">
        <f t="shared" si="58"/>
        <v>1.882957992929116E-2</v>
      </c>
      <c r="W83" s="45">
        <f t="shared" si="58"/>
        <v>1.2382862108853651E-3</v>
      </c>
      <c r="X83" s="45">
        <f t="shared" si="58"/>
        <v>1.6468840406297681E-3</v>
      </c>
      <c r="Y83" s="45">
        <f t="shared" si="58"/>
        <v>2.4038002020752426E-3</v>
      </c>
      <c r="Z83" s="45">
        <f t="shared" si="58"/>
        <v>1.7586364342380757E-3</v>
      </c>
      <c r="AA83" s="45">
        <f t="shared" si="58"/>
        <v>2.1563937133305612E-3</v>
      </c>
      <c r="AB83" s="45">
        <f t="shared" si="58"/>
        <v>1.7138563666949573E-3</v>
      </c>
      <c r="AC83" s="45">
        <f t="shared" si="58"/>
        <v>2.1611747316270594E-3</v>
      </c>
      <c r="AD83" s="46">
        <f t="shared" si="58"/>
        <v>3.3968660089429806E-3</v>
      </c>
      <c r="AE83" s="45">
        <f t="shared" si="58"/>
        <v>3.9358567796920086E-3</v>
      </c>
      <c r="AF83" s="45">
        <f t="shared" si="58"/>
        <v>2.8794914376671743E-3</v>
      </c>
      <c r="AG83" s="45">
        <f t="shared" si="58"/>
        <v>2.2930872977047429E-3</v>
      </c>
      <c r="AH83" s="45">
        <f t="shared" si="58"/>
        <v>1.7625276705348493E-3</v>
      </c>
      <c r="AI83" s="45">
        <f t="shared" si="58"/>
        <v>2.7149090431650109E-2</v>
      </c>
      <c r="AJ83" s="45">
        <f t="shared" si="58"/>
        <v>2.2458706971380227E-3</v>
      </c>
      <c r="AK83" s="45">
        <f t="shared" si="58"/>
        <v>2.4756025626895047E-3</v>
      </c>
      <c r="AL83" s="45">
        <f t="shared" si="58"/>
        <v>2.3837418584197008E-3</v>
      </c>
      <c r="AM83" s="45">
        <f t="shared" si="58"/>
        <v>2.3843426348242468E-3</v>
      </c>
      <c r="AN83" s="45">
        <f t="shared" si="58"/>
        <v>1.9363910764192832E-3</v>
      </c>
      <c r="AO83" s="46">
        <f t="shared" si="58"/>
        <v>4.3192620788424004E-3</v>
      </c>
      <c r="AP83" s="46">
        <f t="shared" si="58"/>
        <v>3.8543441075357715E-3</v>
      </c>
    </row>
    <row r="84" spans="2:44" hidden="1" outlineLevel="1" x14ac:dyDescent="0.2">
      <c r="B84" s="29" t="s">
        <v>92</v>
      </c>
      <c r="Q84" s="17"/>
      <c r="AD84" s="17"/>
      <c r="AO84" s="17"/>
      <c r="AP84" s="17"/>
    </row>
    <row r="85" spans="2:44" hidden="1" outlineLevel="1" x14ac:dyDescent="0.2">
      <c r="B85" s="30" t="str">
        <f t="shared" ref="B85:B92" si="59">+AR85</f>
        <v>Computer &amp; Software</v>
      </c>
      <c r="E85" s="20">
        <f>SUMIF('Income Statement Source'!$C:$C,'1.1 Adjusted Income Stmt'!$AR85,'Income Statement Source'!G:G)/1000</f>
        <v>0.90629999999999999</v>
      </c>
      <c r="F85" s="20">
        <f>SUMIF('Income Statement Source'!$C:$C,'1.1 Adjusted Income Stmt'!$AR85,'Income Statement Source'!H:H)/1000</f>
        <v>0.93314999999999992</v>
      </c>
      <c r="G85" s="20">
        <f>SUMIF('Income Statement Source'!$C:$C,'1.1 Adjusted Income Stmt'!$AR85,'Income Statement Source'!I:I)/1000</f>
        <v>0.91413999999999995</v>
      </c>
      <c r="H85" s="20">
        <f>SUMIF('Income Statement Source'!$C:$C,'1.1 Adjusted Income Stmt'!$AR85,'Income Statement Source'!J:J)/1000</f>
        <v>0.87051999999999996</v>
      </c>
      <c r="I85" s="20">
        <f>SUMIF('Income Statement Source'!$C:$C,'1.1 Adjusted Income Stmt'!$AR85,'Income Statement Source'!K:K)/1000</f>
        <v>0.85878999999999994</v>
      </c>
      <c r="J85" s="20">
        <f>SUMIF('Income Statement Source'!$C:$C,'1.1 Adjusted Income Stmt'!$AR85,'Income Statement Source'!L:L)/1000</f>
        <v>0.89161000000000001</v>
      </c>
      <c r="K85" s="20">
        <f>SUMIF('Income Statement Source'!$C:$C,'1.1 Adjusted Income Stmt'!$AR85,'Income Statement Source'!M:M)/1000</f>
        <v>0.86603999999999992</v>
      </c>
      <c r="L85" s="20">
        <f>SUMIF('Income Statement Source'!$C:$C,'1.1 Adjusted Income Stmt'!$AR85,'Income Statement Source'!N:N)/1000</f>
        <v>0.87714000000000003</v>
      </c>
      <c r="M85" s="20">
        <f>SUMIF('Income Statement Source'!$C:$C,'1.1 Adjusted Income Stmt'!$AR85,'Income Statement Source'!O:O)/1000</f>
        <v>0.94899</v>
      </c>
      <c r="N85" s="20">
        <f>SUMIF('Income Statement Source'!$C:$C,'1.1 Adjusted Income Stmt'!$AR85,'Income Statement Source'!P:P)/1000</f>
        <v>0.89351999999999998</v>
      </c>
      <c r="O85" s="20">
        <f>SUMIF('Income Statement Source'!$C:$C,'1.1 Adjusted Income Stmt'!$AR85,'Income Statement Source'!Q:Q)/1000</f>
        <v>0.93353999999999993</v>
      </c>
      <c r="P85" s="20">
        <f>SUMIF('Income Statement Source'!$C:$C,'1.1 Adjusted Income Stmt'!$AR85,'Income Statement Source'!R:R)/1000</f>
        <v>0.92283000000000004</v>
      </c>
      <c r="Q85" s="22">
        <f t="shared" ref="Q85:Q92" si="60">SUM(E85:P85)</f>
        <v>10.81657</v>
      </c>
      <c r="R85" s="20">
        <f>SUMIF('Income Statement Source'!$C:$C,'1.1 Adjusted Income Stmt'!$AR85,'Income Statement Source'!T:T)/1000</f>
        <v>0.91003000000000001</v>
      </c>
      <c r="S85" s="20">
        <f>SUMIF('Income Statement Source'!$C:$C,'1.1 Adjusted Income Stmt'!$AR85,'Income Statement Source'!U:U)/1000</f>
        <v>0.83401999999999998</v>
      </c>
      <c r="T85" s="20">
        <f>SUMIF('Income Statement Source'!$C:$C,'1.1 Adjusted Income Stmt'!$AR85,'Income Statement Source'!V:V)/1000</f>
        <v>0.86177999999999999</v>
      </c>
      <c r="U85" s="20">
        <f>SUMIF('Income Statement Source'!$C:$C,'1.1 Adjusted Income Stmt'!$AR85,'Income Statement Source'!W:W)/1000</f>
        <v>0.85539999999999994</v>
      </c>
      <c r="V85" s="20">
        <f>SUMIF('Income Statement Source'!$C:$C,'1.1 Adjusted Income Stmt'!$AR85,'Income Statement Source'!X:X)/1000</f>
        <v>0.84942999999999991</v>
      </c>
      <c r="W85" s="20">
        <f>SUMIF('Income Statement Source'!$C:$C,'1.1 Adjusted Income Stmt'!$AR85,'Income Statement Source'!Y:Y)/1000</f>
        <v>0.94277</v>
      </c>
      <c r="X85" s="20">
        <f>SUMIF('Income Statement Source'!$C:$C,'1.1 Adjusted Income Stmt'!$AR85,'Income Statement Source'!Z:Z)/1000</f>
        <v>0.95628999999999997</v>
      </c>
      <c r="Y85" s="20">
        <f>SUMIF('Income Statement Source'!$C:$C,'1.1 Adjusted Income Stmt'!$AR85,'Income Statement Source'!AA:AA)/1000</f>
        <v>0.95155000000000001</v>
      </c>
      <c r="Z85" s="20">
        <f>SUMIF('Income Statement Source'!$C:$C,'1.1 Adjusted Income Stmt'!$AR85,'Income Statement Source'!AB:AB)/1000</f>
        <v>0.87422</v>
      </c>
      <c r="AA85" s="20">
        <f>SUMIF('Income Statement Source'!$C:$C,'1.1 Adjusted Income Stmt'!$AR85,'Income Statement Source'!AC:AC)/1000</f>
        <v>0.85490999999999995</v>
      </c>
      <c r="AB85" s="20">
        <f>SUMIF('Income Statement Source'!$C:$C,'1.1 Adjusted Income Stmt'!$AR85,'Income Statement Source'!AD:AD)/1000</f>
        <v>0.93611999999999995</v>
      </c>
      <c r="AC85" s="20">
        <f>SUMIF('Income Statement Source'!$C:$C,'1.1 Adjusted Income Stmt'!$AR85,'Income Statement Source'!AE:AE)/1000</f>
        <v>0.85699999999999998</v>
      </c>
      <c r="AD85" s="22">
        <f t="shared" ref="AD85:AD92" si="61">SUM(R85:AC85)</f>
        <v>10.683520000000001</v>
      </c>
      <c r="AE85" s="20">
        <f>SUMIF('Income Statement Source'!$C:$C,'1.1 Adjusted Income Stmt'!$AR85,'Income Statement Source'!AG:AG)/1000</f>
        <v>0.84021000000000001</v>
      </c>
      <c r="AF85" s="20">
        <f>SUMIF('Income Statement Source'!$C:$C,'1.1 Adjusted Income Stmt'!$AR85,'Income Statement Source'!AH:AH)/1000</f>
        <v>0.92209000000000008</v>
      </c>
      <c r="AG85" s="20">
        <f>SUMIF('Income Statement Source'!$C:$C,'1.1 Adjusted Income Stmt'!$AR85,'Income Statement Source'!AI:AI)/1000</f>
        <v>0.95108999999999999</v>
      </c>
      <c r="AH85" s="20">
        <f>SUMIF('Income Statement Source'!$C:$C,'1.1 Adjusted Income Stmt'!$AR85,'Income Statement Source'!AJ:AJ)/1000</f>
        <v>0.85953000000000002</v>
      </c>
      <c r="AI85" s="20">
        <f>SUMIF('Income Statement Source'!$C:$C,'1.1 Adjusted Income Stmt'!$AR85,'Income Statement Source'!AK:AK)/1000</f>
        <v>0.95420000000000005</v>
      </c>
      <c r="AJ85" s="20">
        <f>SUMIF('Income Statement Source'!$C:$C,'1.1 Adjusted Income Stmt'!$AR85,'Income Statement Source'!AL:AL)/1000</f>
        <v>0.83484000000000003</v>
      </c>
      <c r="AK85" s="20">
        <f>SUMIF('Income Statement Source'!$C:$C,'1.1 Adjusted Income Stmt'!$AR85,'Income Statement Source'!AM:AM)/1000</f>
        <v>0.86563999999999997</v>
      </c>
      <c r="AL85" s="20">
        <f>SUMIF('Income Statement Source'!$C:$C,'1.1 Adjusted Income Stmt'!$AR85,'Income Statement Source'!AN:AN)/1000</f>
        <v>0.86397000000000002</v>
      </c>
      <c r="AM85" s="20">
        <f>SUMIF('Income Statement Source'!$C:$C,'1.1 Adjusted Income Stmt'!$AR85,'Income Statement Source'!AO:AO)/1000</f>
        <v>0.87863999999999998</v>
      </c>
      <c r="AN85" s="20">
        <f>SUMIF('Income Statement Source'!$C:$C,'1.1 Adjusted Income Stmt'!$AR85,'Income Statement Source'!AP:AP)/1000</f>
        <v>0.91394000000000009</v>
      </c>
      <c r="AO85" s="22">
        <f t="shared" ref="AO85:AO92" si="62">SUM(AE85:AN85)</f>
        <v>8.88415</v>
      </c>
      <c r="AP85" s="22">
        <f t="shared" ref="AP85:AP92" si="63">SUM(AO85,AB85:AC85)</f>
        <v>10.67727</v>
      </c>
      <c r="AR85" s="53" t="s">
        <v>45</v>
      </c>
    </row>
    <row r="86" spans="2:44" hidden="1" outlineLevel="1" x14ac:dyDescent="0.2">
      <c r="B86" s="30" t="str">
        <f t="shared" si="59"/>
        <v>Licenses &amp; Permits</v>
      </c>
      <c r="E86" s="20">
        <f>SUMIF('Income Statement Source'!$C:$C,'1.1 Adjusted Income Stmt'!$AR86,'Income Statement Source'!G:G)/1000</f>
        <v>0.38181999999999999</v>
      </c>
      <c r="F86" s="20">
        <f>SUMIF('Income Statement Source'!$C:$C,'1.1 Adjusted Income Stmt'!$AR86,'Income Statement Source'!H:H)/1000</f>
        <v>0.33844999999999997</v>
      </c>
      <c r="G86" s="20">
        <f>SUMIF('Income Statement Source'!$C:$C,'1.1 Adjusted Income Stmt'!$AR86,'Income Statement Source'!I:I)/1000</f>
        <v>0.35331000000000001</v>
      </c>
      <c r="H86" s="20">
        <f>SUMIF('Income Statement Source'!$C:$C,'1.1 Adjusted Income Stmt'!$AR86,'Income Statement Source'!J:J)/1000</f>
        <v>0.30820999999999998</v>
      </c>
      <c r="I86" s="20">
        <f>SUMIF('Income Statement Source'!$C:$C,'1.1 Adjusted Income Stmt'!$AR86,'Income Statement Source'!K:K)/1000</f>
        <v>0.32221</v>
      </c>
      <c r="J86" s="20">
        <f>SUMIF('Income Statement Source'!$C:$C,'1.1 Adjusted Income Stmt'!$AR86,'Income Statement Source'!L:L)/1000</f>
        <v>0.39350000000000002</v>
      </c>
      <c r="K86" s="20">
        <f>SUMIF('Income Statement Source'!$C:$C,'1.1 Adjusted Income Stmt'!$AR86,'Income Statement Source'!M:M)/1000</f>
        <v>0.32785000000000003</v>
      </c>
      <c r="L86" s="20">
        <f>SUMIF('Income Statement Source'!$C:$C,'1.1 Adjusted Income Stmt'!$AR86,'Income Statement Source'!N:N)/1000</f>
        <v>0.39250000000000002</v>
      </c>
      <c r="M86" s="20">
        <f>SUMIF('Income Statement Source'!$C:$C,'1.1 Adjusted Income Stmt'!$AR86,'Income Statement Source'!O:O)/1000</f>
        <v>0.37639999999999996</v>
      </c>
      <c r="N86" s="20">
        <f>SUMIF('Income Statement Source'!$C:$C,'1.1 Adjusted Income Stmt'!$AR86,'Income Statement Source'!P:P)/1000</f>
        <v>0.32901999999999998</v>
      </c>
      <c r="O86" s="20">
        <f>SUMIF('Income Statement Source'!$C:$C,'1.1 Adjusted Income Stmt'!$AR86,'Income Statement Source'!Q:Q)/1000</f>
        <v>0.31827999999999995</v>
      </c>
      <c r="P86" s="20">
        <f>SUMIF('Income Statement Source'!$C:$C,'1.1 Adjusted Income Stmt'!$AR86,'Income Statement Source'!R:R)/1000</f>
        <v>0.39638999999999996</v>
      </c>
      <c r="Q86" s="22">
        <f t="shared" si="60"/>
        <v>4.23794</v>
      </c>
      <c r="R86" s="20">
        <f>SUMIF('Income Statement Source'!$C:$C,'1.1 Adjusted Income Stmt'!$AR86,'Income Statement Source'!T:T)/1000</f>
        <v>0.39195999999999998</v>
      </c>
      <c r="S86" s="20">
        <f>SUMIF('Income Statement Source'!$C:$C,'1.1 Adjusted Income Stmt'!$AR86,'Income Statement Source'!U:U)/1000</f>
        <v>0.34997</v>
      </c>
      <c r="T86" s="20">
        <f>SUMIF('Income Statement Source'!$C:$C,'1.1 Adjusted Income Stmt'!$AR86,'Income Statement Source'!V:V)/1000</f>
        <v>0.40022000000000002</v>
      </c>
      <c r="U86" s="20">
        <f>SUMIF('Income Statement Source'!$C:$C,'1.1 Adjusted Income Stmt'!$AR86,'Income Statement Source'!W:W)/1000</f>
        <v>0.34367000000000003</v>
      </c>
      <c r="V86" s="20">
        <f>SUMIF('Income Statement Source'!$C:$C,'1.1 Adjusted Income Stmt'!$AR86,'Income Statement Source'!X:X)/1000</f>
        <v>0.33326999999999996</v>
      </c>
      <c r="W86" s="20">
        <f>SUMIF('Income Statement Source'!$C:$C,'1.1 Adjusted Income Stmt'!$AR86,'Income Statement Source'!Y:Y)/1000</f>
        <v>0.38301999999999997</v>
      </c>
      <c r="X86" s="20">
        <f>SUMIF('Income Statement Source'!$C:$C,'1.1 Adjusted Income Stmt'!$AR86,'Income Statement Source'!Z:Z)/1000</f>
        <v>0.33744000000000002</v>
      </c>
      <c r="Y86" s="20">
        <f>SUMIF('Income Statement Source'!$C:$C,'1.1 Adjusted Income Stmt'!$AR86,'Income Statement Source'!AA:AA)/1000</f>
        <v>0.37530000000000002</v>
      </c>
      <c r="Z86" s="20">
        <f>SUMIF('Income Statement Source'!$C:$C,'1.1 Adjusted Income Stmt'!$AR86,'Income Statement Source'!AB:AB)/1000</f>
        <v>0.30313999999999997</v>
      </c>
      <c r="AA86" s="20">
        <f>SUMIF('Income Statement Source'!$C:$C,'1.1 Adjusted Income Stmt'!$AR86,'Income Statement Source'!AC:AC)/1000</f>
        <v>0.36713999999999997</v>
      </c>
      <c r="AB86" s="20">
        <f>SUMIF('Income Statement Source'!$C:$C,'1.1 Adjusted Income Stmt'!$AR86,'Income Statement Source'!AD:AD)/1000</f>
        <v>0.38732</v>
      </c>
      <c r="AC86" s="20">
        <f>SUMIF('Income Statement Source'!$C:$C,'1.1 Adjusted Income Stmt'!$AR86,'Income Statement Source'!AE:AE)/1000</f>
        <v>0.31195000000000001</v>
      </c>
      <c r="AD86" s="22">
        <f t="shared" si="61"/>
        <v>4.2843999999999998</v>
      </c>
      <c r="AE86" s="20">
        <f>SUMIF('Income Statement Source'!$C:$C,'1.1 Adjusted Income Stmt'!$AR86,'Income Statement Source'!AG:AG)/1000</f>
        <v>0.38844999999999996</v>
      </c>
      <c r="AF86" s="20">
        <f>SUMIF('Income Statement Source'!$C:$C,'1.1 Adjusted Income Stmt'!$AR86,'Income Statement Source'!AH:AH)/1000</f>
        <v>0.30980000000000002</v>
      </c>
      <c r="AG86" s="20">
        <f>SUMIF('Income Statement Source'!$C:$C,'1.1 Adjusted Income Stmt'!$AR86,'Income Statement Source'!AI:AI)/1000</f>
        <v>0.32974000000000003</v>
      </c>
      <c r="AH86" s="20">
        <f>SUMIF('Income Statement Source'!$C:$C,'1.1 Adjusted Income Stmt'!$AR86,'Income Statement Source'!AJ:AJ)/1000</f>
        <v>0.35299000000000003</v>
      </c>
      <c r="AI86" s="20">
        <f>SUMIF('Income Statement Source'!$C:$C,'1.1 Adjusted Income Stmt'!$AR86,'Income Statement Source'!AK:AK)/1000</f>
        <v>0.32306999999999997</v>
      </c>
      <c r="AJ86" s="20">
        <f>SUMIF('Income Statement Source'!$C:$C,'1.1 Adjusted Income Stmt'!$AR86,'Income Statement Source'!AL:AL)/1000</f>
        <v>0.35145999999999999</v>
      </c>
      <c r="AK86" s="20">
        <f>SUMIF('Income Statement Source'!$C:$C,'1.1 Adjusted Income Stmt'!$AR86,'Income Statement Source'!AM:AM)/1000</f>
        <v>0.37348999999999999</v>
      </c>
      <c r="AL86" s="20">
        <f>SUMIF('Income Statement Source'!$C:$C,'1.1 Adjusted Income Stmt'!$AR86,'Income Statement Source'!AN:AN)/1000</f>
        <v>0.37891000000000002</v>
      </c>
      <c r="AM86" s="20">
        <f>SUMIF('Income Statement Source'!$C:$C,'1.1 Adjusted Income Stmt'!$AR86,'Income Statement Source'!AO:AO)/1000</f>
        <v>0.34783999999999998</v>
      </c>
      <c r="AN86" s="20">
        <f>SUMIF('Income Statement Source'!$C:$C,'1.1 Adjusted Income Stmt'!$AR86,'Income Statement Source'!AP:AP)/1000</f>
        <v>0.33967000000000003</v>
      </c>
      <c r="AO86" s="22">
        <f t="shared" si="62"/>
        <v>3.4954199999999997</v>
      </c>
      <c r="AP86" s="22">
        <f t="shared" si="63"/>
        <v>4.1946899999999996</v>
      </c>
      <c r="AR86" s="53" t="s">
        <v>48</v>
      </c>
    </row>
    <row r="87" spans="2:44" hidden="1" outlineLevel="1" x14ac:dyDescent="0.2">
      <c r="B87" s="30" t="str">
        <f t="shared" si="59"/>
        <v>Advertising &amp; Marketing</v>
      </c>
      <c r="E87" s="20">
        <f>SUMIF('Income Statement Source'!$C:$C,'1.1 Adjusted Income Stmt'!$AR87,'Income Statement Source'!G:G)/1000</f>
        <v>1.7324300000000001</v>
      </c>
      <c r="F87" s="20">
        <f>SUMIF('Income Statement Source'!$C:$C,'1.1 Adjusted Income Stmt'!$AR87,'Income Statement Source'!H:H)/1000</f>
        <v>2.0247000000000002</v>
      </c>
      <c r="G87" s="20">
        <f>SUMIF('Income Statement Source'!$C:$C,'1.1 Adjusted Income Stmt'!$AR87,'Income Statement Source'!I:I)/1000</f>
        <v>1.85216</v>
      </c>
      <c r="H87" s="20">
        <f>SUMIF('Income Statement Source'!$C:$C,'1.1 Adjusted Income Stmt'!$AR87,'Income Statement Source'!J:J)/1000</f>
        <v>1.6924300000000001</v>
      </c>
      <c r="I87" s="20">
        <f>SUMIF('Income Statement Source'!$C:$C,'1.1 Adjusted Income Stmt'!$AR87,'Income Statement Source'!K:K)/1000</f>
        <v>1.8791800000000001</v>
      </c>
      <c r="J87" s="20">
        <f>SUMIF('Income Statement Source'!$C:$C,'1.1 Adjusted Income Stmt'!$AR87,'Income Statement Source'!L:L)/1000</f>
        <v>1.7120799999999998</v>
      </c>
      <c r="K87" s="20">
        <f>SUMIF('Income Statement Source'!$C:$C,'1.1 Adjusted Income Stmt'!$AR87,'Income Statement Source'!M:M)/1000</f>
        <v>1.65886</v>
      </c>
      <c r="L87" s="20">
        <f>SUMIF('Income Statement Source'!$C:$C,'1.1 Adjusted Income Stmt'!$AR87,'Income Statement Source'!N:N)/1000</f>
        <v>1.9972099999999999</v>
      </c>
      <c r="M87" s="20">
        <f>SUMIF('Income Statement Source'!$C:$C,'1.1 Adjusted Income Stmt'!$AR87,'Income Statement Source'!O:O)/1000</f>
        <v>1.5602499999999999</v>
      </c>
      <c r="N87" s="20">
        <f>SUMIF('Income Statement Source'!$C:$C,'1.1 Adjusted Income Stmt'!$AR87,'Income Statement Source'!P:P)/1000</f>
        <v>2.0728800000000001</v>
      </c>
      <c r="O87" s="20">
        <f>SUMIF('Income Statement Source'!$C:$C,'1.1 Adjusted Income Stmt'!$AR87,'Income Statement Source'!Q:Q)/1000</f>
        <v>1.72837</v>
      </c>
      <c r="P87" s="20">
        <f>SUMIF('Income Statement Source'!$C:$C,'1.1 Adjusted Income Stmt'!$AR87,'Income Statement Source'!R:R)/1000</f>
        <v>1.4898699999999998</v>
      </c>
      <c r="Q87" s="22">
        <f t="shared" si="60"/>
        <v>21.40042</v>
      </c>
      <c r="R87" s="20">
        <f>SUMIF('Income Statement Source'!$C:$C,'1.1 Adjusted Income Stmt'!$AR87,'Income Statement Source'!T:T)/1000</f>
        <v>1.9813399999999999</v>
      </c>
      <c r="S87" s="20">
        <f>SUMIF('Income Statement Source'!$C:$C,'1.1 Adjusted Income Stmt'!$AR87,'Income Statement Source'!U:U)/1000</f>
        <v>1.7866</v>
      </c>
      <c r="T87" s="20">
        <f>SUMIF('Income Statement Source'!$C:$C,'1.1 Adjusted Income Stmt'!$AR87,'Income Statement Source'!V:V)/1000</f>
        <v>1.8029200000000001</v>
      </c>
      <c r="U87" s="20">
        <f>SUMIF('Income Statement Source'!$C:$C,'1.1 Adjusted Income Stmt'!$AR87,'Income Statement Source'!W:W)/1000</f>
        <v>1.7304600000000001</v>
      </c>
      <c r="V87" s="20">
        <f>SUMIF('Income Statement Source'!$C:$C,'1.1 Adjusted Income Stmt'!$AR87,'Income Statement Source'!X:X)/1000</f>
        <v>2.0158499999999999</v>
      </c>
      <c r="W87" s="20">
        <f>SUMIF('Income Statement Source'!$C:$C,'1.1 Adjusted Income Stmt'!$AR87,'Income Statement Source'!Y:Y)/1000</f>
        <v>1.6489100000000001</v>
      </c>
      <c r="X87" s="20">
        <f>SUMIF('Income Statement Source'!$C:$C,'1.1 Adjusted Income Stmt'!$AR87,'Income Statement Source'!Z:Z)/1000</f>
        <v>1.9358499999999998</v>
      </c>
      <c r="Y87" s="20">
        <f>SUMIF('Income Statement Source'!$C:$C,'1.1 Adjusted Income Stmt'!$AR87,'Income Statement Source'!AA:AA)/1000</f>
        <v>1.5027900000000001</v>
      </c>
      <c r="Z87" s="20">
        <f>SUMIF('Income Statement Source'!$C:$C,'1.1 Adjusted Income Stmt'!$AR87,'Income Statement Source'!AB:AB)/1000</f>
        <v>1.5264500000000001</v>
      </c>
      <c r="AA87" s="20">
        <f>SUMIF('Income Statement Source'!$C:$C,'1.1 Adjusted Income Stmt'!$AR87,'Income Statement Source'!AC:AC)/1000</f>
        <v>1.5839400000000001</v>
      </c>
      <c r="AB87" s="20">
        <f>SUMIF('Income Statement Source'!$C:$C,'1.1 Adjusted Income Stmt'!$AR87,'Income Statement Source'!AD:AD)/1000</f>
        <v>1.7261500000000001</v>
      </c>
      <c r="AC87" s="20">
        <f>SUMIF('Income Statement Source'!$C:$C,'1.1 Adjusted Income Stmt'!$AR87,'Income Statement Source'!AE:AE)/1000</f>
        <v>1.82209</v>
      </c>
      <c r="AD87" s="22">
        <f t="shared" si="61"/>
        <v>21.06335</v>
      </c>
      <c r="AE87" s="20">
        <f>SUMIF('Income Statement Source'!$C:$C,'1.1 Adjusted Income Stmt'!$AR87,'Income Statement Source'!AG:AG)/1000</f>
        <v>1.58904</v>
      </c>
      <c r="AF87" s="20">
        <f>SUMIF('Income Statement Source'!$C:$C,'1.1 Adjusted Income Stmt'!$AR87,'Income Statement Source'!AH:AH)/1000</f>
        <v>1.8451600000000001</v>
      </c>
      <c r="AG87" s="20">
        <f>SUMIF('Income Statement Source'!$C:$C,'1.1 Adjusted Income Stmt'!$AR87,'Income Statement Source'!AI:AI)/1000</f>
        <v>2.0616500000000002</v>
      </c>
      <c r="AH87" s="20">
        <f>SUMIF('Income Statement Source'!$C:$C,'1.1 Adjusted Income Stmt'!$AR87,'Income Statement Source'!AJ:AJ)/1000</f>
        <v>1.6584300000000001</v>
      </c>
      <c r="AI87" s="20">
        <f>SUMIF('Income Statement Source'!$C:$C,'1.1 Adjusted Income Stmt'!$AR87,'Income Statement Source'!AK:AK)/1000</f>
        <v>1.9757499999999999</v>
      </c>
      <c r="AJ87" s="20">
        <f>SUMIF('Income Statement Source'!$C:$C,'1.1 Adjusted Income Stmt'!$AR87,'Income Statement Source'!AL:AL)/1000</f>
        <v>1.5146300000000001</v>
      </c>
      <c r="AK87" s="20">
        <f>SUMIF('Income Statement Source'!$C:$C,'1.1 Adjusted Income Stmt'!$AR87,'Income Statement Source'!AM:AM)/1000</f>
        <v>1.98973</v>
      </c>
      <c r="AL87" s="20">
        <f>SUMIF('Income Statement Source'!$C:$C,'1.1 Adjusted Income Stmt'!$AR87,'Income Statement Source'!AN:AN)/1000</f>
        <v>1.97723</v>
      </c>
      <c r="AM87" s="20">
        <f>SUMIF('Income Statement Source'!$C:$C,'1.1 Adjusted Income Stmt'!$AR87,'Income Statement Source'!AO:AO)/1000</f>
        <v>1.5851500000000001</v>
      </c>
      <c r="AN87" s="20">
        <f>SUMIF('Income Statement Source'!$C:$C,'1.1 Adjusted Income Stmt'!$AR87,'Income Statement Source'!AP:AP)/1000</f>
        <v>1.7056300000000002</v>
      </c>
      <c r="AO87" s="22">
        <f t="shared" si="62"/>
        <v>17.9024</v>
      </c>
      <c r="AP87" s="22">
        <f t="shared" si="63"/>
        <v>21.45064</v>
      </c>
      <c r="AR87" s="53" t="s">
        <v>49</v>
      </c>
    </row>
    <row r="88" spans="2:44" hidden="1" outlineLevel="1" x14ac:dyDescent="0.2">
      <c r="B88" s="30" t="str">
        <f t="shared" si="59"/>
        <v>Bank Fees &amp; Charges</v>
      </c>
      <c r="E88" s="20">
        <f>SUMIF('Income Statement Source'!$C:$C,'1.1 Adjusted Income Stmt'!$AR88,'Income Statement Source'!G:G)/1000</f>
        <v>0.27582999999999996</v>
      </c>
      <c r="F88" s="20">
        <f>SUMIF('Income Statement Source'!$C:$C,'1.1 Adjusted Income Stmt'!$AR88,'Income Statement Source'!H:H)/1000</f>
        <v>0.30187999999999998</v>
      </c>
      <c r="G88" s="20">
        <f>SUMIF('Income Statement Source'!$C:$C,'1.1 Adjusted Income Stmt'!$AR88,'Income Statement Source'!I:I)/1000</f>
        <v>0.30227999999999999</v>
      </c>
      <c r="H88" s="20">
        <f>SUMIF('Income Statement Source'!$C:$C,'1.1 Adjusted Income Stmt'!$AR88,'Income Statement Source'!J:J)/1000</f>
        <v>0.28605000000000003</v>
      </c>
      <c r="I88" s="20">
        <f>SUMIF('Income Statement Source'!$C:$C,'1.1 Adjusted Income Stmt'!$AR88,'Income Statement Source'!K:K)/1000</f>
        <v>0.26465</v>
      </c>
      <c r="J88" s="20">
        <f>SUMIF('Income Statement Source'!$C:$C,'1.1 Adjusted Income Stmt'!$AR88,'Income Statement Source'!L:L)/1000</f>
        <v>0.26922000000000001</v>
      </c>
      <c r="K88" s="20">
        <f>SUMIF('Income Statement Source'!$C:$C,'1.1 Adjusted Income Stmt'!$AR88,'Income Statement Source'!M:M)/1000</f>
        <v>0.29402</v>
      </c>
      <c r="L88" s="20">
        <f>SUMIF('Income Statement Source'!$C:$C,'1.1 Adjusted Income Stmt'!$AR88,'Income Statement Source'!N:N)/1000</f>
        <v>0.28761000000000003</v>
      </c>
      <c r="M88" s="20">
        <f>SUMIF('Income Statement Source'!$C:$C,'1.1 Adjusted Income Stmt'!$AR88,'Income Statement Source'!O:O)/1000</f>
        <v>0.28282999999999997</v>
      </c>
      <c r="N88" s="20">
        <f>SUMIF('Income Statement Source'!$C:$C,'1.1 Adjusted Income Stmt'!$AR88,'Income Statement Source'!P:P)/1000</f>
        <v>0.30581999999999998</v>
      </c>
      <c r="O88" s="20">
        <f>SUMIF('Income Statement Source'!$C:$C,'1.1 Adjusted Income Stmt'!$AR88,'Income Statement Source'!Q:Q)/1000</f>
        <v>0.26872000000000001</v>
      </c>
      <c r="P88" s="20">
        <f>SUMIF('Income Statement Source'!$C:$C,'1.1 Adjusted Income Stmt'!$AR88,'Income Statement Source'!R:R)/1000</f>
        <v>0.28573000000000004</v>
      </c>
      <c r="Q88" s="22">
        <f t="shared" si="60"/>
        <v>3.4246400000000001</v>
      </c>
      <c r="R88" s="20">
        <f>SUMIF('Income Statement Source'!$C:$C,'1.1 Adjusted Income Stmt'!$AR88,'Income Statement Source'!T:T)/1000</f>
        <v>0.30775999999999998</v>
      </c>
      <c r="S88" s="20">
        <f>SUMIF('Income Statement Source'!$C:$C,'1.1 Adjusted Income Stmt'!$AR88,'Income Statement Source'!U:U)/1000</f>
        <v>0.25660000000000005</v>
      </c>
      <c r="T88" s="20">
        <f>SUMIF('Income Statement Source'!$C:$C,'1.1 Adjusted Income Stmt'!$AR88,'Income Statement Source'!V:V)/1000</f>
        <v>0.27591000000000004</v>
      </c>
      <c r="U88" s="20">
        <f>SUMIF('Income Statement Source'!$C:$C,'1.1 Adjusted Income Stmt'!$AR88,'Income Statement Source'!W:W)/1000</f>
        <v>0.25916</v>
      </c>
      <c r="V88" s="20">
        <f>SUMIF('Income Statement Source'!$C:$C,'1.1 Adjusted Income Stmt'!$AR88,'Income Statement Source'!X:X)/1000</f>
        <v>0.29777999999999999</v>
      </c>
      <c r="W88" s="20">
        <f>SUMIF('Income Statement Source'!$C:$C,'1.1 Adjusted Income Stmt'!$AR88,'Income Statement Source'!Y:Y)/1000</f>
        <v>0.27501999999999999</v>
      </c>
      <c r="X88" s="20">
        <f>SUMIF('Income Statement Source'!$C:$C,'1.1 Adjusted Income Stmt'!$AR88,'Income Statement Source'!Z:Z)/1000</f>
        <v>0.27239999999999998</v>
      </c>
      <c r="Y88" s="20">
        <f>SUMIF('Income Statement Source'!$C:$C,'1.1 Adjusted Income Stmt'!$AR88,'Income Statement Source'!AA:AA)/1000</f>
        <v>0.27504000000000001</v>
      </c>
      <c r="Z88" s="20">
        <f>SUMIF('Income Statement Source'!$C:$C,'1.1 Adjusted Income Stmt'!$AR88,'Income Statement Source'!AB:AB)/1000</f>
        <v>0.30572000000000005</v>
      </c>
      <c r="AA88" s="20">
        <f>SUMIF('Income Statement Source'!$C:$C,'1.1 Adjusted Income Stmt'!$AR88,'Income Statement Source'!AC:AC)/1000</f>
        <v>0.30120999999999998</v>
      </c>
      <c r="AB88" s="20">
        <f>SUMIF('Income Statement Source'!$C:$C,'1.1 Adjusted Income Stmt'!$AR88,'Income Statement Source'!AD:AD)/1000</f>
        <v>0.30768000000000001</v>
      </c>
      <c r="AC88" s="20">
        <f>SUMIF('Income Statement Source'!$C:$C,'1.1 Adjusted Income Stmt'!$AR88,'Income Statement Source'!AE:AE)/1000</f>
        <v>0.29666999999999999</v>
      </c>
      <c r="AD88" s="22">
        <f t="shared" si="61"/>
        <v>3.4309500000000002</v>
      </c>
      <c r="AE88" s="20">
        <f>SUMIF('Income Statement Source'!$C:$C,'1.1 Adjusted Income Stmt'!$AR88,'Income Statement Source'!AG:AG)/1000</f>
        <v>0.30168</v>
      </c>
      <c r="AF88" s="20">
        <f>SUMIF('Income Statement Source'!$C:$C,'1.1 Adjusted Income Stmt'!$AR88,'Income Statement Source'!AH:AH)/1000</f>
        <v>0.30564999999999998</v>
      </c>
      <c r="AG88" s="20">
        <f>SUMIF('Income Statement Source'!$C:$C,'1.1 Adjusted Income Stmt'!$AR88,'Income Statement Source'!AI:AI)/1000</f>
        <v>0.29719000000000001</v>
      </c>
      <c r="AH88" s="20">
        <f>SUMIF('Income Statement Source'!$C:$C,'1.1 Adjusted Income Stmt'!$AR88,'Income Statement Source'!AJ:AJ)/1000</f>
        <v>0.30151999999999995</v>
      </c>
      <c r="AI88" s="20">
        <f>SUMIF('Income Statement Source'!$C:$C,'1.1 Adjusted Income Stmt'!$AR88,'Income Statement Source'!AK:AK)/1000</f>
        <v>0.26688999999999996</v>
      </c>
      <c r="AJ88" s="20">
        <f>SUMIF('Income Statement Source'!$C:$C,'1.1 Adjusted Income Stmt'!$AR88,'Income Statement Source'!AL:AL)/1000</f>
        <v>0.25224999999999997</v>
      </c>
      <c r="AK88" s="20">
        <f>SUMIF('Income Statement Source'!$C:$C,'1.1 Adjusted Income Stmt'!$AR88,'Income Statement Source'!AM:AM)/1000</f>
        <v>0.25897000000000003</v>
      </c>
      <c r="AL88" s="20">
        <f>SUMIF('Income Statement Source'!$C:$C,'1.1 Adjusted Income Stmt'!$AR88,'Income Statement Source'!AN:AN)/1000</f>
        <v>0.2833</v>
      </c>
      <c r="AM88" s="20">
        <f>SUMIF('Income Statement Source'!$C:$C,'1.1 Adjusted Income Stmt'!$AR88,'Income Statement Source'!AO:AO)/1000</f>
        <v>0.30147000000000002</v>
      </c>
      <c r="AN88" s="20">
        <f>SUMIF('Income Statement Source'!$C:$C,'1.1 Adjusted Income Stmt'!$AR88,'Income Statement Source'!AP:AP)/1000</f>
        <v>0.26323000000000002</v>
      </c>
      <c r="AO88" s="22">
        <f t="shared" si="62"/>
        <v>2.8321500000000004</v>
      </c>
      <c r="AP88" s="22">
        <f t="shared" si="63"/>
        <v>3.4365000000000006</v>
      </c>
      <c r="AR88" s="53" t="s">
        <v>50</v>
      </c>
    </row>
    <row r="89" spans="2:44" hidden="1" outlineLevel="1" x14ac:dyDescent="0.2">
      <c r="B89" s="30" t="str">
        <f t="shared" si="59"/>
        <v>Meals &amp; Entertainment</v>
      </c>
      <c r="E89" s="20">
        <f>SUMIF('Income Statement Source'!$C:$C,'1.1 Adjusted Income Stmt'!$AR89,'Income Statement Source'!G:G)/1000</f>
        <v>0.58289999999999997</v>
      </c>
      <c r="F89" s="20">
        <f>SUMIF('Income Statement Source'!$C:$C,'1.1 Adjusted Income Stmt'!$AR89,'Income Statement Source'!H:H)/1000</f>
        <v>0.67110000000000003</v>
      </c>
      <c r="G89" s="20">
        <f>SUMIF('Income Statement Source'!$C:$C,'1.1 Adjusted Income Stmt'!$AR89,'Income Statement Source'!I:I)/1000</f>
        <v>0.69820000000000004</v>
      </c>
      <c r="H89" s="20">
        <f>SUMIF('Income Statement Source'!$C:$C,'1.1 Adjusted Income Stmt'!$AR89,'Income Statement Source'!J:J)/1000</f>
        <v>0.67986999999999997</v>
      </c>
      <c r="I89" s="20">
        <f>SUMIF('Income Statement Source'!$C:$C,'1.1 Adjusted Income Stmt'!$AR89,'Income Statement Source'!K:K)/1000</f>
        <v>0.70922000000000007</v>
      </c>
      <c r="J89" s="20">
        <f>SUMIF('Income Statement Source'!$C:$C,'1.1 Adjusted Income Stmt'!$AR89,'Income Statement Source'!L:L)/1000</f>
        <v>0.67915999999999999</v>
      </c>
      <c r="K89" s="20">
        <f>SUMIF('Income Statement Source'!$C:$C,'1.1 Adjusted Income Stmt'!$AR89,'Income Statement Source'!M:M)/1000</f>
        <v>0.69216999999999995</v>
      </c>
      <c r="L89" s="20">
        <f>SUMIF('Income Statement Source'!$C:$C,'1.1 Adjusted Income Stmt'!$AR89,'Income Statement Source'!N:N)/1000</f>
        <v>0.71521000000000001</v>
      </c>
      <c r="M89" s="20">
        <f>SUMIF('Income Statement Source'!$C:$C,'1.1 Adjusted Income Stmt'!$AR89,'Income Statement Source'!O:O)/1000</f>
        <v>0.73026000000000002</v>
      </c>
      <c r="N89" s="20">
        <f>SUMIF('Income Statement Source'!$C:$C,'1.1 Adjusted Income Stmt'!$AR89,'Income Statement Source'!P:P)/1000</f>
        <v>0.70401999999999998</v>
      </c>
      <c r="O89" s="20">
        <f>SUMIF('Income Statement Source'!$C:$C,'1.1 Adjusted Income Stmt'!$AR89,'Income Statement Source'!Q:Q)/1000</f>
        <v>0.63375999999999999</v>
      </c>
      <c r="P89" s="20">
        <f>SUMIF('Income Statement Source'!$C:$C,'1.1 Adjusted Income Stmt'!$AR89,'Income Statement Source'!R:R)/1000</f>
        <v>0.72690999999999995</v>
      </c>
      <c r="Q89" s="22">
        <f t="shared" si="60"/>
        <v>8.2227800000000002</v>
      </c>
      <c r="R89" s="20">
        <f>SUMIF('Income Statement Source'!$C:$C,'1.1 Adjusted Income Stmt'!$AR89,'Income Statement Source'!T:T)/1000</f>
        <v>0.73623000000000005</v>
      </c>
      <c r="S89" s="20">
        <f>SUMIF('Income Statement Source'!$C:$C,'1.1 Adjusted Income Stmt'!$AR89,'Income Statement Source'!U:U)/1000</f>
        <v>0.62241999999999997</v>
      </c>
      <c r="T89" s="20">
        <f>SUMIF('Income Statement Source'!$C:$C,'1.1 Adjusted Income Stmt'!$AR89,'Income Statement Source'!V:V)/1000</f>
        <v>0.69140999999999997</v>
      </c>
      <c r="U89" s="20">
        <f>SUMIF('Income Statement Source'!$C:$C,'1.1 Adjusted Income Stmt'!$AR89,'Income Statement Source'!W:W)/1000</f>
        <v>0.73296000000000006</v>
      </c>
      <c r="V89" s="20">
        <f>SUMIF('Income Statement Source'!$C:$C,'1.1 Adjusted Income Stmt'!$AR89,'Income Statement Source'!X:X)/1000</f>
        <v>0.55257000000000001</v>
      </c>
      <c r="W89" s="20">
        <f>SUMIF('Income Statement Source'!$C:$C,'1.1 Adjusted Income Stmt'!$AR89,'Income Statement Source'!Y:Y)/1000</f>
        <v>0.62148000000000003</v>
      </c>
      <c r="X89" s="20">
        <f>SUMIF('Income Statement Source'!$C:$C,'1.1 Adjusted Income Stmt'!$AR89,'Income Statement Source'!Z:Z)/1000</f>
        <v>0.74709000000000003</v>
      </c>
      <c r="Y89" s="20">
        <f>SUMIF('Income Statement Source'!$C:$C,'1.1 Adjusted Income Stmt'!$AR89,'Income Statement Source'!AA:AA)/1000</f>
        <v>0.68764000000000003</v>
      </c>
      <c r="Z89" s="20">
        <f>SUMIF('Income Statement Source'!$C:$C,'1.1 Adjusted Income Stmt'!$AR89,'Income Statement Source'!AB:AB)/1000</f>
        <v>0.64415</v>
      </c>
      <c r="AA89" s="20">
        <f>SUMIF('Income Statement Source'!$C:$C,'1.1 Adjusted Income Stmt'!$AR89,'Income Statement Source'!AC:AC)/1000</f>
        <v>0.59289000000000003</v>
      </c>
      <c r="AB89" s="20">
        <f>SUMIF('Income Statement Source'!$C:$C,'1.1 Adjusted Income Stmt'!$AR89,'Income Statement Source'!AD:AD)/1000</f>
        <v>0.70984999999999998</v>
      </c>
      <c r="AC89" s="20">
        <f>SUMIF('Income Statement Source'!$C:$C,'1.1 Adjusted Income Stmt'!$AR89,'Income Statement Source'!AE:AE)/1000</f>
        <v>0.64310999999999996</v>
      </c>
      <c r="AD89" s="22">
        <f t="shared" si="61"/>
        <v>7.9817999999999998</v>
      </c>
      <c r="AE89" s="20">
        <f>SUMIF('Income Statement Source'!$C:$C,'1.1 Adjusted Income Stmt'!$AR89,'Income Statement Source'!AG:AG)/1000</f>
        <v>0.57491999999999999</v>
      </c>
      <c r="AF89" s="20">
        <f>SUMIF('Income Statement Source'!$C:$C,'1.1 Adjusted Income Stmt'!$AR89,'Income Statement Source'!AH:AH)/1000</f>
        <v>0.71435999999999999</v>
      </c>
      <c r="AG89" s="20">
        <f>SUMIF('Income Statement Source'!$C:$C,'1.1 Adjusted Income Stmt'!$AR89,'Income Statement Source'!AI:AI)/1000</f>
        <v>0.72236999999999996</v>
      </c>
      <c r="AH89" s="20">
        <f>SUMIF('Income Statement Source'!$C:$C,'1.1 Adjusted Income Stmt'!$AR89,'Income Statement Source'!AJ:AJ)/1000</f>
        <v>0.68159000000000003</v>
      </c>
      <c r="AI89" s="20">
        <f>SUMIF('Income Statement Source'!$C:$C,'1.1 Adjusted Income Stmt'!$AR89,'Income Statement Source'!AK:AK)/1000</f>
        <v>0.58496000000000004</v>
      </c>
      <c r="AJ89" s="20">
        <f>SUMIF('Income Statement Source'!$C:$C,'1.1 Adjusted Income Stmt'!$AR89,'Income Statement Source'!AL:AL)/1000</f>
        <v>0.62612000000000001</v>
      </c>
      <c r="AK89" s="20">
        <f>SUMIF('Income Statement Source'!$C:$C,'1.1 Adjusted Income Stmt'!$AR89,'Income Statement Source'!AM:AM)/1000</f>
        <v>0.5881900000000001</v>
      </c>
      <c r="AL89" s="20">
        <f>SUMIF('Income Statement Source'!$C:$C,'1.1 Adjusted Income Stmt'!$AR89,'Income Statement Source'!AN:AN)/1000</f>
        <v>0.72182000000000002</v>
      </c>
      <c r="AM89" s="20">
        <f>SUMIF('Income Statement Source'!$C:$C,'1.1 Adjusted Income Stmt'!$AR89,'Income Statement Source'!AO:AO)/1000</f>
        <v>0.56904999999999994</v>
      </c>
      <c r="AN89" s="20">
        <f>SUMIF('Income Statement Source'!$C:$C,'1.1 Adjusted Income Stmt'!$AR89,'Income Statement Source'!AP:AP)/1000</f>
        <v>0.60929</v>
      </c>
      <c r="AO89" s="22">
        <f t="shared" si="62"/>
        <v>6.3926699999999999</v>
      </c>
      <c r="AP89" s="22">
        <f t="shared" si="63"/>
        <v>7.7456300000000002</v>
      </c>
      <c r="AR89" s="53" t="s">
        <v>51</v>
      </c>
    </row>
    <row r="90" spans="2:44" hidden="1" outlineLevel="1" x14ac:dyDescent="0.2">
      <c r="B90" s="30" t="str">
        <f t="shared" si="59"/>
        <v>Training &amp; Education</v>
      </c>
      <c r="E90" s="20">
        <f>SUMIF('Income Statement Source'!$C:$C,'1.1 Adjusted Income Stmt'!$AR90,'Income Statement Source'!G:G)/1000</f>
        <v>0.47972000000000004</v>
      </c>
      <c r="F90" s="20">
        <f>SUMIF('Income Statement Source'!$C:$C,'1.1 Adjusted Income Stmt'!$AR90,'Income Statement Source'!H:H)/1000</f>
        <v>0.36898000000000003</v>
      </c>
      <c r="G90" s="20">
        <f>SUMIF('Income Statement Source'!$C:$C,'1.1 Adjusted Income Stmt'!$AR90,'Income Statement Source'!I:I)/1000</f>
        <v>0.44345000000000001</v>
      </c>
      <c r="H90" s="20">
        <f>SUMIF('Income Statement Source'!$C:$C,'1.1 Adjusted Income Stmt'!$AR90,'Income Statement Source'!J:J)/1000</f>
        <v>0.41960000000000003</v>
      </c>
      <c r="I90" s="20">
        <f>SUMIF('Income Statement Source'!$C:$C,'1.1 Adjusted Income Stmt'!$AR90,'Income Statement Source'!K:K)/1000</f>
        <v>0.41008</v>
      </c>
      <c r="J90" s="20">
        <f>SUMIF('Income Statement Source'!$C:$C,'1.1 Adjusted Income Stmt'!$AR90,'Income Statement Source'!L:L)/1000</f>
        <v>0.46962999999999999</v>
      </c>
      <c r="K90" s="20">
        <f>SUMIF('Income Statement Source'!$C:$C,'1.1 Adjusted Income Stmt'!$AR90,'Income Statement Source'!M:M)/1000</f>
        <v>0.38048000000000004</v>
      </c>
      <c r="L90" s="20">
        <f>SUMIF('Income Statement Source'!$C:$C,'1.1 Adjusted Income Stmt'!$AR90,'Income Statement Source'!N:N)/1000</f>
        <v>0.36828</v>
      </c>
      <c r="M90" s="20">
        <f>SUMIF('Income Statement Source'!$C:$C,'1.1 Adjusted Income Stmt'!$AR90,'Income Statement Source'!O:O)/1000</f>
        <v>0.35897000000000001</v>
      </c>
      <c r="N90" s="20">
        <f>SUMIF('Income Statement Source'!$C:$C,'1.1 Adjusted Income Stmt'!$AR90,'Income Statement Source'!P:P)/1000</f>
        <v>0.43486999999999998</v>
      </c>
      <c r="O90" s="20">
        <f>SUMIF('Income Statement Source'!$C:$C,'1.1 Adjusted Income Stmt'!$AR90,'Income Statement Source'!Q:Q)/1000</f>
        <v>0.49741000000000002</v>
      </c>
      <c r="P90" s="20">
        <f>SUMIF('Income Statement Source'!$C:$C,'1.1 Adjusted Income Stmt'!$AR90,'Income Statement Source'!R:R)/1000</f>
        <v>0.48925000000000002</v>
      </c>
      <c r="Q90" s="22">
        <f t="shared" si="60"/>
        <v>5.1207200000000004</v>
      </c>
      <c r="R90" s="20">
        <f>SUMIF('Income Statement Source'!$C:$C,'1.1 Adjusted Income Stmt'!$AR90,'Income Statement Source'!T:T)/1000</f>
        <v>0.40044999999999997</v>
      </c>
      <c r="S90" s="20">
        <f>SUMIF('Income Statement Source'!$C:$C,'1.1 Adjusted Income Stmt'!$AR90,'Income Statement Source'!U:U)/1000</f>
        <v>0.44830999999999999</v>
      </c>
      <c r="T90" s="20">
        <f>SUMIF('Income Statement Source'!$C:$C,'1.1 Adjusted Income Stmt'!$AR90,'Income Statement Source'!V:V)/1000</f>
        <v>0.40944999999999998</v>
      </c>
      <c r="U90" s="20">
        <f>SUMIF('Income Statement Source'!$C:$C,'1.1 Adjusted Income Stmt'!$AR90,'Income Statement Source'!W:W)/1000</f>
        <v>0.32956999999999997</v>
      </c>
      <c r="V90" s="20">
        <f>SUMIF('Income Statement Source'!$C:$C,'1.1 Adjusted Income Stmt'!$AR90,'Income Statement Source'!X:X)/1000</f>
        <v>0.51224000000000003</v>
      </c>
      <c r="W90" s="20">
        <f>SUMIF('Income Statement Source'!$C:$C,'1.1 Adjusted Income Stmt'!$AR90,'Income Statement Source'!Y:Y)/1000</f>
        <v>0.40300999999999998</v>
      </c>
      <c r="X90" s="20">
        <f>SUMIF('Income Statement Source'!$C:$C,'1.1 Adjusted Income Stmt'!$AR90,'Income Statement Source'!Z:Z)/1000</f>
        <v>0.41002</v>
      </c>
      <c r="Y90" s="20">
        <f>SUMIF('Income Statement Source'!$C:$C,'1.1 Adjusted Income Stmt'!$AR90,'Income Statement Source'!AA:AA)/1000</f>
        <v>0.46026</v>
      </c>
      <c r="Z90" s="20">
        <f>SUMIF('Income Statement Source'!$C:$C,'1.1 Adjusted Income Stmt'!$AR90,'Income Statement Source'!AB:AB)/1000</f>
        <v>0.42083999999999999</v>
      </c>
      <c r="AA90" s="20">
        <f>SUMIF('Income Statement Source'!$C:$C,'1.1 Adjusted Income Stmt'!$AR90,'Income Statement Source'!AC:AC)/1000</f>
        <v>0.39106000000000002</v>
      </c>
      <c r="AB90" s="20">
        <f>SUMIF('Income Statement Source'!$C:$C,'1.1 Adjusted Income Stmt'!$AR90,'Income Statement Source'!AD:AD)/1000</f>
        <v>0.43663000000000002</v>
      </c>
      <c r="AC90" s="20">
        <f>SUMIF('Income Statement Source'!$C:$C,'1.1 Adjusted Income Stmt'!$AR90,'Income Statement Source'!AE:AE)/1000</f>
        <v>0.43779000000000001</v>
      </c>
      <c r="AD90" s="22">
        <f t="shared" si="61"/>
        <v>5.0596299999999994</v>
      </c>
      <c r="AE90" s="20">
        <f>SUMIF('Income Statement Source'!$C:$C,'1.1 Adjusted Income Stmt'!$AR90,'Income Statement Source'!AG:AG)/1000</f>
        <v>0.47817000000000004</v>
      </c>
      <c r="AF90" s="20">
        <f>SUMIF('Income Statement Source'!$C:$C,'1.1 Adjusted Income Stmt'!$AR90,'Income Statement Source'!AH:AH)/1000</f>
        <v>0.36648000000000003</v>
      </c>
      <c r="AG90" s="20">
        <f>SUMIF('Income Statement Source'!$C:$C,'1.1 Adjusted Income Stmt'!$AR90,'Income Statement Source'!AI:AI)/1000</f>
        <v>0.51645000000000008</v>
      </c>
      <c r="AH90" s="20">
        <f>SUMIF('Income Statement Source'!$C:$C,'1.1 Adjusted Income Stmt'!$AR90,'Income Statement Source'!AJ:AJ)/1000</f>
        <v>0.41800999999999999</v>
      </c>
      <c r="AI90" s="20">
        <f>SUMIF('Income Statement Source'!$C:$C,'1.1 Adjusted Income Stmt'!$AR90,'Income Statement Source'!AK:AK)/1000</f>
        <v>0.40777999999999998</v>
      </c>
      <c r="AJ90" s="20">
        <f>SUMIF('Income Statement Source'!$C:$C,'1.1 Adjusted Income Stmt'!$AR90,'Income Statement Source'!AL:AL)/1000</f>
        <v>0.43768000000000001</v>
      </c>
      <c r="AK90" s="20">
        <f>SUMIF('Income Statement Source'!$C:$C,'1.1 Adjusted Income Stmt'!$AR90,'Income Statement Source'!AM:AM)/1000</f>
        <v>0.50000999999999995</v>
      </c>
      <c r="AL90" s="20">
        <f>SUMIF('Income Statement Source'!$C:$C,'1.1 Adjusted Income Stmt'!$AR90,'Income Statement Source'!AN:AN)/1000</f>
        <v>0.48143000000000002</v>
      </c>
      <c r="AM90" s="20">
        <f>SUMIF('Income Statement Source'!$C:$C,'1.1 Adjusted Income Stmt'!$AR90,'Income Statement Source'!AO:AO)/1000</f>
        <v>0.45516000000000001</v>
      </c>
      <c r="AN90" s="20">
        <f>SUMIF('Income Statement Source'!$C:$C,'1.1 Adjusted Income Stmt'!$AR90,'Income Statement Source'!AP:AP)/1000</f>
        <v>0.44148999999999999</v>
      </c>
      <c r="AO90" s="22">
        <f t="shared" si="62"/>
        <v>4.5026599999999997</v>
      </c>
      <c r="AP90" s="22">
        <f t="shared" si="63"/>
        <v>5.3770799999999994</v>
      </c>
      <c r="AR90" s="53" t="s">
        <v>52</v>
      </c>
    </row>
    <row r="91" spans="2:44" hidden="1" outlineLevel="1" x14ac:dyDescent="0.2">
      <c r="B91" s="30" t="str">
        <f t="shared" si="59"/>
        <v>Dues &amp; Subscriptions</v>
      </c>
      <c r="E91" s="20">
        <f>SUMIF('Income Statement Source'!$C:$C,'1.1 Adjusted Income Stmt'!$AR91,'Income Statement Source'!G:G)/1000</f>
        <v>0.36695999999999995</v>
      </c>
      <c r="F91" s="20">
        <f>SUMIF('Income Statement Source'!$C:$C,'1.1 Adjusted Income Stmt'!$AR91,'Income Statement Source'!H:H)/1000</f>
        <v>0.37002999999999997</v>
      </c>
      <c r="G91" s="20">
        <f>SUMIF('Income Statement Source'!$C:$C,'1.1 Adjusted Income Stmt'!$AR91,'Income Statement Source'!I:I)/1000</f>
        <v>0.35619000000000001</v>
      </c>
      <c r="H91" s="20">
        <f>SUMIF('Income Statement Source'!$C:$C,'1.1 Adjusted Income Stmt'!$AR91,'Income Statement Source'!J:J)/1000</f>
        <v>0.38763999999999998</v>
      </c>
      <c r="I91" s="20">
        <f>SUMIF('Income Statement Source'!$C:$C,'1.1 Adjusted Income Stmt'!$AR91,'Income Statement Source'!K:K)/1000</f>
        <v>0.38204000000000005</v>
      </c>
      <c r="J91" s="20">
        <f>SUMIF('Income Statement Source'!$C:$C,'1.1 Adjusted Income Stmt'!$AR91,'Income Statement Source'!L:L)/1000</f>
        <v>0.36981999999999998</v>
      </c>
      <c r="K91" s="20">
        <f>SUMIF('Income Statement Source'!$C:$C,'1.1 Adjusted Income Stmt'!$AR91,'Income Statement Source'!M:M)/1000</f>
        <v>0.3609</v>
      </c>
      <c r="L91" s="20">
        <f>SUMIF('Income Statement Source'!$C:$C,'1.1 Adjusted Income Stmt'!$AR91,'Income Statement Source'!N:N)/1000</f>
        <v>0.38280000000000003</v>
      </c>
      <c r="M91" s="20">
        <f>SUMIF('Income Statement Source'!$C:$C,'1.1 Adjusted Income Stmt'!$AR91,'Income Statement Source'!O:O)/1000</f>
        <v>0.38242999999999999</v>
      </c>
      <c r="N91" s="20">
        <f>SUMIF('Income Statement Source'!$C:$C,'1.1 Adjusted Income Stmt'!$AR91,'Income Statement Source'!P:P)/1000</f>
        <v>0.35482999999999998</v>
      </c>
      <c r="O91" s="20">
        <f>SUMIF('Income Statement Source'!$C:$C,'1.1 Adjusted Income Stmt'!$AR91,'Income Statement Source'!Q:Q)/1000</f>
        <v>0.35192000000000001</v>
      </c>
      <c r="P91" s="20">
        <f>SUMIF('Income Statement Source'!$C:$C,'1.1 Adjusted Income Stmt'!$AR91,'Income Statement Source'!R:R)/1000</f>
        <v>0.38120999999999999</v>
      </c>
      <c r="Q91" s="22">
        <f t="shared" si="60"/>
        <v>4.4467699999999999</v>
      </c>
      <c r="R91" s="20">
        <f>SUMIF('Income Statement Source'!$C:$C,'1.1 Adjusted Income Stmt'!$AR91,'Income Statement Source'!T:T)/1000</f>
        <v>0.38336000000000003</v>
      </c>
      <c r="S91" s="20">
        <f>SUMIF('Income Statement Source'!$C:$C,'1.1 Adjusted Income Stmt'!$AR91,'Income Statement Source'!U:U)/1000</f>
        <v>0.35246</v>
      </c>
      <c r="T91" s="20">
        <f>SUMIF('Income Statement Source'!$C:$C,'1.1 Adjusted Income Stmt'!$AR91,'Income Statement Source'!V:V)/1000</f>
        <v>0.36895999999999995</v>
      </c>
      <c r="U91" s="20">
        <f>SUMIF('Income Statement Source'!$C:$C,'1.1 Adjusted Income Stmt'!$AR91,'Income Statement Source'!W:W)/1000</f>
        <v>0.39415</v>
      </c>
      <c r="V91" s="20">
        <f>SUMIF('Income Statement Source'!$C:$C,'1.1 Adjusted Income Stmt'!$AR91,'Income Statement Source'!X:X)/1000</f>
        <v>0.37863999999999998</v>
      </c>
      <c r="W91" s="20">
        <f>SUMIF('Income Statement Source'!$C:$C,'1.1 Adjusted Income Stmt'!$AR91,'Income Statement Source'!Y:Y)/1000</f>
        <v>0.38451999999999997</v>
      </c>
      <c r="X91" s="20">
        <f>SUMIF('Income Statement Source'!$C:$C,'1.1 Adjusted Income Stmt'!$AR91,'Income Statement Source'!Z:Z)/1000</f>
        <v>0.39624999999999999</v>
      </c>
      <c r="Y91" s="20">
        <f>SUMIF('Income Statement Source'!$C:$C,'1.1 Adjusted Income Stmt'!$AR91,'Income Statement Source'!AA:AA)/1000</f>
        <v>0.35857</v>
      </c>
      <c r="Z91" s="20">
        <f>SUMIF('Income Statement Source'!$C:$C,'1.1 Adjusted Income Stmt'!$AR91,'Income Statement Source'!AB:AB)/1000</f>
        <v>0.39232999999999996</v>
      </c>
      <c r="AA91" s="20">
        <f>SUMIF('Income Statement Source'!$C:$C,'1.1 Adjusted Income Stmt'!$AR91,'Income Statement Source'!AC:AC)/1000</f>
        <v>0.35161999999999999</v>
      </c>
      <c r="AB91" s="20">
        <f>SUMIF('Income Statement Source'!$C:$C,'1.1 Adjusted Income Stmt'!$AR91,'Income Statement Source'!AD:AD)/1000</f>
        <v>0.36310000000000003</v>
      </c>
      <c r="AC91" s="20">
        <f>SUMIF('Income Statement Source'!$C:$C,'1.1 Adjusted Income Stmt'!$AR91,'Income Statement Source'!AE:AE)/1000</f>
        <v>0.38023000000000001</v>
      </c>
      <c r="AD91" s="22">
        <f t="shared" si="61"/>
        <v>4.5041899999999995</v>
      </c>
      <c r="AE91" s="20">
        <f>SUMIF('Income Statement Source'!$C:$C,'1.1 Adjusted Income Stmt'!$AR91,'Income Statement Source'!AG:AG)/1000</f>
        <v>0.35881000000000002</v>
      </c>
      <c r="AF91" s="20">
        <f>SUMIF('Income Statement Source'!$C:$C,'1.1 Adjusted Income Stmt'!$AR91,'Income Statement Source'!AH:AH)/1000</f>
        <v>0.37037999999999999</v>
      </c>
      <c r="AG91" s="20">
        <f>SUMIF('Income Statement Source'!$C:$C,'1.1 Adjusted Income Stmt'!$AR91,'Income Statement Source'!AI:AI)/1000</f>
        <v>0.36745999999999995</v>
      </c>
      <c r="AH91" s="20">
        <f>SUMIF('Income Statement Source'!$C:$C,'1.1 Adjusted Income Stmt'!$AR91,'Income Statement Source'!AJ:AJ)/1000</f>
        <v>0.36083999999999999</v>
      </c>
      <c r="AI91" s="20">
        <f>SUMIF('Income Statement Source'!$C:$C,'1.1 Adjusted Income Stmt'!$AR91,'Income Statement Source'!AK:AK)/1000</f>
        <v>0.36679</v>
      </c>
      <c r="AJ91" s="20">
        <f>SUMIF('Income Statement Source'!$C:$C,'1.1 Adjusted Income Stmt'!$AR91,'Income Statement Source'!AL:AL)/1000</f>
        <v>0.38480000000000003</v>
      </c>
      <c r="AK91" s="20">
        <f>SUMIF('Income Statement Source'!$C:$C,'1.1 Adjusted Income Stmt'!$AR91,'Income Statement Source'!AM:AM)/1000</f>
        <v>0.40038999999999997</v>
      </c>
      <c r="AL91" s="20">
        <f>SUMIF('Income Statement Source'!$C:$C,'1.1 Adjusted Income Stmt'!$AR91,'Income Statement Source'!AN:AN)/1000</f>
        <v>0.38672000000000001</v>
      </c>
      <c r="AM91" s="20">
        <f>SUMIF('Income Statement Source'!$C:$C,'1.1 Adjusted Income Stmt'!$AR91,'Income Statement Source'!AO:AO)/1000</f>
        <v>0.36336000000000002</v>
      </c>
      <c r="AN91" s="20">
        <f>SUMIF('Income Statement Source'!$C:$C,'1.1 Adjusted Income Stmt'!$AR91,'Income Statement Source'!AP:AP)/1000</f>
        <v>0.38768000000000002</v>
      </c>
      <c r="AO91" s="22">
        <f t="shared" si="62"/>
        <v>3.7472300000000001</v>
      </c>
      <c r="AP91" s="22">
        <f t="shared" si="63"/>
        <v>4.4905600000000003</v>
      </c>
      <c r="AR91" s="53" t="s">
        <v>53</v>
      </c>
    </row>
    <row r="92" spans="2:44" hidden="1" outlineLevel="1" x14ac:dyDescent="0.2">
      <c r="B92" s="30" t="str">
        <f t="shared" si="59"/>
        <v>Equipment Maintenance</v>
      </c>
      <c r="E92" s="31">
        <f>SUMIF('Income Statement Source'!$C:$C,'1.1 Adjusted Income Stmt'!$AR92,'Income Statement Source'!G:G)/1000</f>
        <v>0.61363999999999996</v>
      </c>
      <c r="F92" s="31">
        <f>SUMIF('Income Statement Source'!$C:$C,'1.1 Adjusted Income Stmt'!$AR92,'Income Statement Source'!H:H)/1000</f>
        <v>0.53395000000000004</v>
      </c>
      <c r="G92" s="31">
        <f>SUMIF('Income Statement Source'!$C:$C,'1.1 Adjusted Income Stmt'!$AR92,'Income Statement Source'!I:I)/1000</f>
        <v>0.54035</v>
      </c>
      <c r="H92" s="31">
        <f>SUMIF('Income Statement Source'!$C:$C,'1.1 Adjusted Income Stmt'!$AR92,'Income Statement Source'!J:J)/1000</f>
        <v>0.59007000000000009</v>
      </c>
      <c r="I92" s="31">
        <f>SUMIF('Income Statement Source'!$C:$C,'1.1 Adjusted Income Stmt'!$AR92,'Income Statement Source'!K:K)/1000</f>
        <v>0.49986999999999998</v>
      </c>
      <c r="J92" s="31">
        <f>SUMIF('Income Statement Source'!$C:$C,'1.1 Adjusted Income Stmt'!$AR92,'Income Statement Source'!L:L)/1000</f>
        <v>0.56913000000000002</v>
      </c>
      <c r="K92" s="31">
        <f>SUMIF('Income Statement Source'!$C:$C,'1.1 Adjusted Income Stmt'!$AR92,'Income Statement Source'!M:M)/1000</f>
        <v>0.51236999999999999</v>
      </c>
      <c r="L92" s="31">
        <f>SUMIF('Income Statement Source'!$C:$C,'1.1 Adjusted Income Stmt'!$AR92,'Income Statement Source'!N:N)/1000</f>
        <v>0.56028999999999995</v>
      </c>
      <c r="M92" s="31">
        <f>SUMIF('Income Statement Source'!$C:$C,'1.1 Adjusted Income Stmt'!$AR92,'Income Statement Source'!O:O)/1000</f>
        <v>0.57574000000000003</v>
      </c>
      <c r="N92" s="31">
        <f>SUMIF('Income Statement Source'!$C:$C,'1.1 Adjusted Income Stmt'!$AR92,'Income Statement Source'!P:P)/1000</f>
        <v>0.56520000000000004</v>
      </c>
      <c r="O92" s="31">
        <f>SUMIF('Income Statement Source'!$C:$C,'1.1 Adjusted Income Stmt'!$AR92,'Income Statement Source'!Q:Q)/1000</f>
        <v>0.60729</v>
      </c>
      <c r="P92" s="31">
        <f>SUMIF('Income Statement Source'!$C:$C,'1.1 Adjusted Income Stmt'!$AR92,'Income Statement Source'!R:R)/1000</f>
        <v>0.56467000000000001</v>
      </c>
      <c r="Q92" s="32">
        <f t="shared" si="60"/>
        <v>6.7325699999999991</v>
      </c>
      <c r="R92" s="31">
        <f>SUMIF('Income Statement Source'!$C:$C,'1.1 Adjusted Income Stmt'!$AR92,'Income Statement Source'!T:T)/1000</f>
        <v>0.51988000000000001</v>
      </c>
      <c r="S92" s="31">
        <f>SUMIF('Income Statement Source'!$C:$C,'1.1 Adjusted Income Stmt'!$AR92,'Income Statement Source'!U:U)/1000</f>
        <v>0.52454999999999996</v>
      </c>
      <c r="T92" s="31">
        <f>SUMIF('Income Statement Source'!$C:$C,'1.1 Adjusted Income Stmt'!$AR92,'Income Statement Source'!V:V)/1000</f>
        <v>0.58396999999999999</v>
      </c>
      <c r="U92" s="31">
        <f>SUMIF('Income Statement Source'!$C:$C,'1.1 Adjusted Income Stmt'!$AR92,'Income Statement Source'!W:W)/1000</f>
        <v>0.50251999999999997</v>
      </c>
      <c r="V92" s="31">
        <f>SUMIF('Income Statement Source'!$C:$C,'1.1 Adjusted Income Stmt'!$AR92,'Income Statement Source'!X:X)/1000</f>
        <v>0.57769000000000004</v>
      </c>
      <c r="W92" s="31">
        <f>SUMIF('Income Statement Source'!$C:$C,'1.1 Adjusted Income Stmt'!$AR92,'Income Statement Source'!Y:Y)/1000</f>
        <v>0.52625999999999995</v>
      </c>
      <c r="X92" s="31">
        <f>SUMIF('Income Statement Source'!$C:$C,'1.1 Adjusted Income Stmt'!$AR92,'Income Statement Source'!Z:Z)/1000</f>
        <v>0.60214000000000001</v>
      </c>
      <c r="Y92" s="31">
        <f>SUMIF('Income Statement Source'!$C:$C,'1.1 Adjusted Income Stmt'!$AR92,'Income Statement Source'!AA:AA)/1000</f>
        <v>0.50544999999999995</v>
      </c>
      <c r="Z92" s="31">
        <f>SUMIF('Income Statement Source'!$C:$C,'1.1 Adjusted Income Stmt'!$AR92,'Income Statement Source'!AB:AB)/1000</f>
        <v>0.53977999999999993</v>
      </c>
      <c r="AA92" s="31">
        <f>SUMIF('Income Statement Source'!$C:$C,'1.1 Adjusted Income Stmt'!$AR92,'Income Statement Source'!AC:AC)/1000</f>
        <v>0.54583999999999999</v>
      </c>
      <c r="AB92" s="31">
        <f>SUMIF('Income Statement Source'!$C:$C,'1.1 Adjusted Income Stmt'!$AR92,'Income Statement Source'!AD:AD)/1000</f>
        <v>0.56380999999999992</v>
      </c>
      <c r="AC92" s="31">
        <f>SUMIF('Income Statement Source'!$C:$C,'1.1 Adjusted Income Stmt'!$AR92,'Income Statement Source'!AE:AE)/1000</f>
        <v>0.50112000000000001</v>
      </c>
      <c r="AD92" s="32">
        <f t="shared" si="61"/>
        <v>6.4930099999999999</v>
      </c>
      <c r="AE92" s="31">
        <f>SUMIF('Income Statement Source'!$C:$C,'1.1 Adjusted Income Stmt'!$AR92,'Income Statement Source'!AG:AG)/1000</f>
        <v>0.60470000000000002</v>
      </c>
      <c r="AF92" s="31">
        <f>SUMIF('Income Statement Source'!$C:$C,'1.1 Adjusted Income Stmt'!$AR92,'Income Statement Source'!AH:AH)/1000</f>
        <v>0.49936000000000003</v>
      </c>
      <c r="AG92" s="31">
        <f>SUMIF('Income Statement Source'!$C:$C,'1.1 Adjusted Income Stmt'!$AR92,'Income Statement Source'!AI:AI)/1000</f>
        <v>0.61956</v>
      </c>
      <c r="AH92" s="31">
        <f>SUMIF('Income Statement Source'!$C:$C,'1.1 Adjusted Income Stmt'!$AR92,'Income Statement Source'!AJ:AJ)/1000</f>
        <v>0.57586999999999999</v>
      </c>
      <c r="AI92" s="31">
        <f>SUMIF('Income Statement Source'!$C:$C,'1.1 Adjusted Income Stmt'!$AR92,'Income Statement Source'!AK:AK)/1000</f>
        <v>0.56549000000000005</v>
      </c>
      <c r="AJ92" s="31">
        <f>SUMIF('Income Statement Source'!$C:$C,'1.1 Adjusted Income Stmt'!$AR92,'Income Statement Source'!AL:AL)/1000</f>
        <v>0.58525000000000005</v>
      </c>
      <c r="AK92" s="31">
        <f>SUMIF('Income Statement Source'!$C:$C,'1.1 Adjusted Income Stmt'!$AR92,'Income Statement Source'!AM:AM)/1000</f>
        <v>0.60804999999999998</v>
      </c>
      <c r="AL92" s="31">
        <f>SUMIF('Income Statement Source'!$C:$C,'1.1 Adjusted Income Stmt'!$AR92,'Income Statement Source'!AN:AN)/1000</f>
        <v>0.58172999999999997</v>
      </c>
      <c r="AM92" s="31">
        <f>SUMIF('Income Statement Source'!$C:$C,'1.1 Adjusted Income Stmt'!$AR92,'Income Statement Source'!AO:AO)/1000</f>
        <v>0.60958000000000001</v>
      </c>
      <c r="AN92" s="31">
        <f>SUMIF('Income Statement Source'!$C:$C,'1.1 Adjusted Income Stmt'!$AR92,'Income Statement Source'!AP:AP)/1000</f>
        <v>0.61317999999999995</v>
      </c>
      <c r="AO92" s="32">
        <f t="shared" si="62"/>
        <v>5.8627700000000003</v>
      </c>
      <c r="AP92" s="32">
        <f t="shared" si="63"/>
        <v>6.9277000000000006</v>
      </c>
      <c r="AR92" s="53" t="s">
        <v>54</v>
      </c>
    </row>
    <row r="93" spans="2:44" collapsed="1" x14ac:dyDescent="0.2">
      <c r="B93" s="29" t="str">
        <f>+B84</f>
        <v>Other</v>
      </c>
      <c r="E93" s="20">
        <f>SUM(E85:E92)</f>
        <v>5.3395999999999999</v>
      </c>
      <c r="F93" s="20">
        <f t="shared" ref="F93:AP93" si="64">SUM(F85:F92)</f>
        <v>5.5422399999999996</v>
      </c>
      <c r="G93" s="20">
        <f t="shared" si="64"/>
        <v>5.4600800000000005</v>
      </c>
      <c r="H93" s="20">
        <f t="shared" si="64"/>
        <v>5.2343899999999994</v>
      </c>
      <c r="I93" s="20">
        <f t="shared" si="64"/>
        <v>5.326039999999999</v>
      </c>
      <c r="J93" s="20">
        <f t="shared" si="64"/>
        <v>5.3541499999999997</v>
      </c>
      <c r="K93" s="20">
        <f t="shared" si="64"/>
        <v>5.0926900000000002</v>
      </c>
      <c r="L93" s="20">
        <f t="shared" si="64"/>
        <v>5.5810399999999998</v>
      </c>
      <c r="M93" s="20">
        <f t="shared" si="64"/>
        <v>5.2158699999999998</v>
      </c>
      <c r="N93" s="20">
        <f t="shared" si="64"/>
        <v>5.6601599999999994</v>
      </c>
      <c r="O93" s="20">
        <f t="shared" si="64"/>
        <v>5.3392900000000001</v>
      </c>
      <c r="P93" s="20">
        <f t="shared" si="64"/>
        <v>5.2568599999999996</v>
      </c>
      <c r="Q93" s="22">
        <f t="shared" si="64"/>
        <v>64.402410000000003</v>
      </c>
      <c r="R93" s="20">
        <f t="shared" si="64"/>
        <v>5.6310099999999998</v>
      </c>
      <c r="S93" s="20">
        <f t="shared" si="64"/>
        <v>5.1749299999999998</v>
      </c>
      <c r="T93" s="20">
        <f t="shared" si="64"/>
        <v>5.3946199999999989</v>
      </c>
      <c r="U93" s="20">
        <f t="shared" si="64"/>
        <v>5.1478899999999994</v>
      </c>
      <c r="V93" s="20">
        <f t="shared" si="64"/>
        <v>5.5174699999999994</v>
      </c>
      <c r="W93" s="20">
        <f t="shared" si="64"/>
        <v>5.18499</v>
      </c>
      <c r="X93" s="20">
        <f t="shared" si="64"/>
        <v>5.6574800000000005</v>
      </c>
      <c r="Y93" s="20">
        <f t="shared" si="64"/>
        <v>5.1166000000000009</v>
      </c>
      <c r="Z93" s="20">
        <f t="shared" si="64"/>
        <v>5.0066299999999995</v>
      </c>
      <c r="AA93" s="20">
        <f t="shared" si="64"/>
        <v>4.9886099999999995</v>
      </c>
      <c r="AB93" s="20">
        <f t="shared" si="64"/>
        <v>5.4306600000000005</v>
      </c>
      <c r="AC93" s="20">
        <f t="shared" si="64"/>
        <v>5.2499599999999997</v>
      </c>
      <c r="AD93" s="22">
        <f t="shared" si="64"/>
        <v>63.50085</v>
      </c>
      <c r="AE93" s="20">
        <f t="shared" si="64"/>
        <v>5.1359800000000009</v>
      </c>
      <c r="AF93" s="20">
        <f t="shared" si="64"/>
        <v>5.3332800000000002</v>
      </c>
      <c r="AG93" s="20">
        <f t="shared" si="64"/>
        <v>5.8655100000000004</v>
      </c>
      <c r="AH93" s="20">
        <f t="shared" si="64"/>
        <v>5.20878</v>
      </c>
      <c r="AI93" s="20">
        <f t="shared" si="64"/>
        <v>5.4449299999999994</v>
      </c>
      <c r="AJ93" s="20">
        <f t="shared" si="64"/>
        <v>4.9870300000000016</v>
      </c>
      <c r="AK93" s="20">
        <f t="shared" si="64"/>
        <v>5.5844699999999996</v>
      </c>
      <c r="AL93" s="20">
        <f t="shared" si="64"/>
        <v>5.6751100000000001</v>
      </c>
      <c r="AM93" s="20">
        <f t="shared" si="64"/>
        <v>5.1102500000000006</v>
      </c>
      <c r="AN93" s="20">
        <f t="shared" si="64"/>
        <v>5.2741100000000003</v>
      </c>
      <c r="AO93" s="22">
        <f t="shared" si="64"/>
        <v>53.619450000000001</v>
      </c>
      <c r="AP93" s="22">
        <f t="shared" si="64"/>
        <v>64.300070000000005</v>
      </c>
    </row>
    <row r="94" spans="2:44" x14ac:dyDescent="0.2">
      <c r="B94" s="25"/>
      <c r="E94" s="47">
        <f>IFERROR(E93/E$19,0)</f>
        <v>1.7826050725674728E-2</v>
      </c>
      <c r="F94" s="47">
        <f t="shared" ref="F94:AP94" si="65">IFERROR(F93/F$19,0)</f>
        <v>2.2545598851248398E-2</v>
      </c>
      <c r="G94" s="47">
        <f t="shared" si="65"/>
        <v>1.842501366073419E-2</v>
      </c>
      <c r="H94" s="47">
        <f t="shared" si="65"/>
        <v>3.1899588814983781E-2</v>
      </c>
      <c r="I94" s="47">
        <f t="shared" si="65"/>
        <v>1.9230674674993523E-2</v>
      </c>
      <c r="J94" s="47">
        <f t="shared" si="65"/>
        <v>1.253624239123299E-2</v>
      </c>
      <c r="K94" s="47">
        <f t="shared" si="65"/>
        <v>2.6760151852795535E-2</v>
      </c>
      <c r="L94" s="47">
        <f t="shared" si="65"/>
        <v>2.2511855700882162E-2</v>
      </c>
      <c r="M94" s="47">
        <f t="shared" si="65"/>
        <v>1.0586466599212339E-2</v>
      </c>
      <c r="N94" s="47">
        <f t="shared" si="65"/>
        <v>2.9399606478224448E-2</v>
      </c>
      <c r="O94" s="47">
        <f t="shared" si="65"/>
        <v>2.1897866492431983E-2</v>
      </c>
      <c r="P94" s="47">
        <f t="shared" si="65"/>
        <v>1.2886219795254655E-2</v>
      </c>
      <c r="Q94" s="48">
        <f t="shared" si="65"/>
        <v>1.8479597030599204E-2</v>
      </c>
      <c r="R94" s="47">
        <f t="shared" si="65"/>
        <v>2.1668089998505859E-2</v>
      </c>
      <c r="S94" s="47">
        <f t="shared" si="65"/>
        <v>1.7470864924641567E-2</v>
      </c>
      <c r="T94" s="47">
        <f t="shared" si="65"/>
        <v>1.1520256079147534E-2</v>
      </c>
      <c r="U94" s="47">
        <f t="shared" si="65"/>
        <v>2.252256874229315E-2</v>
      </c>
      <c r="V94" s="47">
        <f t="shared" si="65"/>
        <v>1.4402130740343778E-2</v>
      </c>
      <c r="W94" s="47">
        <f t="shared" si="65"/>
        <v>9.9176706425569364E-3</v>
      </c>
      <c r="X94" s="47">
        <f t="shared" si="65"/>
        <v>1.2861440749530117E-2</v>
      </c>
      <c r="Y94" s="47">
        <f t="shared" si="65"/>
        <v>1.6221688359190436E-2</v>
      </c>
      <c r="Z94" s="47">
        <f t="shared" si="65"/>
        <v>1.0225703421113031E-2</v>
      </c>
      <c r="AA94" s="47">
        <f t="shared" si="65"/>
        <v>1.4330598729462032E-2</v>
      </c>
      <c r="AB94" s="47">
        <f t="shared" si="65"/>
        <v>1.2825370285731896E-2</v>
      </c>
      <c r="AC94" s="47">
        <f t="shared" si="65"/>
        <v>1.362238071083299E-2</v>
      </c>
      <c r="AD94" s="48">
        <f t="shared" si="65"/>
        <v>1.3923601591017978E-2</v>
      </c>
      <c r="AE94" s="47">
        <f t="shared" si="65"/>
        <v>2.2757648976484739E-2</v>
      </c>
      <c r="AF94" s="47">
        <f t="shared" si="65"/>
        <v>2.3592967023108199E-2</v>
      </c>
      <c r="AG94" s="47">
        <f t="shared" si="65"/>
        <v>1.4377473517434684E-2</v>
      </c>
      <c r="AH94" s="47">
        <f t="shared" si="65"/>
        <v>1.3174454875121637E-2</v>
      </c>
      <c r="AI94" s="47">
        <f t="shared" si="65"/>
        <v>2.0707392325547837E-2</v>
      </c>
      <c r="AJ94" s="47">
        <f t="shared" si="65"/>
        <v>1.2081705797752241E-2</v>
      </c>
      <c r="AK94" s="47">
        <f t="shared" si="65"/>
        <v>1.701110894950493E-2</v>
      </c>
      <c r="AL94" s="47">
        <f t="shared" si="65"/>
        <v>1.523251577315193E-2</v>
      </c>
      <c r="AM94" s="47">
        <f t="shared" si="65"/>
        <v>1.5507938080196777E-2</v>
      </c>
      <c r="AN94" s="47">
        <f t="shared" si="65"/>
        <v>1.3459066341662766E-2</v>
      </c>
      <c r="AO94" s="48">
        <f t="shared" si="65"/>
        <v>1.5991348042472053E-2</v>
      </c>
      <c r="AP94" s="48">
        <f t="shared" si="65"/>
        <v>1.5449869175619399E-2</v>
      </c>
    </row>
    <row r="95" spans="2:44" x14ac:dyDescent="0.2">
      <c r="B95" s="12" t="str">
        <f>+B47</f>
        <v>Operating Expense</v>
      </c>
      <c r="C95" s="13"/>
      <c r="D95" s="13"/>
      <c r="E95" s="42">
        <f t="shared" ref="E95:AP95" si="66">SUM(E56,E62,E70,E77,E82,E93)</f>
        <v>85.830700000000022</v>
      </c>
      <c r="F95" s="42">
        <f t="shared" si="66"/>
        <v>79.119760000000014</v>
      </c>
      <c r="G95" s="42">
        <f t="shared" si="66"/>
        <v>89.332190000000026</v>
      </c>
      <c r="H95" s="42">
        <f t="shared" si="66"/>
        <v>78.818090000000012</v>
      </c>
      <c r="I95" s="42">
        <f t="shared" si="66"/>
        <v>111.22787</v>
      </c>
      <c r="J95" s="42">
        <f t="shared" si="66"/>
        <v>177.48408000000001</v>
      </c>
      <c r="K95" s="42">
        <f t="shared" si="66"/>
        <v>78.526409999999998</v>
      </c>
      <c r="L95" s="42">
        <f t="shared" si="66"/>
        <v>79.264499999999998</v>
      </c>
      <c r="M95" s="42">
        <f t="shared" si="66"/>
        <v>78.844159999999988</v>
      </c>
      <c r="N95" s="42">
        <f t="shared" si="66"/>
        <v>104.31588000000001</v>
      </c>
      <c r="O95" s="42">
        <f t="shared" si="66"/>
        <v>77.217680000000016</v>
      </c>
      <c r="P95" s="42">
        <f t="shared" si="66"/>
        <v>112.42102</v>
      </c>
      <c r="Q95" s="43">
        <f t="shared" si="66"/>
        <v>1152.4023399999999</v>
      </c>
      <c r="R95" s="42">
        <f t="shared" si="66"/>
        <v>85.8262</v>
      </c>
      <c r="S95" s="42">
        <f t="shared" si="66"/>
        <v>77.473429999999993</v>
      </c>
      <c r="T95" s="42">
        <f t="shared" si="66"/>
        <v>78.537290000000013</v>
      </c>
      <c r="U95" s="42">
        <f t="shared" si="66"/>
        <v>78.86797</v>
      </c>
      <c r="V95" s="42">
        <f t="shared" si="66"/>
        <v>112.23542</v>
      </c>
      <c r="W95" s="42">
        <f t="shared" si="66"/>
        <v>78.652860000000004</v>
      </c>
      <c r="X95" s="42">
        <f t="shared" si="66"/>
        <v>78.94462</v>
      </c>
      <c r="Y95" s="42">
        <f t="shared" si="66"/>
        <v>89.675799999999995</v>
      </c>
      <c r="Z95" s="42">
        <f t="shared" si="66"/>
        <v>78.194080000000014</v>
      </c>
      <c r="AA95" s="42">
        <f t="shared" si="66"/>
        <v>154.26481000000004</v>
      </c>
      <c r="AB95" s="42">
        <f t="shared" si="66"/>
        <v>77.262959999999993</v>
      </c>
      <c r="AC95" s="42">
        <f t="shared" si="66"/>
        <v>112.92008999999999</v>
      </c>
      <c r="AD95" s="43">
        <f t="shared" si="66"/>
        <v>1102.8555299999998</v>
      </c>
      <c r="AE95" s="42">
        <f t="shared" si="66"/>
        <v>99.594989999999996</v>
      </c>
      <c r="AF95" s="42">
        <f t="shared" si="66"/>
        <v>80.531679999999994</v>
      </c>
      <c r="AG95" s="42">
        <f t="shared" si="66"/>
        <v>81.085600000000014</v>
      </c>
      <c r="AH95" s="42">
        <f t="shared" si="66"/>
        <v>80.023759999999996</v>
      </c>
      <c r="AI95" s="42">
        <f t="shared" si="66"/>
        <v>112.44242999999999</v>
      </c>
      <c r="AJ95" s="42">
        <f t="shared" si="66"/>
        <v>90.273330000000016</v>
      </c>
      <c r="AK95" s="42">
        <f t="shared" si="66"/>
        <v>79.618020000000001</v>
      </c>
      <c r="AL95" s="42">
        <f t="shared" si="66"/>
        <v>80.819349999999986</v>
      </c>
      <c r="AM95" s="42">
        <f t="shared" si="66"/>
        <v>79.606750000000005</v>
      </c>
      <c r="AN95" s="42">
        <f t="shared" si="66"/>
        <v>106.63928999999999</v>
      </c>
      <c r="AO95" s="43">
        <f t="shared" si="66"/>
        <v>890.63520000000005</v>
      </c>
      <c r="AP95" s="43">
        <f t="shared" si="66"/>
        <v>1080.81825</v>
      </c>
    </row>
    <row r="96" spans="2:44" x14ac:dyDescent="0.2">
      <c r="B96" s="14"/>
      <c r="C96" s="15"/>
      <c r="D96" s="15"/>
      <c r="E96" s="49">
        <f>IFERROR(E95/E$19,0)</f>
        <v>0.2865425147988932</v>
      </c>
      <c r="F96" s="49">
        <f t="shared" ref="F96:AP96" si="67">IFERROR(F95/F$19,0)</f>
        <v>0.32185585073310596</v>
      </c>
      <c r="G96" s="49">
        <f t="shared" si="67"/>
        <v>0.30145104487357371</v>
      </c>
      <c r="H96" s="49">
        <f t="shared" si="67"/>
        <v>0.48033575300701431</v>
      </c>
      <c r="I96" s="49">
        <f t="shared" si="67"/>
        <v>0.40160925993091906</v>
      </c>
      <c r="J96" s="49">
        <f t="shared" si="67"/>
        <v>0.41556240439005021</v>
      </c>
      <c r="K96" s="49">
        <f t="shared" si="67"/>
        <v>0.41262646186099722</v>
      </c>
      <c r="L96" s="49">
        <f t="shared" si="67"/>
        <v>0.31972374077279042</v>
      </c>
      <c r="M96" s="49">
        <f t="shared" si="67"/>
        <v>0.16002719898750417</v>
      </c>
      <c r="N96" s="49">
        <f t="shared" si="67"/>
        <v>0.54183023473359138</v>
      </c>
      <c r="O96" s="49">
        <f t="shared" si="67"/>
        <v>0.31669050519738307</v>
      </c>
      <c r="P96" s="49">
        <f t="shared" si="67"/>
        <v>0.27557933316213851</v>
      </c>
      <c r="Q96" s="50">
        <f t="shared" si="67"/>
        <v>0.33066978177244566</v>
      </c>
      <c r="R96" s="49">
        <f t="shared" si="67"/>
        <v>0.33025866155978478</v>
      </c>
      <c r="S96" s="49">
        <f t="shared" si="67"/>
        <v>0.26155480958750627</v>
      </c>
      <c r="T96" s="49">
        <f t="shared" si="67"/>
        <v>0.16771703893180115</v>
      </c>
      <c r="U96" s="49">
        <f t="shared" si="67"/>
        <v>0.34505579487714655</v>
      </c>
      <c r="V96" s="49">
        <f t="shared" si="67"/>
        <v>0.29296565138322367</v>
      </c>
      <c r="W96" s="49">
        <f t="shared" si="67"/>
        <v>0.15044448698553725</v>
      </c>
      <c r="X96" s="49">
        <f t="shared" si="67"/>
        <v>0.17946887176343004</v>
      </c>
      <c r="Y96" s="49">
        <f t="shared" si="67"/>
        <v>0.2843085019272738</v>
      </c>
      <c r="Z96" s="49">
        <f t="shared" si="67"/>
        <v>0.15970612395299558</v>
      </c>
      <c r="AA96" s="49">
        <f t="shared" si="67"/>
        <v>0.44315091582358668</v>
      </c>
      <c r="AB96" s="49">
        <f t="shared" si="67"/>
        <v>0.18246881067341572</v>
      </c>
      <c r="AC96" s="49">
        <f t="shared" si="67"/>
        <v>0.2930004144567816</v>
      </c>
      <c r="AD96" s="50">
        <f t="shared" si="67"/>
        <v>0.24181914119529069</v>
      </c>
      <c r="AE96" s="49">
        <f t="shared" si="67"/>
        <v>0.4413077586432399</v>
      </c>
      <c r="AF96" s="49">
        <f t="shared" si="67"/>
        <v>0.35625005072966387</v>
      </c>
      <c r="AG96" s="49">
        <f t="shared" si="67"/>
        <v>0.19875612975603177</v>
      </c>
      <c r="AH96" s="49">
        <f t="shared" si="67"/>
        <v>0.20240236966382988</v>
      </c>
      <c r="AI96" s="49">
        <f t="shared" si="67"/>
        <v>0.42762524257390816</v>
      </c>
      <c r="AJ96" s="49">
        <f t="shared" si="67"/>
        <v>0.21869846671132942</v>
      </c>
      <c r="AK96" s="49">
        <f t="shared" si="67"/>
        <v>0.24252808459242553</v>
      </c>
      <c r="AL96" s="49">
        <f t="shared" si="67"/>
        <v>0.21692654832256753</v>
      </c>
      <c r="AM96" s="49">
        <f t="shared" si="67"/>
        <v>0.24158046079266274</v>
      </c>
      <c r="AN96" s="49">
        <f t="shared" si="67"/>
        <v>0.27213411907180823</v>
      </c>
      <c r="AO96" s="50">
        <f t="shared" si="67"/>
        <v>0.265621103201855</v>
      </c>
      <c r="AP96" s="50">
        <f t="shared" si="67"/>
        <v>0.25969646013016628</v>
      </c>
    </row>
    <row r="97" spans="2:44" x14ac:dyDescent="0.2">
      <c r="B97" s="2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2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2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2"/>
      <c r="AP97" s="22"/>
    </row>
    <row r="98" spans="2:44" x14ac:dyDescent="0.2">
      <c r="B98" s="12" t="s">
        <v>73</v>
      </c>
      <c r="C98" s="13"/>
      <c r="D98" s="13"/>
      <c r="E98" s="42">
        <f t="shared" ref="E98:AP98" si="68">+E44-E95</f>
        <v>72.316075387341115</v>
      </c>
      <c r="F98" s="42">
        <f t="shared" si="68"/>
        <v>-12.180742142935202</v>
      </c>
      <c r="G98" s="42">
        <f t="shared" si="68"/>
        <v>71.803301534303387</v>
      </c>
      <c r="H98" s="42">
        <f t="shared" si="68"/>
        <v>-70.88584410109948</v>
      </c>
      <c r="I98" s="42">
        <f t="shared" si="68"/>
        <v>-18.763408237695188</v>
      </c>
      <c r="J98" s="42">
        <f t="shared" si="68"/>
        <v>-45.866881723492668</v>
      </c>
      <c r="K98" s="42">
        <f t="shared" si="68"/>
        <v>-22.297319196926424</v>
      </c>
      <c r="L98" s="42">
        <f t="shared" si="68"/>
        <v>-2.036329470459691</v>
      </c>
      <c r="M98" s="42">
        <f t="shared" si="68"/>
        <v>119.06105543608106</v>
      </c>
      <c r="N98" s="42">
        <f t="shared" si="68"/>
        <v>-42.458574054760291</v>
      </c>
      <c r="O98" s="42">
        <f t="shared" si="68"/>
        <v>26.394700075035232</v>
      </c>
      <c r="P98" s="42">
        <f t="shared" si="68"/>
        <v>92.695176672142594</v>
      </c>
      <c r="Q98" s="43">
        <f t="shared" si="68"/>
        <v>167.7812101775346</v>
      </c>
      <c r="R98" s="42">
        <f t="shared" si="68"/>
        <v>18.599277414414047</v>
      </c>
      <c r="S98" s="42">
        <f t="shared" si="68"/>
        <v>22.566323374940239</v>
      </c>
      <c r="T98" s="42">
        <f t="shared" si="68"/>
        <v>36.799566836606658</v>
      </c>
      <c r="U98" s="42">
        <f t="shared" si="68"/>
        <v>-11.19438305318927</v>
      </c>
      <c r="V98" s="42">
        <f t="shared" si="68"/>
        <v>-12.561147823232176</v>
      </c>
      <c r="W98" s="42">
        <f t="shared" si="68"/>
        <v>120.36432519529026</v>
      </c>
      <c r="X98" s="42">
        <f t="shared" si="68"/>
        <v>-9.107040818095939</v>
      </c>
      <c r="Y98" s="42">
        <f t="shared" si="68"/>
        <v>33.975359495792887</v>
      </c>
      <c r="Z98" s="42">
        <f t="shared" si="68"/>
        <v>111.95819326481674</v>
      </c>
      <c r="AA98" s="42">
        <f t="shared" si="68"/>
        <v>-51.149307431812701</v>
      </c>
      <c r="AB98" s="42">
        <f t="shared" si="68"/>
        <v>60.164569475550735</v>
      </c>
      <c r="AC98" s="42">
        <f t="shared" si="68"/>
        <v>76.703763486576605</v>
      </c>
      <c r="AD98" s="43">
        <f t="shared" si="68"/>
        <v>397.11949941765806</v>
      </c>
      <c r="AE98" s="42">
        <f t="shared" si="68"/>
        <v>-6.4620357084125715</v>
      </c>
      <c r="AF98" s="42">
        <f t="shared" si="68"/>
        <v>-32.141973593357562</v>
      </c>
      <c r="AG98" s="42">
        <f t="shared" si="68"/>
        <v>85.93283935782695</v>
      </c>
      <c r="AH98" s="42">
        <f t="shared" si="68"/>
        <v>24.461489381281226</v>
      </c>
      <c r="AI98" s="42">
        <f t="shared" si="68"/>
        <v>-17.655255983948379</v>
      </c>
      <c r="AJ98" s="42">
        <f t="shared" si="68"/>
        <v>34.07677191917972</v>
      </c>
      <c r="AK98" s="42">
        <f t="shared" si="68"/>
        <v>15.725012518490644</v>
      </c>
      <c r="AL98" s="42">
        <f t="shared" si="68"/>
        <v>2.2789495005820299</v>
      </c>
      <c r="AM98" s="42">
        <f t="shared" si="68"/>
        <v>55.843437471627396</v>
      </c>
      <c r="AN98" s="42">
        <f t="shared" si="68"/>
        <v>58.464961541538344</v>
      </c>
      <c r="AO98" s="43">
        <f t="shared" si="68"/>
        <v>220.52419640480741</v>
      </c>
      <c r="AP98" s="43">
        <f t="shared" si="68"/>
        <v>357.39252936693379</v>
      </c>
    </row>
    <row r="99" spans="2:44" x14ac:dyDescent="0.2">
      <c r="B99" s="14"/>
      <c r="C99" s="15"/>
      <c r="D99" s="15"/>
      <c r="E99" s="49">
        <f>IFERROR(E98/E$19,0)</f>
        <v>0.24142445653915282</v>
      </c>
      <c r="F99" s="49">
        <f t="shared" ref="F99:AP99" si="69">IFERROR(F98/F$19,0)</f>
        <v>-4.9550745919540264E-2</v>
      </c>
      <c r="G99" s="49">
        <f t="shared" si="69"/>
        <v>0.24229989517650949</v>
      </c>
      <c r="H99" s="49">
        <f t="shared" si="69"/>
        <v>-0.43199480352593467</v>
      </c>
      <c r="I99" s="49">
        <f t="shared" si="69"/>
        <v>-6.7748833957914284E-2</v>
      </c>
      <c r="J99" s="49">
        <f t="shared" si="69"/>
        <v>-0.10739302167771139</v>
      </c>
      <c r="K99" s="49">
        <f t="shared" si="69"/>
        <v>-0.11716394432412028</v>
      </c>
      <c r="L99" s="49">
        <f t="shared" si="69"/>
        <v>-8.2138015850885052E-3</v>
      </c>
      <c r="M99" s="49">
        <f t="shared" si="69"/>
        <v>0.24165400722047153</v>
      </c>
      <c r="N99" s="49">
        <f t="shared" si="69"/>
        <v>-0.22053535038523703</v>
      </c>
      <c r="O99" s="49">
        <f t="shared" si="69"/>
        <v>0.10825177473988225</v>
      </c>
      <c r="P99" s="49">
        <f t="shared" si="69"/>
        <v>0.22722507743352333</v>
      </c>
      <c r="Q99" s="50">
        <f t="shared" si="69"/>
        <v>4.8143061003262287E-2</v>
      </c>
      <c r="R99" s="49">
        <f t="shared" si="69"/>
        <v>7.1569898991957204E-2</v>
      </c>
      <c r="S99" s="49">
        <f t="shared" si="69"/>
        <v>7.6185221351663224E-2</v>
      </c>
      <c r="T99" s="49">
        <f t="shared" si="69"/>
        <v>7.8585782420154515E-2</v>
      </c>
      <c r="U99" s="49">
        <f t="shared" si="69"/>
        <v>-4.89766218475952E-2</v>
      </c>
      <c r="V99" s="49">
        <f t="shared" si="69"/>
        <v>-3.2788088235907849E-2</v>
      </c>
      <c r="W99" s="49">
        <f t="shared" si="69"/>
        <v>0.23022874381638275</v>
      </c>
      <c r="X99" s="49">
        <f t="shared" si="69"/>
        <v>-2.0703505073900959E-2</v>
      </c>
      <c r="Y99" s="49">
        <f t="shared" si="69"/>
        <v>0.10771561068526239</v>
      </c>
      <c r="Z99" s="49">
        <f t="shared" si="69"/>
        <v>0.22866704347828193</v>
      </c>
      <c r="AA99" s="49">
        <f t="shared" si="69"/>
        <v>-0.14693475739638859</v>
      </c>
      <c r="AB99" s="49">
        <f t="shared" si="69"/>
        <v>0.14208823266519735</v>
      </c>
      <c r="AC99" s="49">
        <f t="shared" si="69"/>
        <v>0.19902777700550806</v>
      </c>
      <c r="AD99" s="50">
        <f t="shared" si="69"/>
        <v>8.7074955593759246E-2</v>
      </c>
      <c r="AE99" s="49">
        <f t="shared" si="69"/>
        <v>-2.8633433215386968E-2</v>
      </c>
      <c r="AF99" s="49">
        <f t="shared" si="69"/>
        <v>-0.1421872699437681</v>
      </c>
      <c r="AG99" s="49">
        <f t="shared" si="69"/>
        <v>0.21063762948918777</v>
      </c>
      <c r="AH99" s="49">
        <f t="shared" si="69"/>
        <v>6.1869917338024757E-2</v>
      </c>
      <c r="AI99" s="49">
        <f t="shared" si="69"/>
        <v>-6.7143987575156189E-2</v>
      </c>
      <c r="AJ99" s="49">
        <f t="shared" si="69"/>
        <v>8.2555254904148209E-2</v>
      </c>
      <c r="AK99" s="49">
        <f t="shared" si="69"/>
        <v>4.7900678342684848E-2</v>
      </c>
      <c r="AL99" s="49">
        <f t="shared" si="69"/>
        <v>6.1169094896543824E-3</v>
      </c>
      <c r="AM99" s="49">
        <f t="shared" si="69"/>
        <v>0.16946657609614754</v>
      </c>
      <c r="AN99" s="49">
        <f t="shared" si="69"/>
        <v>0.14919745626282477</v>
      </c>
      <c r="AO99" s="50">
        <f t="shared" si="69"/>
        <v>6.5768656271105716E-2</v>
      </c>
      <c r="AP99" s="50">
        <f t="shared" si="69"/>
        <v>8.5873434088996184E-2</v>
      </c>
    </row>
    <row r="100" spans="2:44" x14ac:dyDescent="0.2">
      <c r="B100" s="2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2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2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2"/>
      <c r="AP100" s="22"/>
    </row>
    <row r="101" spans="2:44" hidden="1" outlineLevel="1" x14ac:dyDescent="0.2">
      <c r="B101" s="29" t="s">
        <v>71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2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2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2"/>
      <c r="AP101" s="22"/>
    </row>
    <row r="102" spans="2:44" hidden="1" outlineLevel="1" x14ac:dyDescent="0.2">
      <c r="B102" s="30" t="str">
        <f t="shared" ref="B102:B104" si="70">+AR102</f>
        <v>Depreciation</v>
      </c>
      <c r="E102" s="20">
        <f>SUMIF('Income Statement Source'!$C:$C,'1.1 Adjusted Income Stmt'!$AR102,'Income Statement Source'!G:G)/1000</f>
        <v>3.21286</v>
      </c>
      <c r="F102" s="20">
        <f>SUMIF('Income Statement Source'!$C:$C,'1.1 Adjusted Income Stmt'!$AR102,'Income Statement Source'!H:H)/1000</f>
        <v>3.1923600000000003</v>
      </c>
      <c r="G102" s="20">
        <f>SUMIF('Income Statement Source'!$C:$C,'1.1 Adjusted Income Stmt'!$AR102,'Income Statement Source'!I:I)/1000</f>
        <v>3.2050799999999997</v>
      </c>
      <c r="H102" s="20">
        <f>SUMIF('Income Statement Source'!$C:$C,'1.1 Adjusted Income Stmt'!$AR102,'Income Statement Source'!J:J)/1000</f>
        <v>3.2042199999999998</v>
      </c>
      <c r="I102" s="20">
        <f>SUMIF('Income Statement Source'!$C:$C,'1.1 Adjusted Income Stmt'!$AR102,'Income Statement Source'!K:K)/1000</f>
        <v>3.1792899999999999</v>
      </c>
      <c r="J102" s="20">
        <f>SUMIF('Income Statement Source'!$C:$C,'1.1 Adjusted Income Stmt'!$AR102,'Income Statement Source'!L:L)/1000</f>
        <v>3.1701799999999998</v>
      </c>
      <c r="K102" s="20">
        <f>SUMIF('Income Statement Source'!$C:$C,'1.1 Adjusted Income Stmt'!$AR102,'Income Statement Source'!M:M)/1000</f>
        <v>3.2202899999999999</v>
      </c>
      <c r="L102" s="20">
        <f>SUMIF('Income Statement Source'!$C:$C,'1.1 Adjusted Income Stmt'!$AR102,'Income Statement Source'!N:N)/1000</f>
        <v>3.17381</v>
      </c>
      <c r="M102" s="20">
        <f>SUMIF('Income Statement Source'!$C:$C,'1.1 Adjusted Income Stmt'!$AR102,'Income Statement Source'!O:O)/1000</f>
        <v>3.2073700000000001</v>
      </c>
      <c r="N102" s="20">
        <f>SUMIF('Income Statement Source'!$C:$C,'1.1 Adjusted Income Stmt'!$AR102,'Income Statement Source'!P:P)/1000</f>
        <v>3.1826300000000001</v>
      </c>
      <c r="O102" s="20">
        <f>SUMIF('Income Statement Source'!$C:$C,'1.1 Adjusted Income Stmt'!$AR102,'Income Statement Source'!Q:Q)/1000</f>
        <v>3.2315200000000002</v>
      </c>
      <c r="P102" s="20">
        <f>SUMIF('Income Statement Source'!$C:$C,'1.1 Adjusted Income Stmt'!$AR102,'Income Statement Source'!R:R)/1000</f>
        <v>3.1739699999999997</v>
      </c>
      <c r="Q102" s="22">
        <f t="shared" ref="Q102:Q104" si="71">SUM(E102:P102)</f>
        <v>38.353579999999994</v>
      </c>
      <c r="R102" s="20">
        <f>SUMIF('Income Statement Source'!$C:$C,'1.1 Adjusted Income Stmt'!$AR102,'Income Statement Source'!T:T)/1000</f>
        <v>3.1880600000000001</v>
      </c>
      <c r="S102" s="20">
        <f>SUMIF('Income Statement Source'!$C:$C,'1.1 Adjusted Income Stmt'!$AR102,'Income Statement Source'!U:U)/1000</f>
        <v>3.2036799999999999</v>
      </c>
      <c r="T102" s="20">
        <f>SUMIF('Income Statement Source'!$C:$C,'1.1 Adjusted Income Stmt'!$AR102,'Income Statement Source'!V:V)/1000</f>
        <v>3.2176399999999998</v>
      </c>
      <c r="U102" s="20">
        <f>SUMIF('Income Statement Source'!$C:$C,'1.1 Adjusted Income Stmt'!$AR102,'Income Statement Source'!W:W)/1000</f>
        <v>3.1807800000000004</v>
      </c>
      <c r="V102" s="20">
        <f>SUMIF('Income Statement Source'!$C:$C,'1.1 Adjusted Income Stmt'!$AR102,'Income Statement Source'!X:X)/1000</f>
        <v>3.2258599999999999</v>
      </c>
      <c r="W102" s="20">
        <f>SUMIF('Income Statement Source'!$C:$C,'1.1 Adjusted Income Stmt'!$AR102,'Income Statement Source'!Y:Y)/1000</f>
        <v>3.1925300000000001</v>
      </c>
      <c r="X102" s="20">
        <f>SUMIF('Income Statement Source'!$C:$C,'1.1 Adjusted Income Stmt'!$AR102,'Income Statement Source'!Z:Z)/1000</f>
        <v>3.1800100000000002</v>
      </c>
      <c r="Y102" s="20">
        <f>SUMIF('Income Statement Source'!$C:$C,'1.1 Adjusted Income Stmt'!$AR102,'Income Statement Source'!AA:AA)/1000</f>
        <v>3.2293000000000003</v>
      </c>
      <c r="Z102" s="20">
        <f>SUMIF('Income Statement Source'!$C:$C,'1.1 Adjusted Income Stmt'!$AR102,'Income Statement Source'!AB:AB)/1000</f>
        <v>3.2239</v>
      </c>
      <c r="AA102" s="20">
        <f>SUMIF('Income Statement Source'!$C:$C,'1.1 Adjusted Income Stmt'!$AR102,'Income Statement Source'!AC:AC)/1000</f>
        <v>3.1999299999999997</v>
      </c>
      <c r="AB102" s="20">
        <f>SUMIF('Income Statement Source'!$C:$C,'1.1 Adjusted Income Stmt'!$AR102,'Income Statement Source'!AD:AD)/1000</f>
        <v>3.1926199999999998</v>
      </c>
      <c r="AC102" s="20">
        <f>SUMIF('Income Statement Source'!$C:$C,'1.1 Adjusted Income Stmt'!$AR102,'Income Statement Source'!AE:AE)/1000</f>
        <v>3.1934399999999998</v>
      </c>
      <c r="AD102" s="22">
        <f t="shared" ref="AD102:AD104" si="72">SUM(R102:AC102)</f>
        <v>38.427750000000003</v>
      </c>
      <c r="AE102" s="20">
        <f>SUMIF('Income Statement Source'!$C:$C,'1.1 Adjusted Income Stmt'!$AR102,'Income Statement Source'!AG:AG)/1000</f>
        <v>3.20418</v>
      </c>
      <c r="AF102" s="20">
        <f>SUMIF('Income Statement Source'!$C:$C,'1.1 Adjusted Income Stmt'!$AR102,'Income Statement Source'!AH:AH)/1000</f>
        <v>3.1887099999999999</v>
      </c>
      <c r="AG102" s="20">
        <f>SUMIF('Income Statement Source'!$C:$C,'1.1 Adjusted Income Stmt'!$AR102,'Income Statement Source'!AI:AI)/1000</f>
        <v>3.2064499999999998</v>
      </c>
      <c r="AH102" s="20">
        <f>SUMIF('Income Statement Source'!$C:$C,'1.1 Adjusted Income Stmt'!$AR102,'Income Statement Source'!AJ:AJ)/1000</f>
        <v>3.1915399999999998</v>
      </c>
      <c r="AI102" s="20">
        <f>SUMIF('Income Statement Source'!$C:$C,'1.1 Adjusted Income Stmt'!$AR102,'Income Statement Source'!AK:AK)/1000</f>
        <v>3.18709</v>
      </c>
      <c r="AJ102" s="20">
        <f>SUMIF('Income Statement Source'!$C:$C,'1.1 Adjusted Income Stmt'!$AR102,'Income Statement Source'!AL:AL)/1000</f>
        <v>3.18086</v>
      </c>
      <c r="AK102" s="20">
        <f>SUMIF('Income Statement Source'!$C:$C,'1.1 Adjusted Income Stmt'!$AR102,'Income Statement Source'!AM:AM)/1000</f>
        <v>3.2305900000000003</v>
      </c>
      <c r="AL102" s="20">
        <f>SUMIF('Income Statement Source'!$C:$C,'1.1 Adjusted Income Stmt'!$AR102,'Income Statement Source'!AN:AN)/1000</f>
        <v>3.1849499999999997</v>
      </c>
      <c r="AM102" s="20">
        <f>SUMIF('Income Statement Source'!$C:$C,'1.1 Adjusted Income Stmt'!$AR102,'Income Statement Source'!AO:AO)/1000</f>
        <v>3.1779600000000001</v>
      </c>
      <c r="AN102" s="20">
        <f>SUMIF('Income Statement Source'!$C:$C,'1.1 Adjusted Income Stmt'!$AR102,'Income Statement Source'!AP:AP)/1000</f>
        <v>3.2045300000000001</v>
      </c>
      <c r="AO102" s="22">
        <f t="shared" ref="AO102:AO104" si="73">SUM(AE102:AN102)</f>
        <v>31.956859999999999</v>
      </c>
      <c r="AP102" s="22">
        <f t="shared" ref="AP102:AP104" si="74">SUM(AO102,AB102:AC102)</f>
        <v>38.342919999999999</v>
      </c>
      <c r="AR102" s="4" t="s">
        <v>55</v>
      </c>
    </row>
    <row r="103" spans="2:44" hidden="1" outlineLevel="1" x14ac:dyDescent="0.2">
      <c r="B103" s="30" t="str">
        <f t="shared" si="70"/>
        <v>Miscellaneous Expense</v>
      </c>
      <c r="E103" s="20">
        <f>SUMIF('Income Statement Source'!$C:$C,'1.1 Adjusted Income Stmt'!$AR103,'Income Statement Source'!G:G)/1000</f>
        <v>0.39435999999999999</v>
      </c>
      <c r="F103" s="20">
        <f>SUMIF('Income Statement Source'!$C:$C,'1.1 Adjusted Income Stmt'!$AR103,'Income Statement Source'!H:H)/1000</f>
        <v>0.37106</v>
      </c>
      <c r="G103" s="20">
        <f>SUMIF('Income Statement Source'!$C:$C,'1.1 Adjusted Income Stmt'!$AR103,'Income Statement Source'!I:I)/1000</f>
        <v>0.28931000000000001</v>
      </c>
      <c r="H103" s="20">
        <f>SUMIF('Income Statement Source'!$C:$C,'1.1 Adjusted Income Stmt'!$AR103,'Income Statement Source'!J:J)/1000</f>
        <v>0.39191999999999999</v>
      </c>
      <c r="I103" s="20">
        <f>SUMIF('Income Statement Source'!$C:$C,'1.1 Adjusted Income Stmt'!$AR103,'Income Statement Source'!K:K)/1000</f>
        <v>0.31945999999999997</v>
      </c>
      <c r="J103" s="20">
        <f>SUMIF('Income Statement Source'!$C:$C,'1.1 Adjusted Income Stmt'!$AR103,'Income Statement Source'!L:L)/1000</f>
        <v>0.31491000000000002</v>
      </c>
      <c r="K103" s="20">
        <f>SUMIF('Income Statement Source'!$C:$C,'1.1 Adjusted Income Stmt'!$AR103,'Income Statement Source'!M:M)/1000</f>
        <v>0.28920999999999997</v>
      </c>
      <c r="L103" s="20">
        <f>SUMIF('Income Statement Source'!$C:$C,'1.1 Adjusted Income Stmt'!$AR103,'Income Statement Source'!N:N)/1000</f>
        <v>0.32956999999999997</v>
      </c>
      <c r="M103" s="20">
        <f>SUMIF('Income Statement Source'!$C:$C,'1.1 Adjusted Income Stmt'!$AR103,'Income Statement Source'!O:O)/1000</f>
        <v>0.3468</v>
      </c>
      <c r="N103" s="20">
        <f>SUMIF('Income Statement Source'!$C:$C,'1.1 Adjusted Income Stmt'!$AR103,'Income Statement Source'!P:P)/1000</f>
        <v>0.34722000000000003</v>
      </c>
      <c r="O103" s="20">
        <f>SUMIF('Income Statement Source'!$C:$C,'1.1 Adjusted Income Stmt'!$AR103,'Income Statement Source'!Q:Q)/1000</f>
        <v>0.36463000000000001</v>
      </c>
      <c r="P103" s="20">
        <f>SUMIF('Income Statement Source'!$C:$C,'1.1 Adjusted Income Stmt'!$AR103,'Income Statement Source'!R:R)/1000</f>
        <v>0.35931000000000002</v>
      </c>
      <c r="Q103" s="22">
        <f t="shared" si="71"/>
        <v>4.1177599999999996</v>
      </c>
      <c r="R103" s="20">
        <f>SUMIF('Income Statement Source'!$C:$C,'1.1 Adjusted Income Stmt'!$AR103,'Income Statement Source'!T:T)/1000</f>
        <v>0.40749000000000002</v>
      </c>
      <c r="S103" s="20">
        <f>SUMIF('Income Statement Source'!$C:$C,'1.1 Adjusted Income Stmt'!$AR103,'Income Statement Source'!U:U)/1000</f>
        <v>0.33905000000000002</v>
      </c>
      <c r="T103" s="20">
        <f>SUMIF('Income Statement Source'!$C:$C,'1.1 Adjusted Income Stmt'!$AR103,'Income Statement Source'!V:V)/1000</f>
        <v>0.27279999999999999</v>
      </c>
      <c r="U103" s="20">
        <f>SUMIF('Income Statement Source'!$C:$C,'1.1 Adjusted Income Stmt'!$AR103,'Income Statement Source'!W:W)/1000</f>
        <v>0.39002999999999999</v>
      </c>
      <c r="V103" s="20">
        <f>SUMIF('Income Statement Source'!$C:$C,'1.1 Adjusted Income Stmt'!$AR103,'Income Statement Source'!X:X)/1000</f>
        <v>0.29827999999999999</v>
      </c>
      <c r="W103" s="20">
        <f>SUMIF('Income Statement Source'!$C:$C,'1.1 Adjusted Income Stmt'!$AR103,'Income Statement Source'!Y:Y)/1000</f>
        <v>0.34743999999999997</v>
      </c>
      <c r="X103" s="20">
        <f>SUMIF('Income Statement Source'!$C:$C,'1.1 Adjusted Income Stmt'!$AR103,'Income Statement Source'!Z:Z)/1000</f>
        <v>0.37175999999999998</v>
      </c>
      <c r="Y103" s="20">
        <f>SUMIF('Income Statement Source'!$C:$C,'1.1 Adjusted Income Stmt'!$AR103,'Income Statement Source'!AA:AA)/1000</f>
        <v>0.35167000000000004</v>
      </c>
      <c r="Z103" s="20">
        <f>SUMIF('Income Statement Source'!$C:$C,'1.1 Adjusted Income Stmt'!$AR103,'Income Statement Source'!AB:AB)/1000</f>
        <v>0.35863999999999996</v>
      </c>
      <c r="AA103" s="20">
        <f>SUMIF('Income Statement Source'!$C:$C,'1.1 Adjusted Income Stmt'!$AR103,'Income Statement Source'!AC:AC)/1000</f>
        <v>0.28187000000000001</v>
      </c>
      <c r="AB103" s="20">
        <f>SUMIF('Income Statement Source'!$C:$C,'1.1 Adjusted Income Stmt'!$AR103,'Income Statement Source'!AD:AD)/1000</f>
        <v>0.31219999999999998</v>
      </c>
      <c r="AC103" s="20">
        <f>SUMIF('Income Statement Source'!$C:$C,'1.1 Adjusted Income Stmt'!$AR103,'Income Statement Source'!AE:AE)/1000</f>
        <v>0.40161000000000002</v>
      </c>
      <c r="AD103" s="22">
        <f t="shared" si="72"/>
        <v>4.1328399999999998</v>
      </c>
      <c r="AE103" s="20">
        <f>SUMIF('Income Statement Source'!$C:$C,'1.1 Adjusted Income Stmt'!$AR103,'Income Statement Source'!AG:AG)/1000</f>
        <v>0.39409</v>
      </c>
      <c r="AF103" s="20">
        <f>SUMIF('Income Statement Source'!$C:$C,'1.1 Adjusted Income Stmt'!$AR103,'Income Statement Source'!AH:AH)/1000</f>
        <v>0.38302999999999998</v>
      </c>
      <c r="AG103" s="20">
        <f>SUMIF('Income Statement Source'!$C:$C,'1.1 Adjusted Income Stmt'!$AR103,'Income Statement Source'!AI:AI)/1000</f>
        <v>0.31977999999999995</v>
      </c>
      <c r="AH103" s="20">
        <f>SUMIF('Income Statement Source'!$C:$C,'1.1 Adjusted Income Stmt'!$AR103,'Income Statement Source'!AJ:AJ)/1000</f>
        <v>0.38530999999999999</v>
      </c>
      <c r="AI103" s="20">
        <f>SUMIF('Income Statement Source'!$C:$C,'1.1 Adjusted Income Stmt'!$AR103,'Income Statement Source'!AK:AK)/1000</f>
        <v>0.28767000000000004</v>
      </c>
      <c r="AJ103" s="20">
        <f>SUMIF('Income Statement Source'!$C:$C,'1.1 Adjusted Income Stmt'!$AR103,'Income Statement Source'!AL:AL)/1000</f>
        <v>0.37470999999999999</v>
      </c>
      <c r="AK103" s="20">
        <f>SUMIF('Income Statement Source'!$C:$C,'1.1 Adjusted Income Stmt'!$AR103,'Income Statement Source'!AM:AM)/1000</f>
        <v>0.34910000000000002</v>
      </c>
      <c r="AL103" s="20">
        <f>SUMIF('Income Statement Source'!$C:$C,'1.1 Adjusted Income Stmt'!$AR103,'Income Statement Source'!AN:AN)/1000</f>
        <v>0.38989999999999997</v>
      </c>
      <c r="AM103" s="20">
        <f>SUMIF('Income Statement Source'!$C:$C,'1.1 Adjusted Income Stmt'!$AR103,'Income Statement Source'!AO:AO)/1000</f>
        <v>0.35831999999999997</v>
      </c>
      <c r="AN103" s="20">
        <f>SUMIF('Income Statement Source'!$C:$C,'1.1 Adjusted Income Stmt'!$AR103,'Income Statement Source'!AP:AP)/1000</f>
        <v>0.32086999999999999</v>
      </c>
      <c r="AO103" s="22">
        <f t="shared" si="73"/>
        <v>3.5627800000000001</v>
      </c>
      <c r="AP103" s="22">
        <f t="shared" si="74"/>
        <v>4.2765899999999997</v>
      </c>
      <c r="AR103" s="4" t="s">
        <v>56</v>
      </c>
    </row>
    <row r="104" spans="2:44" hidden="1" outlineLevel="1" x14ac:dyDescent="0.2">
      <c r="B104" s="30" t="str">
        <f t="shared" si="70"/>
        <v>Miscellaneous Income</v>
      </c>
      <c r="E104" s="31">
        <f>-SUMIF('Income Statement Source'!$C:$C,'1.1 Adjusted Income Stmt'!$AR104,'Income Statement Source'!G:G)/1000</f>
        <v>0</v>
      </c>
      <c r="F104" s="31">
        <f>-SUMIF('Income Statement Source'!$C:$C,'1.1 Adjusted Income Stmt'!$AR104,'Income Statement Source'!H:H)/1000</f>
        <v>-250</v>
      </c>
      <c r="G104" s="31">
        <f>-SUMIF('Income Statement Source'!$C:$C,'1.1 Adjusted Income Stmt'!$AR104,'Income Statement Source'!I:I)/1000</f>
        <v>0</v>
      </c>
      <c r="H104" s="31">
        <f>-SUMIF('Income Statement Source'!$C:$C,'1.1 Adjusted Income Stmt'!$AR104,'Income Statement Source'!J:J)/1000</f>
        <v>0</v>
      </c>
      <c r="I104" s="31">
        <f>-SUMIF('Income Statement Source'!$C:$C,'1.1 Adjusted Income Stmt'!$AR104,'Income Statement Source'!K:K)/1000</f>
        <v>0</v>
      </c>
      <c r="J104" s="31">
        <f>-SUMIF('Income Statement Source'!$C:$C,'1.1 Adjusted Income Stmt'!$AR104,'Income Statement Source'!L:L)/1000</f>
        <v>0</v>
      </c>
      <c r="K104" s="31">
        <f>-SUMIF('Income Statement Source'!$C:$C,'1.1 Adjusted Income Stmt'!$AR104,'Income Statement Source'!M:M)/1000</f>
        <v>0</v>
      </c>
      <c r="L104" s="31">
        <f>-SUMIF('Income Statement Source'!$C:$C,'1.1 Adjusted Income Stmt'!$AR104,'Income Statement Source'!N:N)/1000</f>
        <v>0</v>
      </c>
      <c r="M104" s="31">
        <f>-SUMIF('Income Statement Source'!$C:$C,'1.1 Adjusted Income Stmt'!$AR104,'Income Statement Source'!O:O)/1000</f>
        <v>0</v>
      </c>
      <c r="N104" s="31">
        <f>-SUMIF('Income Statement Source'!$C:$C,'1.1 Adjusted Income Stmt'!$AR104,'Income Statement Source'!P:P)/1000</f>
        <v>0</v>
      </c>
      <c r="O104" s="31">
        <f>-SUMIF('Income Statement Source'!$C:$C,'1.1 Adjusted Income Stmt'!$AR104,'Income Statement Source'!Q:Q)/1000</f>
        <v>0</v>
      </c>
      <c r="P104" s="31">
        <f>-SUMIF('Income Statement Source'!$C:$C,'1.1 Adjusted Income Stmt'!$AR104,'Income Statement Source'!R:R)/1000</f>
        <v>0</v>
      </c>
      <c r="Q104" s="32">
        <f t="shared" si="71"/>
        <v>-250</v>
      </c>
      <c r="R104" s="31">
        <f>-SUMIF('Income Statement Source'!$C:$C,'1.1 Adjusted Income Stmt'!$AR104,'Income Statement Source'!T:T)/1000</f>
        <v>0</v>
      </c>
      <c r="S104" s="31">
        <f>-SUMIF('Income Statement Source'!$C:$C,'1.1 Adjusted Income Stmt'!$AR104,'Income Statement Source'!U:U)/1000</f>
        <v>0</v>
      </c>
      <c r="T104" s="31">
        <f>-SUMIF('Income Statement Source'!$C:$C,'1.1 Adjusted Income Stmt'!$AR104,'Income Statement Source'!V:V)/1000</f>
        <v>0</v>
      </c>
      <c r="U104" s="31">
        <f>-SUMIF('Income Statement Source'!$C:$C,'1.1 Adjusted Income Stmt'!$AR104,'Income Statement Source'!W:W)/1000</f>
        <v>0</v>
      </c>
      <c r="V104" s="31">
        <f>-SUMIF('Income Statement Source'!$C:$C,'1.1 Adjusted Income Stmt'!$AR104,'Income Statement Source'!X:X)/1000</f>
        <v>0</v>
      </c>
      <c r="W104" s="31">
        <f>-SUMIF('Income Statement Source'!$C:$C,'1.1 Adjusted Income Stmt'!$AR104,'Income Statement Source'!Y:Y)/1000</f>
        <v>0</v>
      </c>
      <c r="X104" s="31">
        <f>-SUMIF('Income Statement Source'!$C:$C,'1.1 Adjusted Income Stmt'!$AR104,'Income Statement Source'!Z:Z)/1000</f>
        <v>0</v>
      </c>
      <c r="Y104" s="31">
        <f>-SUMIF('Income Statement Source'!$C:$C,'1.1 Adjusted Income Stmt'!$AR104,'Income Statement Source'!AA:AA)/1000</f>
        <v>0</v>
      </c>
      <c r="Z104" s="31">
        <f>-SUMIF('Income Statement Source'!$C:$C,'1.1 Adjusted Income Stmt'!$AR104,'Income Statement Source'!AB:AB)/1000</f>
        <v>0</v>
      </c>
      <c r="AA104" s="31">
        <f>-SUMIF('Income Statement Source'!$C:$C,'1.1 Adjusted Income Stmt'!$AR104,'Income Statement Source'!AC:AC)/1000</f>
        <v>0</v>
      </c>
      <c r="AB104" s="31">
        <f>-SUMIF('Income Statement Source'!$C:$C,'1.1 Adjusted Income Stmt'!$AR104,'Income Statement Source'!AD:AD)/1000</f>
        <v>0</v>
      </c>
      <c r="AC104" s="31">
        <f>-SUMIF('Income Statement Source'!$C:$C,'1.1 Adjusted Income Stmt'!$AR104,'Income Statement Source'!AE:AE)/1000</f>
        <v>0</v>
      </c>
      <c r="AD104" s="32">
        <f t="shared" si="72"/>
        <v>0</v>
      </c>
      <c r="AE104" s="31">
        <f>-SUMIF('Income Statement Source'!$C:$C,'1.1 Adjusted Income Stmt'!$AR104,'Income Statement Source'!AG:AG)/1000</f>
        <v>0</v>
      </c>
      <c r="AF104" s="31">
        <f>-SUMIF('Income Statement Source'!$C:$C,'1.1 Adjusted Income Stmt'!$AR104,'Income Statement Source'!AH:AH)/1000</f>
        <v>0</v>
      </c>
      <c r="AG104" s="31">
        <f>-SUMIF('Income Statement Source'!$C:$C,'1.1 Adjusted Income Stmt'!$AR104,'Income Statement Source'!AI:AI)/1000</f>
        <v>0</v>
      </c>
      <c r="AH104" s="31">
        <f>-SUMIF('Income Statement Source'!$C:$C,'1.1 Adjusted Income Stmt'!$AR104,'Income Statement Source'!AJ:AJ)/1000</f>
        <v>0</v>
      </c>
      <c r="AI104" s="31">
        <f>-SUMIF('Income Statement Source'!$C:$C,'1.1 Adjusted Income Stmt'!$AR104,'Income Statement Source'!AK:AK)/1000</f>
        <v>0</v>
      </c>
      <c r="AJ104" s="31">
        <f>-SUMIF('Income Statement Source'!$C:$C,'1.1 Adjusted Income Stmt'!$AR104,'Income Statement Source'!AL:AL)/1000</f>
        <v>0</v>
      </c>
      <c r="AK104" s="31">
        <f>-SUMIF('Income Statement Source'!$C:$C,'1.1 Adjusted Income Stmt'!$AR104,'Income Statement Source'!AM:AM)/1000</f>
        <v>0</v>
      </c>
      <c r="AL104" s="31">
        <f>-SUMIF('Income Statement Source'!$C:$C,'1.1 Adjusted Income Stmt'!$AR104,'Income Statement Source'!AN:AN)/1000</f>
        <v>0</v>
      </c>
      <c r="AM104" s="31">
        <f>-SUMIF('Income Statement Source'!$C:$C,'1.1 Adjusted Income Stmt'!$AR104,'Income Statement Source'!AO:AO)/1000</f>
        <v>0</v>
      </c>
      <c r="AN104" s="31">
        <f>-SUMIF('Income Statement Source'!$C:$C,'1.1 Adjusted Income Stmt'!$AR104,'Income Statement Source'!AP:AP)/1000</f>
        <v>0</v>
      </c>
      <c r="AO104" s="32">
        <f t="shared" si="73"/>
        <v>0</v>
      </c>
      <c r="AP104" s="32">
        <f t="shared" si="74"/>
        <v>0</v>
      </c>
      <c r="AR104" s="4" t="s">
        <v>59</v>
      </c>
    </row>
    <row r="105" spans="2:44" collapsed="1" x14ac:dyDescent="0.2">
      <c r="B105" s="29" t="str">
        <f>+B101</f>
        <v>Other (Income) / Expense</v>
      </c>
      <c r="E105" s="20">
        <f>SUM(E102:E104)</f>
        <v>3.6072199999999999</v>
      </c>
      <c r="F105" s="20">
        <f t="shared" ref="F105:AP105" si="75">SUM(F102:F104)</f>
        <v>-246.43657999999999</v>
      </c>
      <c r="G105" s="20">
        <f t="shared" si="75"/>
        <v>3.4943899999999997</v>
      </c>
      <c r="H105" s="20">
        <f t="shared" si="75"/>
        <v>3.5961399999999997</v>
      </c>
      <c r="I105" s="20">
        <f t="shared" si="75"/>
        <v>3.4987499999999998</v>
      </c>
      <c r="J105" s="20">
        <f t="shared" si="75"/>
        <v>3.4850899999999996</v>
      </c>
      <c r="K105" s="20">
        <f t="shared" si="75"/>
        <v>3.5095000000000001</v>
      </c>
      <c r="L105" s="20">
        <f t="shared" si="75"/>
        <v>3.5033799999999999</v>
      </c>
      <c r="M105" s="20">
        <f t="shared" si="75"/>
        <v>3.5541700000000001</v>
      </c>
      <c r="N105" s="20">
        <f t="shared" si="75"/>
        <v>3.5298500000000002</v>
      </c>
      <c r="O105" s="20">
        <f t="shared" si="75"/>
        <v>3.5961500000000002</v>
      </c>
      <c r="P105" s="20">
        <f t="shared" si="75"/>
        <v>3.5332799999999995</v>
      </c>
      <c r="Q105" s="22">
        <f t="shared" si="75"/>
        <v>-207.52866</v>
      </c>
      <c r="R105" s="20">
        <f t="shared" si="75"/>
        <v>3.5955500000000002</v>
      </c>
      <c r="S105" s="20">
        <f t="shared" si="75"/>
        <v>3.5427299999999997</v>
      </c>
      <c r="T105" s="20">
        <f t="shared" si="75"/>
        <v>3.49044</v>
      </c>
      <c r="U105" s="20">
        <f t="shared" si="75"/>
        <v>3.5708100000000003</v>
      </c>
      <c r="V105" s="20">
        <f t="shared" si="75"/>
        <v>3.5241400000000001</v>
      </c>
      <c r="W105" s="20">
        <f t="shared" si="75"/>
        <v>3.5399700000000003</v>
      </c>
      <c r="X105" s="20">
        <f t="shared" si="75"/>
        <v>3.5517700000000003</v>
      </c>
      <c r="Y105" s="20">
        <f t="shared" si="75"/>
        <v>3.5809700000000002</v>
      </c>
      <c r="Z105" s="20">
        <f t="shared" si="75"/>
        <v>3.5825399999999998</v>
      </c>
      <c r="AA105" s="20">
        <f t="shared" si="75"/>
        <v>3.4817999999999998</v>
      </c>
      <c r="AB105" s="20">
        <f t="shared" si="75"/>
        <v>3.5048199999999996</v>
      </c>
      <c r="AC105" s="20">
        <f t="shared" si="75"/>
        <v>3.5950499999999996</v>
      </c>
      <c r="AD105" s="22">
        <f t="shared" si="75"/>
        <v>42.560590000000005</v>
      </c>
      <c r="AE105" s="20">
        <f t="shared" si="75"/>
        <v>3.5982699999999999</v>
      </c>
      <c r="AF105" s="20">
        <f t="shared" si="75"/>
        <v>3.5717400000000001</v>
      </c>
      <c r="AG105" s="20">
        <f t="shared" si="75"/>
        <v>3.52623</v>
      </c>
      <c r="AH105" s="20">
        <f t="shared" si="75"/>
        <v>3.5768499999999999</v>
      </c>
      <c r="AI105" s="20">
        <f t="shared" si="75"/>
        <v>3.4747599999999998</v>
      </c>
      <c r="AJ105" s="20">
        <f t="shared" si="75"/>
        <v>3.5555699999999999</v>
      </c>
      <c r="AK105" s="20">
        <f t="shared" si="75"/>
        <v>3.5796900000000003</v>
      </c>
      <c r="AL105" s="20">
        <f t="shared" si="75"/>
        <v>3.5748499999999996</v>
      </c>
      <c r="AM105" s="20">
        <f t="shared" si="75"/>
        <v>3.5362800000000001</v>
      </c>
      <c r="AN105" s="20">
        <f t="shared" si="75"/>
        <v>3.5254000000000003</v>
      </c>
      <c r="AO105" s="22">
        <f t="shared" si="75"/>
        <v>35.519639999999995</v>
      </c>
      <c r="AP105" s="22">
        <f t="shared" si="75"/>
        <v>42.619509999999998</v>
      </c>
    </row>
    <row r="106" spans="2:44" x14ac:dyDescent="0.2">
      <c r="B106" s="2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2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2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2"/>
      <c r="AP106" s="22"/>
    </row>
    <row r="107" spans="2:44" x14ac:dyDescent="0.2">
      <c r="B107" s="12" t="s">
        <v>72</v>
      </c>
      <c r="C107" s="13"/>
      <c r="D107" s="13"/>
      <c r="E107" s="42">
        <f>+E98-E105</f>
        <v>68.708855387341117</v>
      </c>
      <c r="F107" s="42">
        <f t="shared" ref="F107:AP107" si="76">+F98-F105</f>
        <v>234.25583785706479</v>
      </c>
      <c r="G107" s="42">
        <f t="shared" si="76"/>
        <v>68.308911534303391</v>
      </c>
      <c r="H107" s="42">
        <f t="shared" si="76"/>
        <v>-74.481984101099485</v>
      </c>
      <c r="I107" s="42">
        <f t="shared" si="76"/>
        <v>-22.262158237695189</v>
      </c>
      <c r="J107" s="42">
        <f t="shared" si="76"/>
        <v>-49.351971723492667</v>
      </c>
      <c r="K107" s="42">
        <f t="shared" si="76"/>
        <v>-25.806819196926423</v>
      </c>
      <c r="L107" s="42">
        <f t="shared" si="76"/>
        <v>-5.539709470459691</v>
      </c>
      <c r="M107" s="42">
        <f t="shared" si="76"/>
        <v>115.50688543608106</v>
      </c>
      <c r="N107" s="42">
        <f t="shared" si="76"/>
        <v>-45.988424054760294</v>
      </c>
      <c r="O107" s="42">
        <f t="shared" si="76"/>
        <v>22.79855007503523</v>
      </c>
      <c r="P107" s="42">
        <f t="shared" si="76"/>
        <v>89.161896672142589</v>
      </c>
      <c r="Q107" s="43">
        <f t="shared" si="76"/>
        <v>375.30987017753461</v>
      </c>
      <c r="R107" s="42">
        <f t="shared" si="76"/>
        <v>15.003727414414048</v>
      </c>
      <c r="S107" s="42">
        <f t="shared" si="76"/>
        <v>19.023593374940241</v>
      </c>
      <c r="T107" s="42">
        <f t="shared" si="76"/>
        <v>33.309126836606659</v>
      </c>
      <c r="U107" s="42">
        <f t="shared" si="76"/>
        <v>-14.76519305318927</v>
      </c>
      <c r="V107" s="42">
        <f t="shared" si="76"/>
        <v>-16.085287823232175</v>
      </c>
      <c r="W107" s="42">
        <f t="shared" si="76"/>
        <v>116.82435519529027</v>
      </c>
      <c r="X107" s="42">
        <f t="shared" si="76"/>
        <v>-12.65881081809594</v>
      </c>
      <c r="Y107" s="42">
        <f t="shared" si="76"/>
        <v>30.394389495792886</v>
      </c>
      <c r="Z107" s="42">
        <f t="shared" si="76"/>
        <v>108.37565326481675</v>
      </c>
      <c r="AA107" s="42">
        <f t="shared" si="76"/>
        <v>-54.631107431812701</v>
      </c>
      <c r="AB107" s="42">
        <f t="shared" si="76"/>
        <v>56.659749475550733</v>
      </c>
      <c r="AC107" s="42">
        <f t="shared" si="76"/>
        <v>73.108713486576605</v>
      </c>
      <c r="AD107" s="43">
        <f t="shared" si="76"/>
        <v>354.55890941765807</v>
      </c>
      <c r="AE107" s="42">
        <f t="shared" si="76"/>
        <v>-10.060305708412571</v>
      </c>
      <c r="AF107" s="42">
        <f t="shared" si="76"/>
        <v>-35.713713593357561</v>
      </c>
      <c r="AG107" s="42">
        <f t="shared" si="76"/>
        <v>82.406609357826952</v>
      </c>
      <c r="AH107" s="42">
        <f t="shared" si="76"/>
        <v>20.884639381281225</v>
      </c>
      <c r="AI107" s="42">
        <f t="shared" si="76"/>
        <v>-21.130015983948379</v>
      </c>
      <c r="AJ107" s="42">
        <f t="shared" si="76"/>
        <v>30.52120191917972</v>
      </c>
      <c r="AK107" s="42">
        <f t="shared" si="76"/>
        <v>12.145322518490644</v>
      </c>
      <c r="AL107" s="42">
        <f t="shared" si="76"/>
        <v>-1.2959004994179697</v>
      </c>
      <c r="AM107" s="42">
        <f t="shared" si="76"/>
        <v>52.307157471627399</v>
      </c>
      <c r="AN107" s="42">
        <f t="shared" si="76"/>
        <v>54.939561541538346</v>
      </c>
      <c r="AO107" s="43">
        <f t="shared" si="76"/>
        <v>185.00455640480743</v>
      </c>
      <c r="AP107" s="43">
        <f t="shared" si="76"/>
        <v>314.7730193669338</v>
      </c>
    </row>
    <row r="108" spans="2:44" x14ac:dyDescent="0.2">
      <c r="B108" s="14"/>
      <c r="C108" s="15"/>
      <c r="D108" s="15"/>
      <c r="E108" s="49">
        <f>IFERROR(E107/E$19,0)</f>
        <v>0.22938189029848527</v>
      </c>
      <c r="F108" s="49">
        <f t="shared" ref="F108:AP108" si="77">IFERROR(F107/F$19,0)</f>
        <v>0.95294288029541685</v>
      </c>
      <c r="G108" s="49">
        <f t="shared" si="77"/>
        <v>0.23050809295274485</v>
      </c>
      <c r="H108" s="49">
        <f t="shared" si="77"/>
        <v>-0.4539105162109115</v>
      </c>
      <c r="I108" s="49">
        <f t="shared" si="77"/>
        <v>-8.0381732512775611E-2</v>
      </c>
      <c r="J108" s="49">
        <f t="shared" si="77"/>
        <v>-0.11555303456402616</v>
      </c>
      <c r="K108" s="49">
        <f t="shared" si="77"/>
        <v>-0.13560503398938281</v>
      </c>
      <c r="L108" s="49">
        <f t="shared" si="77"/>
        <v>-2.2345143597573017E-2</v>
      </c>
      <c r="M108" s="49">
        <f t="shared" si="77"/>
        <v>0.23444023425586111</v>
      </c>
      <c r="N108" s="49">
        <f t="shared" si="77"/>
        <v>-0.23886984992715116</v>
      </c>
      <c r="O108" s="49">
        <f t="shared" si="77"/>
        <v>9.3502994923322494E-2</v>
      </c>
      <c r="P108" s="49">
        <f t="shared" si="77"/>
        <v>0.21856389515395389</v>
      </c>
      <c r="Q108" s="50">
        <f t="shared" si="77"/>
        <v>0.10769123643800504</v>
      </c>
      <c r="R108" s="49">
        <f t="shared" si="77"/>
        <v>5.7734245886363764E-2</v>
      </c>
      <c r="S108" s="49">
        <f t="shared" si="77"/>
        <v>6.4224758641157884E-2</v>
      </c>
      <c r="T108" s="49">
        <f t="shared" si="77"/>
        <v>7.1131918639406336E-2</v>
      </c>
      <c r="U108" s="49">
        <f t="shared" si="77"/>
        <v>-6.4599297097196071E-2</v>
      </c>
      <c r="V108" s="49">
        <f t="shared" si="77"/>
        <v>-4.1987073464151072E-2</v>
      </c>
      <c r="W108" s="49">
        <f t="shared" si="77"/>
        <v>0.22345761088371899</v>
      </c>
      <c r="X108" s="49">
        <f t="shared" si="77"/>
        <v>-2.8777926797169728E-2</v>
      </c>
      <c r="Y108" s="49">
        <f t="shared" si="77"/>
        <v>9.6362489596334172E-2</v>
      </c>
      <c r="Z108" s="49">
        <f t="shared" si="77"/>
        <v>0.22134994764050797</v>
      </c>
      <c r="AA108" s="49">
        <f t="shared" si="77"/>
        <v>-0.15693679777562067</v>
      </c>
      <c r="AB108" s="49">
        <f t="shared" si="77"/>
        <v>0.13381104089019413</v>
      </c>
      <c r="AC108" s="49">
        <f t="shared" si="77"/>
        <v>0.18969948883293528</v>
      </c>
      <c r="AD108" s="50">
        <f t="shared" si="77"/>
        <v>7.7742849037096412E-2</v>
      </c>
      <c r="AE108" s="49">
        <f t="shared" si="77"/>
        <v>-4.4577452775941273E-2</v>
      </c>
      <c r="AF108" s="49">
        <f t="shared" si="77"/>
        <v>-0.15798766745432752</v>
      </c>
      <c r="AG108" s="49">
        <f t="shared" si="77"/>
        <v>0.20199417334617828</v>
      </c>
      <c r="AH108" s="49">
        <f t="shared" si="77"/>
        <v>5.2823067803185735E-2</v>
      </c>
      <c r="AI108" s="49">
        <f t="shared" si="77"/>
        <v>-8.0358706323996054E-2</v>
      </c>
      <c r="AJ108" s="49">
        <f t="shared" si="77"/>
        <v>7.3941440533006678E-2</v>
      </c>
      <c r="AK108" s="49">
        <f t="shared" si="77"/>
        <v>3.6996421251957658E-2</v>
      </c>
      <c r="AL108" s="49">
        <f t="shared" si="77"/>
        <v>-3.4783158031861383E-3</v>
      </c>
      <c r="AM108" s="49">
        <f t="shared" si="77"/>
        <v>0.15873512239540136</v>
      </c>
      <c r="AN108" s="49">
        <f t="shared" si="77"/>
        <v>0.14020094453271337</v>
      </c>
      <c r="AO108" s="50">
        <f t="shared" si="77"/>
        <v>5.5175356161102501E-2</v>
      </c>
      <c r="AP108" s="50">
        <f t="shared" si="77"/>
        <v>7.563291873918393E-2</v>
      </c>
    </row>
    <row r="109" spans="2:44" x14ac:dyDescent="0.2">
      <c r="B109" s="25"/>
      <c r="Q109" s="17"/>
      <c r="AD109" s="17"/>
      <c r="AO109" s="17"/>
      <c r="AP109" s="17"/>
    </row>
    <row r="110" spans="2:44" x14ac:dyDescent="0.2">
      <c r="B110" s="26" t="s">
        <v>451</v>
      </c>
      <c r="Q110" s="17"/>
      <c r="AD110" s="17"/>
      <c r="AO110" s="17"/>
      <c r="AP110" s="17"/>
    </row>
    <row r="111" spans="2:44" x14ac:dyDescent="0.2">
      <c r="B111" s="29" t="s">
        <v>75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2">
        <f>SUM(E111:P111)</f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2">
        <f>SUM(R111:AC111)</f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2">
        <f>SUM(AE111:AN111)</f>
        <v>0</v>
      </c>
      <c r="AP111" s="22">
        <f>SUM(AO111,AB111:AC111)</f>
        <v>0</v>
      </c>
    </row>
    <row r="112" spans="2:44" x14ac:dyDescent="0.2">
      <c r="B112" s="29" t="s">
        <v>76</v>
      </c>
      <c r="E112" s="20">
        <f>+E102</f>
        <v>3.21286</v>
      </c>
      <c r="F112" s="20">
        <f>+F102</f>
        <v>3.1923600000000003</v>
      </c>
      <c r="G112" s="20">
        <f>+G102</f>
        <v>3.2050799999999997</v>
      </c>
      <c r="H112" s="20">
        <f>+H102</f>
        <v>3.2042199999999998</v>
      </c>
      <c r="I112" s="20">
        <f>+I102</f>
        <v>3.1792899999999999</v>
      </c>
      <c r="J112" s="20">
        <f>+J102</f>
        <v>3.1701799999999998</v>
      </c>
      <c r="K112" s="20">
        <f>+K102</f>
        <v>3.2202899999999999</v>
      </c>
      <c r="L112" s="20">
        <f>+L102</f>
        <v>3.17381</v>
      </c>
      <c r="M112" s="20">
        <f>+M102</f>
        <v>3.2073700000000001</v>
      </c>
      <c r="N112" s="20">
        <f>+N102</f>
        <v>3.1826300000000001</v>
      </c>
      <c r="O112" s="20">
        <f>+O102</f>
        <v>3.2315200000000002</v>
      </c>
      <c r="P112" s="20">
        <f>+P102</f>
        <v>3.1739699999999997</v>
      </c>
      <c r="Q112" s="22">
        <f>SUM(E112:P112)</f>
        <v>38.353579999999994</v>
      </c>
      <c r="R112" s="20">
        <f>+R102</f>
        <v>3.1880600000000001</v>
      </c>
      <c r="S112" s="20">
        <f>+S102</f>
        <v>3.2036799999999999</v>
      </c>
      <c r="T112" s="20">
        <f>+T102</f>
        <v>3.2176399999999998</v>
      </c>
      <c r="U112" s="20">
        <f>+U102</f>
        <v>3.1807800000000004</v>
      </c>
      <c r="V112" s="20">
        <f>+V102</f>
        <v>3.2258599999999999</v>
      </c>
      <c r="W112" s="20">
        <f>+W102</f>
        <v>3.1925300000000001</v>
      </c>
      <c r="X112" s="20">
        <f>+X102</f>
        <v>3.1800100000000002</v>
      </c>
      <c r="Y112" s="20">
        <f>+Y102</f>
        <v>3.2293000000000003</v>
      </c>
      <c r="Z112" s="20">
        <f>+Z102</f>
        <v>3.2239</v>
      </c>
      <c r="AA112" s="20">
        <f>+AA102</f>
        <v>3.1999299999999997</v>
      </c>
      <c r="AB112" s="20">
        <f>+AB102</f>
        <v>3.1926199999999998</v>
      </c>
      <c r="AC112" s="20">
        <f>+AC102</f>
        <v>3.1934399999999998</v>
      </c>
      <c r="AD112" s="22">
        <f>SUM(R112:AC112)</f>
        <v>38.427750000000003</v>
      </c>
      <c r="AE112" s="20">
        <f>+AE102</f>
        <v>3.20418</v>
      </c>
      <c r="AF112" s="20">
        <f>+AF102</f>
        <v>3.1887099999999999</v>
      </c>
      <c r="AG112" s="20">
        <f>+AG102</f>
        <v>3.2064499999999998</v>
      </c>
      <c r="AH112" s="20">
        <f>+AH102</f>
        <v>3.1915399999999998</v>
      </c>
      <c r="AI112" s="20">
        <f>+AI102</f>
        <v>3.18709</v>
      </c>
      <c r="AJ112" s="20">
        <f>+AJ102</f>
        <v>3.18086</v>
      </c>
      <c r="AK112" s="20">
        <f>+AK102</f>
        <v>3.2305900000000003</v>
      </c>
      <c r="AL112" s="20">
        <f>+AL102</f>
        <v>3.1849499999999997</v>
      </c>
      <c r="AM112" s="20">
        <f>+AM102</f>
        <v>3.1779600000000001</v>
      </c>
      <c r="AN112" s="20">
        <f>+AN102</f>
        <v>3.2045300000000001</v>
      </c>
      <c r="AO112" s="22">
        <f>SUM(AE112:AN112)</f>
        <v>31.956859999999999</v>
      </c>
      <c r="AP112" s="22">
        <f>SUM(AO112,AB112:AC112)</f>
        <v>38.342919999999999</v>
      </c>
    </row>
    <row r="113" spans="2:42" s="34" customFormat="1" x14ac:dyDescent="0.2">
      <c r="B113" s="33" t="s">
        <v>77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2">
        <f>SUM(E113:P113)</f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2">
        <f>SUM(R113:AC113)</f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2">
        <f>SUM(AE113:AN113)</f>
        <v>0</v>
      </c>
      <c r="AP113" s="22">
        <f>SUM(AO113,AB113:AC113)</f>
        <v>0</v>
      </c>
    </row>
    <row r="114" spans="2:42" x14ac:dyDescent="0.2">
      <c r="B114" s="12" t="str">
        <f>+B110</f>
        <v>Adjusted EBITDA</v>
      </c>
      <c r="C114" s="13"/>
      <c r="D114" s="13"/>
      <c r="E114" s="42">
        <f>+E107+SUM(E111:E113)</f>
        <v>71.921715387341123</v>
      </c>
      <c r="F114" s="42">
        <f>+F107+SUM(F111:F113)</f>
        <v>237.4481978570648</v>
      </c>
      <c r="G114" s="42">
        <f>+G107+SUM(G111:G113)</f>
        <v>71.513991534303386</v>
      </c>
      <c r="H114" s="42">
        <f>+H107+SUM(H111:H113)</f>
        <v>-71.277764101099478</v>
      </c>
      <c r="I114" s="42">
        <f>+I107+SUM(I111:I113)</f>
        <v>-19.082868237695187</v>
      </c>
      <c r="J114" s="42">
        <f>+J107+SUM(J111:J113)</f>
        <v>-46.181791723492665</v>
      </c>
      <c r="K114" s="42">
        <f>+K107+SUM(K111:K113)</f>
        <v>-22.586529196926424</v>
      </c>
      <c r="L114" s="42">
        <f>+L107+SUM(L111:L113)</f>
        <v>-2.365899470459691</v>
      </c>
      <c r="M114" s="42">
        <f>+M107+SUM(M111:M113)</f>
        <v>118.71425543608106</v>
      </c>
      <c r="N114" s="42">
        <f>+N107+SUM(N111:N113)</f>
        <v>-42.805794054760291</v>
      </c>
      <c r="O114" s="42">
        <f>+O107+SUM(O111:O113)</f>
        <v>26.03007007503523</v>
      </c>
      <c r="P114" s="42">
        <f>+P107+SUM(P111:P113)</f>
        <v>92.335866672142586</v>
      </c>
      <c r="Q114" s="43">
        <f>+Q107+SUM(Q111:Q113)</f>
        <v>413.66345017753463</v>
      </c>
      <c r="R114" s="42">
        <f>+R107+SUM(R111:R113)</f>
        <v>18.191787414414048</v>
      </c>
      <c r="S114" s="42">
        <f>+S107+SUM(S111:S113)</f>
        <v>22.227273374940239</v>
      </c>
      <c r="T114" s="42">
        <f>+T107+SUM(T111:T113)</f>
        <v>36.526766836606662</v>
      </c>
      <c r="U114" s="42">
        <f>+U107+SUM(U111:U113)</f>
        <v>-11.58441305318927</v>
      </c>
      <c r="V114" s="42">
        <f>+V107+SUM(V111:V113)</f>
        <v>-12.859427823232174</v>
      </c>
      <c r="W114" s="42">
        <f>+W107+SUM(W111:W113)</f>
        <v>120.01688519529027</v>
      </c>
      <c r="X114" s="42">
        <f>+X107+SUM(X111:X113)</f>
        <v>-9.4788008180959409</v>
      </c>
      <c r="Y114" s="42">
        <f>+Y107+SUM(Y111:Y113)</f>
        <v>33.623689495792888</v>
      </c>
      <c r="Z114" s="42">
        <f>+Z107+SUM(Z111:Z113)</f>
        <v>111.59955326481675</v>
      </c>
      <c r="AA114" s="42">
        <f>+AA107+SUM(AA111:AA113)</f>
        <v>-51.431177431812699</v>
      </c>
      <c r="AB114" s="42">
        <f>+AB107+SUM(AB111:AB113)</f>
        <v>59.852369475550731</v>
      </c>
      <c r="AC114" s="42">
        <f>+AC107+SUM(AC111:AC113)</f>
        <v>76.3021534865766</v>
      </c>
      <c r="AD114" s="43">
        <f>+AD107+SUM(AD111:AD113)</f>
        <v>392.98665941765807</v>
      </c>
      <c r="AE114" s="42">
        <f>+AE107+SUM(AE111:AE113)</f>
        <v>-6.8561257084125709</v>
      </c>
      <c r="AF114" s="42">
        <f>+AF107+SUM(AF111:AF113)</f>
        <v>-32.52500359335756</v>
      </c>
      <c r="AG114" s="42">
        <f>+AG107+SUM(AG111:AG113)</f>
        <v>85.613059357826955</v>
      </c>
      <c r="AH114" s="42">
        <f>+AH107+SUM(AH111:AH113)</f>
        <v>24.076179381281225</v>
      </c>
      <c r="AI114" s="42">
        <f>+AI107+SUM(AI111:AI113)</f>
        <v>-17.942925983948378</v>
      </c>
      <c r="AJ114" s="42">
        <f>+AJ107+SUM(AJ111:AJ113)</f>
        <v>33.702061919179719</v>
      </c>
      <c r="AK114" s="42">
        <f>+AK107+SUM(AK111:AK113)</f>
        <v>15.375912518490644</v>
      </c>
      <c r="AL114" s="42">
        <f>+AL107+SUM(AL111:AL113)</f>
        <v>1.88904950058203</v>
      </c>
      <c r="AM114" s="42">
        <f>+AM107+SUM(AM111:AM113)</f>
        <v>55.485117471627397</v>
      </c>
      <c r="AN114" s="42">
        <f>+AN107+SUM(AN111:AN113)</f>
        <v>58.144091541538344</v>
      </c>
      <c r="AO114" s="43">
        <f>+AO107+SUM(AO111:AO113)</f>
        <v>216.96141640480744</v>
      </c>
      <c r="AP114" s="43">
        <f>+AP107+SUM(AP111:AP113)</f>
        <v>353.11593936693379</v>
      </c>
    </row>
    <row r="115" spans="2:42" x14ac:dyDescent="0.2">
      <c r="B115" s="14"/>
      <c r="C115" s="15"/>
      <c r="D115" s="15"/>
      <c r="E115" s="49">
        <f>IFERROR(E114/E$19,0)</f>
        <v>0.24010790073643781</v>
      </c>
      <c r="F115" s="49">
        <f t="shared" ref="F115:AP115" si="78">IFERROR(F114/F$19,0)</f>
        <v>0.96592926629616227</v>
      </c>
      <c r="G115" s="49">
        <f t="shared" si="78"/>
        <v>0.24132361997501298</v>
      </c>
      <c r="H115" s="49">
        <f t="shared" si="78"/>
        <v>-0.43438325506438868</v>
      </c>
      <c r="I115" s="49">
        <f t="shared" si="78"/>
        <v>-6.8902304703848116E-2</v>
      </c>
      <c r="J115" s="49">
        <f t="shared" si="78"/>
        <v>-0.10813035404445928</v>
      </c>
      <c r="K115" s="49">
        <f t="shared" si="78"/>
        <v>-0.11868363303820792</v>
      </c>
      <c r="L115" s="49">
        <f t="shared" si="78"/>
        <v>-9.5431653386791864E-3</v>
      </c>
      <c r="M115" s="49">
        <f t="shared" si="78"/>
        <v>0.24095011954370679</v>
      </c>
      <c r="N115" s="49">
        <f t="shared" si="78"/>
        <v>-0.22233885618036811</v>
      </c>
      <c r="O115" s="49">
        <f t="shared" si="78"/>
        <v>0.10675632889237527</v>
      </c>
      <c r="P115" s="49">
        <f t="shared" si="78"/>
        <v>0.22634429543920867</v>
      </c>
      <c r="Q115" s="50">
        <f t="shared" si="78"/>
        <v>0.1186963945226303</v>
      </c>
      <c r="R115" s="49">
        <f t="shared" si="78"/>
        <v>7.0001880111953241E-2</v>
      </c>
      <c r="S115" s="49">
        <f t="shared" si="78"/>
        <v>7.5040568814778719E-2</v>
      </c>
      <c r="T115" s="49">
        <f t="shared" si="78"/>
        <v>7.80032157410573E-2</v>
      </c>
      <c r="U115" s="49">
        <f t="shared" si="78"/>
        <v>-5.068304476777348E-2</v>
      </c>
      <c r="V115" s="49">
        <f t="shared" si="78"/>
        <v>-3.3566681967677973E-2</v>
      </c>
      <c r="W115" s="49">
        <f t="shared" si="78"/>
        <v>0.22956417252732531</v>
      </c>
      <c r="X115" s="49">
        <f t="shared" si="78"/>
        <v>-2.1548646234461021E-2</v>
      </c>
      <c r="Y115" s="49">
        <f t="shared" si="78"/>
        <v>0.106600674761939</v>
      </c>
      <c r="Z115" s="49">
        <f t="shared" si="78"/>
        <v>0.22793454551559086</v>
      </c>
      <c r="AA115" s="49">
        <f t="shared" si="78"/>
        <v>-0.147744475106106</v>
      </c>
      <c r="AB115" s="49">
        <f t="shared" si="78"/>
        <v>0.14135092254023912</v>
      </c>
      <c r="AC115" s="49">
        <f t="shared" si="78"/>
        <v>0.19798569586255121</v>
      </c>
      <c r="AD115" s="50">
        <f t="shared" si="78"/>
        <v>8.6168762722334341E-2</v>
      </c>
      <c r="AE115" s="49">
        <f t="shared" si="78"/>
        <v>-3.0379655335633318E-2</v>
      </c>
      <c r="AF115" s="49">
        <f t="shared" si="78"/>
        <v>-0.14388168954275052</v>
      </c>
      <c r="AG115" s="49">
        <f t="shared" si="78"/>
        <v>0.20985378827479975</v>
      </c>
      <c r="AH115" s="49">
        <f t="shared" si="78"/>
        <v>6.0895361068047313E-2</v>
      </c>
      <c r="AI115" s="49">
        <f t="shared" si="78"/>
        <v>-6.8238013678391746E-2</v>
      </c>
      <c r="AJ115" s="49">
        <f t="shared" si="78"/>
        <v>8.1647472921790823E-2</v>
      </c>
      <c r="AK115" s="49">
        <f t="shared" si="78"/>
        <v>4.6837268899304875E-2</v>
      </c>
      <c r="AL115" s="49">
        <f t="shared" si="78"/>
        <v>5.0703821271976309E-3</v>
      </c>
      <c r="AM115" s="49">
        <f t="shared" si="78"/>
        <v>0.16837919204000626</v>
      </c>
      <c r="AN115" s="49">
        <f t="shared" si="78"/>
        <v>0.14837862415332206</v>
      </c>
      <c r="AO115" s="50">
        <f t="shared" si="78"/>
        <v>6.4706100519811016E-2</v>
      </c>
      <c r="AP115" s="50">
        <f t="shared" si="78"/>
        <v>8.484586512961928E-2</v>
      </c>
    </row>
    <row r="116" spans="2:42" s="165" customFormat="1" ht="11.25" outlineLevel="1" x14ac:dyDescent="0.2">
      <c r="B116" s="165" t="s">
        <v>212</v>
      </c>
      <c r="E116" s="166">
        <f>+ROUND('1. Income Statement'!E133-'1.1 Adjusted Income Stmt'!E114,2)</f>
        <v>0</v>
      </c>
      <c r="F116" s="166">
        <f>+ROUND('1. Income Statement'!F133-'1.1 Adjusted Income Stmt'!F114,2)</f>
        <v>0</v>
      </c>
      <c r="G116" s="166">
        <f>+ROUND('1. Income Statement'!G133-'1.1 Adjusted Income Stmt'!G114,2)</f>
        <v>0</v>
      </c>
      <c r="H116" s="166">
        <f>+ROUND('1. Income Statement'!H133-'1.1 Adjusted Income Stmt'!H114,2)</f>
        <v>0</v>
      </c>
      <c r="I116" s="166">
        <f>+ROUND('1. Income Statement'!I133-'1.1 Adjusted Income Stmt'!I114,2)</f>
        <v>0</v>
      </c>
      <c r="J116" s="166">
        <f>+ROUND('1. Income Statement'!J133-'1.1 Adjusted Income Stmt'!J114,2)</f>
        <v>0</v>
      </c>
      <c r="K116" s="166">
        <f>+ROUND('1. Income Statement'!K133-'1.1 Adjusted Income Stmt'!K114,2)</f>
        <v>0</v>
      </c>
      <c r="L116" s="166">
        <f>+ROUND('1. Income Statement'!L133-'1.1 Adjusted Income Stmt'!L114,2)</f>
        <v>0</v>
      </c>
      <c r="M116" s="166">
        <f>+ROUND('1. Income Statement'!M133-'1.1 Adjusted Income Stmt'!M114,2)</f>
        <v>0</v>
      </c>
      <c r="N116" s="166">
        <f>+ROUND('1. Income Statement'!N133-'1.1 Adjusted Income Stmt'!N114,2)</f>
        <v>0</v>
      </c>
      <c r="O116" s="166">
        <f>+ROUND('1. Income Statement'!O133-'1.1 Adjusted Income Stmt'!O114,2)</f>
        <v>0</v>
      </c>
      <c r="P116" s="166">
        <f>+ROUND('1. Income Statement'!P133-'1.1 Adjusted Income Stmt'!P114,2)</f>
        <v>0</v>
      </c>
      <c r="Q116" s="166">
        <f>+ROUND('1. Income Statement'!Q133-'1.1 Adjusted Income Stmt'!Q114,2)</f>
        <v>0</v>
      </c>
      <c r="R116" s="166">
        <f>+ROUND('1. Income Statement'!R133-'1.1 Adjusted Income Stmt'!R114,2)</f>
        <v>0</v>
      </c>
      <c r="S116" s="166">
        <f>+ROUND('1. Income Statement'!S133-'1.1 Adjusted Income Stmt'!S114,2)</f>
        <v>0</v>
      </c>
      <c r="T116" s="166">
        <f>+ROUND('1. Income Statement'!T133-'1.1 Adjusted Income Stmt'!T114,2)</f>
        <v>0</v>
      </c>
      <c r="U116" s="166">
        <f>+ROUND('1. Income Statement'!U133-'1.1 Adjusted Income Stmt'!U114,2)</f>
        <v>0</v>
      </c>
      <c r="V116" s="166">
        <f>+ROUND('1. Income Statement'!V133-'1.1 Adjusted Income Stmt'!V114,2)</f>
        <v>0</v>
      </c>
      <c r="W116" s="166">
        <f>+ROUND('1. Income Statement'!W133-'1.1 Adjusted Income Stmt'!W114,2)</f>
        <v>0</v>
      </c>
      <c r="X116" s="166">
        <f>+ROUND('1. Income Statement'!X133-'1.1 Adjusted Income Stmt'!X114,2)</f>
        <v>0</v>
      </c>
      <c r="Y116" s="166">
        <f>+ROUND('1. Income Statement'!Y133-'1.1 Adjusted Income Stmt'!Y114,2)</f>
        <v>0</v>
      </c>
      <c r="Z116" s="166">
        <f>+ROUND('1. Income Statement'!Z133-'1.1 Adjusted Income Stmt'!Z114,2)</f>
        <v>0</v>
      </c>
      <c r="AA116" s="166">
        <f>+ROUND('1. Income Statement'!AA133-'1.1 Adjusted Income Stmt'!AA114,2)</f>
        <v>0</v>
      </c>
      <c r="AB116" s="166">
        <f>+ROUND('1. Income Statement'!AB133-'1.1 Adjusted Income Stmt'!AB114,2)</f>
        <v>0</v>
      </c>
      <c r="AC116" s="166">
        <f>+ROUND('1. Income Statement'!AC133-'1.1 Adjusted Income Stmt'!AC114,2)</f>
        <v>0</v>
      </c>
      <c r="AD116" s="166">
        <f>+ROUND('1. Income Statement'!AD133-'1.1 Adjusted Income Stmt'!AD114,2)</f>
        <v>0</v>
      </c>
      <c r="AE116" s="166">
        <f>+ROUND('1. Income Statement'!AE133-'1.1 Adjusted Income Stmt'!AE114,2)</f>
        <v>0</v>
      </c>
      <c r="AF116" s="166">
        <f>+ROUND('1. Income Statement'!AF133-'1.1 Adjusted Income Stmt'!AF114,2)</f>
        <v>0</v>
      </c>
      <c r="AG116" s="166">
        <f>+ROUND('1. Income Statement'!AG133-'1.1 Adjusted Income Stmt'!AG114,2)</f>
        <v>0</v>
      </c>
      <c r="AH116" s="166">
        <f>+ROUND('1. Income Statement'!AH133-'1.1 Adjusted Income Stmt'!AH114,2)</f>
        <v>0</v>
      </c>
      <c r="AI116" s="166">
        <f>+ROUND('1. Income Statement'!AI133-'1.1 Adjusted Income Stmt'!AI114,2)</f>
        <v>0</v>
      </c>
      <c r="AJ116" s="166">
        <f>+ROUND('1. Income Statement'!AJ133-'1.1 Adjusted Income Stmt'!AJ114,2)</f>
        <v>0</v>
      </c>
      <c r="AK116" s="166">
        <f>+ROUND('1. Income Statement'!AK133-'1.1 Adjusted Income Stmt'!AK114,2)</f>
        <v>0</v>
      </c>
      <c r="AL116" s="166">
        <f>+ROUND('1. Income Statement'!AL133-'1.1 Adjusted Income Stmt'!AL114,2)</f>
        <v>0</v>
      </c>
      <c r="AM116" s="166">
        <f>+ROUND('1. Income Statement'!AM133-'1.1 Adjusted Income Stmt'!AM114,2)</f>
        <v>0</v>
      </c>
      <c r="AN116" s="166">
        <f>+ROUND('1. Income Statement'!AN133-'1.1 Adjusted Income Stmt'!AN114,2)</f>
        <v>0</v>
      </c>
      <c r="AO116" s="166">
        <f>+ROUND('1. Income Statement'!AO133-'1.1 Adjusted Income Stmt'!AO114,2)</f>
        <v>0</v>
      </c>
      <c r="AP116" s="166">
        <f>+ROUND('1. Income Statement'!AP133-'1.1 Adjusted Income Stmt'!AP114,2)</f>
        <v>0</v>
      </c>
    </row>
  </sheetData>
  <pageMargins left="0.7" right="0.7" top="0.75" bottom="0.75" header="0.3" footer="0.3"/>
  <ignoredErrors>
    <ignoredError sqref="Q10:AP45 C95:AP1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03E6-82BF-4FAC-B698-95B17FF142FE}">
  <dimension ref="B3:AQ68"/>
  <sheetViews>
    <sheetView showGridLines="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5" sqref="B5"/>
    </sheetView>
  </sheetViews>
  <sheetFormatPr defaultRowHeight="12" outlineLevelRow="1" outlineLevelCol="1" x14ac:dyDescent="0.2"/>
  <cols>
    <col min="1" max="1" width="1.7109375" style="4" customWidth="1"/>
    <col min="2" max="2" width="17.5703125" style="4" customWidth="1"/>
    <col min="3" max="4" width="9.140625" style="4"/>
    <col min="5" max="5" width="9.85546875" style="4" bestFit="1" customWidth="1"/>
    <col min="6" max="16" width="9.140625" style="4" hidden="1" customWidth="1" outlineLevel="1"/>
    <col min="17" max="17" width="9.140625" style="4" collapsed="1"/>
    <col min="18" max="28" width="9.140625" style="4" hidden="1" customWidth="1" outlineLevel="1"/>
    <col min="29" max="29" width="9.140625" style="4" collapsed="1"/>
    <col min="30" max="38" width="9.140625" style="4" outlineLevel="1"/>
    <col min="39" max="40" width="9.140625" style="4"/>
    <col min="41" max="41" width="9.140625" style="4" hidden="1" customWidth="1" outlineLevel="1"/>
    <col min="42" max="42" width="0" style="4" hidden="1" customWidth="1" outlineLevel="1"/>
    <col min="43" max="43" width="9.140625" style="4" collapsed="1"/>
    <col min="44" max="16384" width="9.140625" style="4"/>
  </cols>
  <sheetData>
    <row r="3" spans="2:42" ht="12.75" thickBo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5" spans="2:42" x14ac:dyDescent="0.2">
      <c r="B5" s="2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64"/>
    </row>
    <row r="6" spans="2:42" x14ac:dyDescent="0.2">
      <c r="B6" s="24" t="s">
        <v>68</v>
      </c>
      <c r="C6" s="5"/>
      <c r="D6" s="5"/>
      <c r="E6" s="7">
        <v>44926</v>
      </c>
      <c r="F6" s="7">
        <f>EOMONTH(E6,1)</f>
        <v>44957</v>
      </c>
      <c r="G6" s="7">
        <f t="shared" ref="G6:AM6" si="0">EOMONTH(F6,1)</f>
        <v>44985</v>
      </c>
      <c r="H6" s="7">
        <f t="shared" si="0"/>
        <v>45016</v>
      </c>
      <c r="I6" s="7">
        <f t="shared" si="0"/>
        <v>45046</v>
      </c>
      <c r="J6" s="7">
        <f t="shared" si="0"/>
        <v>45077</v>
      </c>
      <c r="K6" s="7">
        <f t="shared" si="0"/>
        <v>45107</v>
      </c>
      <c r="L6" s="7">
        <f t="shared" si="0"/>
        <v>45138</v>
      </c>
      <c r="M6" s="7">
        <f t="shared" si="0"/>
        <v>45169</v>
      </c>
      <c r="N6" s="7">
        <f t="shared" si="0"/>
        <v>45199</v>
      </c>
      <c r="O6" s="7">
        <f t="shared" si="0"/>
        <v>45230</v>
      </c>
      <c r="P6" s="7">
        <f t="shared" si="0"/>
        <v>45260</v>
      </c>
      <c r="Q6" s="7">
        <f t="shared" si="0"/>
        <v>45291</v>
      </c>
      <c r="R6" s="7">
        <f t="shared" si="0"/>
        <v>45322</v>
      </c>
      <c r="S6" s="7">
        <f t="shared" si="0"/>
        <v>45351</v>
      </c>
      <c r="T6" s="7">
        <f t="shared" si="0"/>
        <v>45382</v>
      </c>
      <c r="U6" s="7">
        <f t="shared" si="0"/>
        <v>45412</v>
      </c>
      <c r="V6" s="7">
        <f t="shared" si="0"/>
        <v>45443</v>
      </c>
      <c r="W6" s="7">
        <f t="shared" si="0"/>
        <v>45473</v>
      </c>
      <c r="X6" s="7">
        <f t="shared" si="0"/>
        <v>45504</v>
      </c>
      <c r="Y6" s="7">
        <f t="shared" si="0"/>
        <v>45535</v>
      </c>
      <c r="Z6" s="7">
        <f t="shared" si="0"/>
        <v>45565</v>
      </c>
      <c r="AA6" s="7">
        <f t="shared" si="0"/>
        <v>45596</v>
      </c>
      <c r="AB6" s="7">
        <f t="shared" si="0"/>
        <v>45626</v>
      </c>
      <c r="AC6" s="7">
        <f t="shared" si="0"/>
        <v>45657</v>
      </c>
      <c r="AD6" s="7">
        <f t="shared" si="0"/>
        <v>45688</v>
      </c>
      <c r="AE6" s="7">
        <f t="shared" si="0"/>
        <v>45716</v>
      </c>
      <c r="AF6" s="7">
        <f t="shared" si="0"/>
        <v>45747</v>
      </c>
      <c r="AG6" s="7">
        <f t="shared" si="0"/>
        <v>45777</v>
      </c>
      <c r="AH6" s="7">
        <f t="shared" si="0"/>
        <v>45808</v>
      </c>
      <c r="AI6" s="7">
        <f t="shared" si="0"/>
        <v>45838</v>
      </c>
      <c r="AJ6" s="7">
        <f t="shared" si="0"/>
        <v>45869</v>
      </c>
      <c r="AK6" s="7">
        <f t="shared" si="0"/>
        <v>45900</v>
      </c>
      <c r="AL6" s="7">
        <f t="shared" si="0"/>
        <v>45930</v>
      </c>
      <c r="AM6" s="65">
        <f t="shared" si="0"/>
        <v>45961</v>
      </c>
      <c r="AO6" s="4" t="s">
        <v>103</v>
      </c>
      <c r="AP6" s="89" t="s">
        <v>184</v>
      </c>
    </row>
    <row r="7" spans="2:42" ht="5.0999999999999996" customHeight="1" x14ac:dyDescent="0.2">
      <c r="B7" s="25"/>
      <c r="E7" s="16"/>
      <c r="Q7" s="16"/>
      <c r="AC7" s="16"/>
      <c r="AM7" s="16"/>
    </row>
    <row r="8" spans="2:42" x14ac:dyDescent="0.2">
      <c r="B8" s="26" t="s">
        <v>100</v>
      </c>
      <c r="E8" s="16"/>
      <c r="Q8" s="16"/>
      <c r="AC8" s="16"/>
      <c r="AM8" s="16"/>
    </row>
    <row r="9" spans="2:42" x14ac:dyDescent="0.2">
      <c r="B9" s="29" t="s">
        <v>101</v>
      </c>
      <c r="E9" s="61">
        <f>SUMIF('Balance Sheet Source'!$A:$A,'2. Balance Sheet'!$AO9,'Balance Sheet Source'!D:D)/1000</f>
        <v>500</v>
      </c>
      <c r="F9" s="57">
        <f>SUMIF('Balance Sheet Source'!$A:$A,'2. Balance Sheet'!$AO9,'Balance Sheet Source'!E:E)/1000</f>
        <v>396.50908999999996</v>
      </c>
      <c r="G9" s="57">
        <f>SUMIF('Balance Sheet Source'!$A:$A,'2. Balance Sheet'!$AO9,'Balance Sheet Source'!F:F)/1000</f>
        <v>525.65724999999986</v>
      </c>
      <c r="H9" s="57">
        <f>SUMIF('Balance Sheet Source'!$A:$A,'2. Balance Sheet'!$AO9,'Balance Sheet Source'!G:G)/1000</f>
        <v>553.69547999999986</v>
      </c>
      <c r="I9" s="57">
        <f>SUMIF('Balance Sheet Source'!$A:$A,'2. Balance Sheet'!$AO9,'Balance Sheet Source'!H:H)/1000</f>
        <v>600.24556999999982</v>
      </c>
      <c r="J9" s="57">
        <f>SUMIF('Balance Sheet Source'!$A:$A,'2. Balance Sheet'!$AO9,'Balance Sheet Source'!I:I)/1000</f>
        <v>480.64308999999986</v>
      </c>
      <c r="K9" s="57">
        <f>SUMIF('Balance Sheet Source'!$A:$A,'2. Balance Sheet'!$AO9,'Balance Sheet Source'!J:J)/1000</f>
        <v>456.60878999999989</v>
      </c>
      <c r="L9" s="57">
        <f>SUMIF('Balance Sheet Source'!$A:$A,'2. Balance Sheet'!$AO9,'Balance Sheet Source'!K:K)/1000</f>
        <v>374.49772999999988</v>
      </c>
      <c r="M9" s="57">
        <f>SUMIF('Balance Sheet Source'!$A:$A,'2. Balance Sheet'!$AO9,'Balance Sheet Source'!L:L)/1000</f>
        <v>637.86900999999978</v>
      </c>
      <c r="N9" s="57">
        <f>SUMIF('Balance Sheet Source'!$A:$A,'2. Balance Sheet'!$AO9,'Balance Sheet Source'!M:M)/1000</f>
        <v>562.04740999999979</v>
      </c>
      <c r="O9" s="57">
        <f>SUMIF('Balance Sheet Source'!$A:$A,'2. Balance Sheet'!$AO9,'Balance Sheet Source'!N:N)/1000</f>
        <v>554.65994999999987</v>
      </c>
      <c r="P9" s="57">
        <f>SUMIF('Balance Sheet Source'!$A:$A,'2. Balance Sheet'!$AO9,'Balance Sheet Source'!O:O)/1000</f>
        <v>629.57514999999989</v>
      </c>
      <c r="Q9" s="61">
        <f>SUMIF('Balance Sheet Source'!$A:$A,'2. Balance Sheet'!$AO9,'Balance Sheet Source'!P:P)/1000</f>
        <v>639.38830999999993</v>
      </c>
      <c r="R9" s="57">
        <f>SUMIF('Balance Sheet Source'!$A:$A,'2. Balance Sheet'!$AO9,'Balance Sheet Source'!Q:Q)/1000</f>
        <v>539.37554999999986</v>
      </c>
      <c r="S9" s="57">
        <f>SUMIF('Balance Sheet Source'!$A:$A,'2. Balance Sheet'!$AO9,'Balance Sheet Source'!R:R)/1000</f>
        <v>554.93012999999974</v>
      </c>
      <c r="T9" s="57">
        <f>SUMIF('Balance Sheet Source'!$A:$A,'2. Balance Sheet'!$AO9,'Balance Sheet Source'!S:S)/1000</f>
        <v>507.44681999999972</v>
      </c>
      <c r="U9" s="57">
        <f>SUMIF('Balance Sheet Source'!$A:$A,'2. Balance Sheet'!$AO9,'Balance Sheet Source'!T:T)/1000</f>
        <v>418.73640999999969</v>
      </c>
      <c r="V9" s="57">
        <f>SUMIF('Balance Sheet Source'!$A:$A,'2. Balance Sheet'!$AO9,'Balance Sheet Source'!U:U)/1000</f>
        <v>312.55084999999968</v>
      </c>
      <c r="W9" s="57">
        <f>SUMIF('Balance Sheet Source'!$A:$A,'2. Balance Sheet'!$AO9,'Balance Sheet Source'!V:V)/1000</f>
        <v>415.05927999999966</v>
      </c>
      <c r="X9" s="57">
        <f>SUMIF('Balance Sheet Source'!$A:$A,'2. Balance Sheet'!$AO9,'Balance Sheet Source'!W:W)/1000</f>
        <v>446.17829999999981</v>
      </c>
      <c r="Y9" s="57">
        <f>SUMIF('Balance Sheet Source'!$A:$A,'2. Balance Sheet'!$AO9,'Balance Sheet Source'!X:X)/1000</f>
        <v>366.54193999999978</v>
      </c>
      <c r="Z9" s="57">
        <f>SUMIF('Balance Sheet Source'!$A:$A,'2. Balance Sheet'!$AO9,'Balance Sheet Source'!Y:Y)/1000</f>
        <v>385.06545999999975</v>
      </c>
      <c r="AA9" s="57">
        <f>SUMIF('Balance Sheet Source'!$A:$A,'2. Balance Sheet'!$AO9,'Balance Sheet Source'!Z:Z)/1000</f>
        <v>241.00647999999981</v>
      </c>
      <c r="AB9" s="57">
        <f>SUMIF('Balance Sheet Source'!$A:$A,'2. Balance Sheet'!$AO9,'Balance Sheet Source'!AA:AA)/1000</f>
        <v>228.74097999999975</v>
      </c>
      <c r="AC9" s="61">
        <f>SUMIF('Balance Sheet Source'!$A:$A,'2. Balance Sheet'!$AO9,'Balance Sheet Source'!AB:AB)/1000</f>
        <v>339.09079999999972</v>
      </c>
      <c r="AD9" s="57">
        <f>SUMIF('Balance Sheet Source'!$A:$A,'2. Balance Sheet'!$AO9,'Balance Sheet Source'!AC:AC)/1000</f>
        <v>389.42592999999982</v>
      </c>
      <c r="AE9" s="57">
        <f>SUMIF('Balance Sheet Source'!$A:$A,'2. Balance Sheet'!$AO9,'Balance Sheet Source'!AD:AD)/1000</f>
        <v>297.80831999999981</v>
      </c>
      <c r="AF9" s="57">
        <f>SUMIF('Balance Sheet Source'!$A:$A,'2. Balance Sheet'!$AO9,'Balance Sheet Source'!AE:AE)/1000</f>
        <v>309.49572999999987</v>
      </c>
      <c r="AG9" s="57">
        <f>SUMIF('Balance Sheet Source'!$A:$A,'2. Balance Sheet'!$AO9,'Balance Sheet Source'!AF:AF)/1000</f>
        <v>384.79238999999984</v>
      </c>
      <c r="AH9" s="57">
        <f>SUMIF('Balance Sheet Source'!$A:$A,'2. Balance Sheet'!$AO9,'Balance Sheet Source'!AG:AG)/1000</f>
        <v>366.1266999999998</v>
      </c>
      <c r="AI9" s="57">
        <f>SUMIF('Balance Sheet Source'!$A:$A,'2. Balance Sheet'!$AO9,'Balance Sheet Source'!AH:AH)/1000</f>
        <v>360.64276999999993</v>
      </c>
      <c r="AJ9" s="57">
        <f>SUMIF('Balance Sheet Source'!$A:$A,'2. Balance Sheet'!$AO9,'Balance Sheet Source'!AI:AI)/1000</f>
        <v>509.06552999999991</v>
      </c>
      <c r="AK9" s="57">
        <f>SUMIF('Balance Sheet Source'!$A:$A,'2. Balance Sheet'!$AO9,'Balance Sheet Source'!AJ:AJ)/1000</f>
        <v>545.00108999999998</v>
      </c>
      <c r="AL9" s="57">
        <f>SUMIF('Balance Sheet Source'!$A:$A,'2. Balance Sheet'!$AO9,'Balance Sheet Source'!AK:AK)/1000</f>
        <v>593.2441399999999</v>
      </c>
      <c r="AM9" s="61">
        <f>SUMIF('Balance Sheet Source'!$A:$A,'2. Balance Sheet'!$AO9,'Balance Sheet Source'!AL:AL)/1000</f>
        <v>699.37373000000002</v>
      </c>
      <c r="AO9" s="4" t="s">
        <v>101</v>
      </c>
    </row>
    <row r="10" spans="2:42" x14ac:dyDescent="0.2">
      <c r="B10" s="29" t="s">
        <v>102</v>
      </c>
      <c r="E10" s="61">
        <f>SUMIF('Balance Sheet Source'!$A:$A,'2. Balance Sheet'!$AO10,'Balance Sheet Source'!D:D)/1000</f>
        <v>250</v>
      </c>
      <c r="F10" s="57">
        <f>SUMIF('Balance Sheet Source'!$A:$A,'2. Balance Sheet'!$AO10,'Balance Sheet Source'!E:E)/1000</f>
        <v>464.976</v>
      </c>
      <c r="G10" s="57">
        <f>SUMIF('Balance Sheet Source'!$A:$A,'2. Balance Sheet'!$AO10,'Balance Sheet Source'!F:F)/1000</f>
        <v>579.08613000000003</v>
      </c>
      <c r="H10" s="57">
        <f>SUMIF('Balance Sheet Source'!$A:$A,'2. Balance Sheet'!$AO10,'Balance Sheet Source'!G:G)/1000</f>
        <v>621.36407999999994</v>
      </c>
      <c r="I10" s="57">
        <f>SUMIF('Balance Sheet Source'!$A:$A,'2. Balance Sheet'!$AO10,'Balance Sheet Source'!H:H)/1000</f>
        <v>604.46983</v>
      </c>
      <c r="J10" s="57">
        <f>SUMIF('Balance Sheet Source'!$A:$A,'2. Balance Sheet'!$AO10,'Balance Sheet Source'!I:I)/1000</f>
        <v>703.85857999999996</v>
      </c>
      <c r="K10" s="57">
        <f>SUMIF('Balance Sheet Source'!$A:$A,'2. Balance Sheet'!$AO10,'Balance Sheet Source'!J:J)/1000</f>
        <v>783.16005999999993</v>
      </c>
      <c r="L10" s="57">
        <f>SUMIF('Balance Sheet Source'!$A:$A,'2. Balance Sheet'!$AO10,'Balance Sheet Source'!K:K)/1000</f>
        <v>809.02793999999994</v>
      </c>
      <c r="M10" s="57">
        <f>SUMIF('Balance Sheet Source'!$A:$A,'2. Balance Sheet'!$AO10,'Balance Sheet Source'!L:L)/1000</f>
        <v>611.65170999999998</v>
      </c>
      <c r="N10" s="57">
        <f>SUMIF('Balance Sheet Source'!$A:$A,'2. Balance Sheet'!$AO10,'Balance Sheet Source'!M:M)/1000</f>
        <v>802.04607999999996</v>
      </c>
      <c r="O10" s="57">
        <f>SUMIF('Balance Sheet Source'!$A:$A,'2. Balance Sheet'!$AO10,'Balance Sheet Source'!N:N)/1000</f>
        <v>670.48978999999997</v>
      </c>
      <c r="P10" s="57">
        <f>SUMIF('Balance Sheet Source'!$A:$A,'2. Balance Sheet'!$AO10,'Balance Sheet Source'!O:O)/1000</f>
        <v>634.8042999999999</v>
      </c>
      <c r="Q10" s="61">
        <f>SUMIF('Balance Sheet Source'!$A:$A,'2. Balance Sheet'!$AO10,'Balance Sheet Source'!P:P)/1000</f>
        <v>729.35066999999992</v>
      </c>
      <c r="R10" s="57">
        <f>SUMIF('Balance Sheet Source'!$A:$A,'2. Balance Sheet'!$AO10,'Balance Sheet Source'!Q:Q)/1000</f>
        <v>738.03233999999998</v>
      </c>
      <c r="S10" s="57">
        <f>SUMIF('Balance Sheet Source'!$A:$A,'2. Balance Sheet'!$AO10,'Balance Sheet Source'!R:R)/1000</f>
        <v>623.04309000000001</v>
      </c>
      <c r="T10" s="57">
        <f>SUMIF('Balance Sheet Source'!$A:$A,'2. Balance Sheet'!$AO10,'Balance Sheet Source'!S:S)/1000</f>
        <v>688.83862999999997</v>
      </c>
      <c r="U10" s="57">
        <f>SUMIF('Balance Sheet Source'!$A:$A,'2. Balance Sheet'!$AO10,'Balance Sheet Source'!T:T)/1000</f>
        <v>692.16988000000003</v>
      </c>
      <c r="V10" s="57">
        <f>SUMIF('Balance Sheet Source'!$A:$A,'2. Balance Sheet'!$AO10,'Balance Sheet Source'!U:U)/1000</f>
        <v>823.84789000000001</v>
      </c>
      <c r="W10" s="57">
        <f>SUMIF('Balance Sheet Source'!$A:$A,'2. Balance Sheet'!$AO10,'Balance Sheet Source'!V:V)/1000</f>
        <v>794.54111</v>
      </c>
      <c r="X10" s="57">
        <f>SUMIF('Balance Sheet Source'!$A:$A,'2. Balance Sheet'!$AO10,'Balance Sheet Source'!W:W)/1000</f>
        <v>771.40647000000001</v>
      </c>
      <c r="Y10" s="57">
        <f>SUMIF('Balance Sheet Source'!$A:$A,'2. Balance Sheet'!$AO10,'Balance Sheet Source'!X:X)/1000</f>
        <v>781.94920999999999</v>
      </c>
      <c r="Z10" s="57">
        <f>SUMIF('Balance Sheet Source'!$A:$A,'2. Balance Sheet'!$AO10,'Balance Sheet Source'!Y:Y)/1000</f>
        <v>889.04517999999996</v>
      </c>
      <c r="AA10" s="57">
        <f>SUMIF('Balance Sheet Source'!$A:$A,'2. Balance Sheet'!$AO10,'Balance Sheet Source'!Z:Z)/1000</f>
        <v>822.22555999999997</v>
      </c>
      <c r="AB10" s="57">
        <f>SUMIF('Balance Sheet Source'!$A:$A,'2. Balance Sheet'!$AO10,'Balance Sheet Source'!AA:AA)/1000</f>
        <v>794.49701999999991</v>
      </c>
      <c r="AC10" s="61">
        <f>SUMIF('Balance Sheet Source'!$A:$A,'2. Balance Sheet'!$AO10,'Balance Sheet Source'!AB:AB)/1000</f>
        <v>703.46903999999995</v>
      </c>
      <c r="AD10" s="57">
        <f>SUMIF('Balance Sheet Source'!$A:$A,'2. Balance Sheet'!$AO10,'Balance Sheet Source'!AC:AC)/1000</f>
        <v>632.65473999999995</v>
      </c>
      <c r="AE10" s="57">
        <f>SUMIF('Balance Sheet Source'!$A:$A,'2. Balance Sheet'!$AO10,'Balance Sheet Source'!AD:AD)/1000</f>
        <v>725.85874999999999</v>
      </c>
      <c r="AF10" s="57">
        <f>SUMIF('Balance Sheet Source'!$A:$A,'2. Balance Sheet'!$AO10,'Balance Sheet Source'!AE:AE)/1000</f>
        <v>804.71146999999996</v>
      </c>
      <c r="AG10" s="57">
        <f>SUMIF('Balance Sheet Source'!$A:$A,'2. Balance Sheet'!$AO10,'Balance Sheet Source'!AF:AF)/1000</f>
        <v>752.04932999999994</v>
      </c>
      <c r="AH10" s="57">
        <f>SUMIF('Balance Sheet Source'!$A:$A,'2. Balance Sheet'!$AO10,'Balance Sheet Source'!AG:AG)/1000</f>
        <v>724.03922</v>
      </c>
      <c r="AI10" s="57">
        <f>SUMIF('Balance Sheet Source'!$A:$A,'2. Balance Sheet'!$AO10,'Balance Sheet Source'!AH:AH)/1000</f>
        <v>890.22381999999993</v>
      </c>
      <c r="AJ10" s="57">
        <f>SUMIF('Balance Sheet Source'!$A:$A,'2. Balance Sheet'!$AO10,'Balance Sheet Source'!AI:AI)/1000</f>
        <v>804.7948100000001</v>
      </c>
      <c r="AK10" s="57">
        <f>SUMIF('Balance Sheet Source'!$A:$A,'2. Balance Sheet'!$AO10,'Balance Sheet Source'!AJ:AJ)/1000</f>
        <v>798.88924999999995</v>
      </c>
      <c r="AL10" s="57">
        <f>SUMIF('Balance Sheet Source'!$A:$A,'2. Balance Sheet'!$AO10,'Balance Sheet Source'!AK:AK)/1000</f>
        <v>823.65048999999999</v>
      </c>
      <c r="AM10" s="61">
        <f>SUMIF('Balance Sheet Source'!$A:$A,'2. Balance Sheet'!$AO10,'Balance Sheet Source'!AL:AL)/1000</f>
        <v>743.13761</v>
      </c>
      <c r="AO10" s="4" t="s">
        <v>102</v>
      </c>
      <c r="AP10" s="89" t="s">
        <v>183</v>
      </c>
    </row>
    <row r="11" spans="2:42" x14ac:dyDescent="0.2">
      <c r="B11" s="29" t="str">
        <f>+AO11</f>
        <v>Inventory - Materials</v>
      </c>
      <c r="E11" s="61">
        <f>SUMIF('Balance Sheet Source'!$A:$A,'2. Balance Sheet'!$AO11,'Balance Sheet Source'!D:D)/1000</f>
        <v>87.061920000000001</v>
      </c>
      <c r="F11" s="57">
        <f>SUMIF('Balance Sheet Source'!$A:$A,'2. Balance Sheet'!$AO11,'Balance Sheet Source'!E:E)/1000</f>
        <v>87.256419999999991</v>
      </c>
      <c r="G11" s="57">
        <f>SUMIF('Balance Sheet Source'!$A:$A,'2. Balance Sheet'!$AO11,'Balance Sheet Source'!F:F)/1000</f>
        <v>96.046350000000004</v>
      </c>
      <c r="H11" s="57">
        <f>SUMIF('Balance Sheet Source'!$A:$A,'2. Balance Sheet'!$AO11,'Balance Sheet Source'!G:G)/1000</f>
        <v>87.278220000000005</v>
      </c>
      <c r="I11" s="57">
        <f>SUMIF('Balance Sheet Source'!$A:$A,'2. Balance Sheet'!$AO11,'Balance Sheet Source'!H:H)/1000</f>
        <v>98.962210000000013</v>
      </c>
      <c r="J11" s="57">
        <f>SUMIF('Balance Sheet Source'!$A:$A,'2. Balance Sheet'!$AO11,'Balance Sheet Source'!I:I)/1000</f>
        <v>86.952079999999995</v>
      </c>
      <c r="K11" s="57">
        <f>SUMIF('Balance Sheet Source'!$A:$A,'2. Balance Sheet'!$AO11,'Balance Sheet Source'!J:J)/1000</f>
        <v>100.28192</v>
      </c>
      <c r="L11" s="57">
        <f>SUMIF('Balance Sheet Source'!$A:$A,'2. Balance Sheet'!$AO11,'Balance Sheet Source'!K:K)/1000</f>
        <v>86.83635000000001</v>
      </c>
      <c r="M11" s="57">
        <f>SUMIF('Balance Sheet Source'!$A:$A,'2. Balance Sheet'!$AO11,'Balance Sheet Source'!L:L)/1000</f>
        <v>90.387670000000014</v>
      </c>
      <c r="N11" s="57">
        <f>SUMIF('Balance Sheet Source'!$A:$A,'2. Balance Sheet'!$AO11,'Balance Sheet Source'!M:M)/1000</f>
        <v>97.791670000000025</v>
      </c>
      <c r="O11" s="57">
        <f>SUMIF('Balance Sheet Source'!$A:$A,'2. Balance Sheet'!$AO11,'Balance Sheet Source'!N:N)/1000</f>
        <v>93.703150000000036</v>
      </c>
      <c r="P11" s="57">
        <f>SUMIF('Balance Sheet Source'!$A:$A,'2. Balance Sheet'!$AO11,'Balance Sheet Source'!O:O)/1000</f>
        <v>79.137560000000036</v>
      </c>
      <c r="Q11" s="61">
        <f>SUMIF('Balance Sheet Source'!$A:$A,'2. Balance Sheet'!$AO11,'Balance Sheet Source'!P:P)/1000</f>
        <v>96.059540000000041</v>
      </c>
      <c r="R11" s="57">
        <f>SUMIF('Balance Sheet Source'!$A:$A,'2. Balance Sheet'!$AO11,'Balance Sheet Source'!Q:Q)/1000</f>
        <v>103.25836000000004</v>
      </c>
      <c r="S11" s="57">
        <f>SUMIF('Balance Sheet Source'!$A:$A,'2. Balance Sheet'!$AO11,'Balance Sheet Source'!R:R)/1000</f>
        <v>103.93724000000005</v>
      </c>
      <c r="T11" s="57">
        <f>SUMIF('Balance Sheet Source'!$A:$A,'2. Balance Sheet'!$AO11,'Balance Sheet Source'!S:S)/1000</f>
        <v>95.637810000000044</v>
      </c>
      <c r="U11" s="57">
        <f>SUMIF('Balance Sheet Source'!$A:$A,'2. Balance Sheet'!$AO11,'Balance Sheet Source'!T:T)/1000</f>
        <v>92.289570000000055</v>
      </c>
      <c r="V11" s="57">
        <f>SUMIF('Balance Sheet Source'!$A:$A,'2. Balance Sheet'!$AO11,'Balance Sheet Source'!U:U)/1000</f>
        <v>110.04159000000006</v>
      </c>
      <c r="W11" s="57">
        <f>SUMIF('Balance Sheet Source'!$A:$A,'2. Balance Sheet'!$AO11,'Balance Sheet Source'!V:V)/1000</f>
        <v>98.946370000000073</v>
      </c>
      <c r="X11" s="57">
        <f>SUMIF('Balance Sheet Source'!$A:$A,'2. Balance Sheet'!$AO11,'Balance Sheet Source'!W:W)/1000</f>
        <v>102.96914000000007</v>
      </c>
      <c r="Y11" s="57">
        <f>SUMIF('Balance Sheet Source'!$A:$A,'2. Balance Sheet'!$AO11,'Balance Sheet Source'!X:X)/1000</f>
        <v>82.717880000000065</v>
      </c>
      <c r="Z11" s="57">
        <f>SUMIF('Balance Sheet Source'!$A:$A,'2. Balance Sheet'!$AO11,'Balance Sheet Source'!Y:Y)/1000</f>
        <v>113.64983000000008</v>
      </c>
      <c r="AA11" s="57">
        <f>SUMIF('Balance Sheet Source'!$A:$A,'2. Balance Sheet'!$AO11,'Balance Sheet Source'!Z:Z)/1000</f>
        <v>97.000180000000086</v>
      </c>
      <c r="AB11" s="57">
        <f>SUMIF('Balance Sheet Source'!$A:$A,'2. Balance Sheet'!$AO11,'Balance Sheet Source'!AA:AA)/1000</f>
        <v>100.87295000000007</v>
      </c>
      <c r="AC11" s="61">
        <f>SUMIF('Balance Sheet Source'!$A:$A,'2. Balance Sheet'!$AO11,'Balance Sheet Source'!AB:AB)/1000</f>
        <v>86.399940000000072</v>
      </c>
      <c r="AD11" s="57">
        <f>SUMIF('Balance Sheet Source'!$A:$A,'2. Balance Sheet'!$AO11,'Balance Sheet Source'!AC:AC)/1000</f>
        <v>90.160490000000081</v>
      </c>
      <c r="AE11" s="57">
        <f>SUMIF('Balance Sheet Source'!$A:$A,'2. Balance Sheet'!$AO11,'Balance Sheet Source'!AD:AD)/1000</f>
        <v>102.20287000000009</v>
      </c>
      <c r="AF11" s="57">
        <f>SUMIF('Balance Sheet Source'!$A:$A,'2. Balance Sheet'!$AO11,'Balance Sheet Source'!AE:AE)/1000</f>
        <v>93.093070000000097</v>
      </c>
      <c r="AG11" s="57">
        <f>SUMIF('Balance Sheet Source'!$A:$A,'2. Balance Sheet'!$AO11,'Balance Sheet Source'!AF:AF)/1000</f>
        <v>90.021380000000093</v>
      </c>
      <c r="AH11" s="57">
        <f>SUMIF('Balance Sheet Source'!$A:$A,'2. Balance Sheet'!$AO11,'Balance Sheet Source'!AG:AG)/1000</f>
        <v>95.632920000000098</v>
      </c>
      <c r="AI11" s="57">
        <f>SUMIF('Balance Sheet Source'!$A:$A,'2. Balance Sheet'!$AO11,'Balance Sheet Source'!AH:AH)/1000</f>
        <v>106.6149200000001</v>
      </c>
      <c r="AJ11" s="57">
        <f>SUMIF('Balance Sheet Source'!$A:$A,'2. Balance Sheet'!$AO11,'Balance Sheet Source'!AI:AI)/1000</f>
        <v>91.572320000000104</v>
      </c>
      <c r="AK11" s="57">
        <f>SUMIF('Balance Sheet Source'!$A:$A,'2. Balance Sheet'!$AO11,'Balance Sheet Source'!AJ:AJ)/1000</f>
        <v>98.137990000000102</v>
      </c>
      <c r="AL11" s="57">
        <f>SUMIF('Balance Sheet Source'!$A:$A,'2. Balance Sheet'!$AO11,'Balance Sheet Source'!AK:AK)/1000</f>
        <v>92.822620000000114</v>
      </c>
      <c r="AM11" s="61">
        <f>SUMIF('Balance Sheet Source'!$A:$A,'2. Balance Sheet'!$AO11,'Balance Sheet Source'!AL:AL)/1000</f>
        <v>75.000000000000114</v>
      </c>
      <c r="AO11" s="4" t="s">
        <v>148</v>
      </c>
      <c r="AP11" s="89" t="s">
        <v>185</v>
      </c>
    </row>
    <row r="12" spans="2:42" s="85" customFormat="1" x14ac:dyDescent="0.2">
      <c r="B12" s="29" t="str">
        <f>+AO12</f>
        <v>Contract Asset (Underbillings)</v>
      </c>
      <c r="E12" s="61">
        <f>SUMIF('Balance Sheet Source'!$A:$A,'2. Balance Sheet'!$AO12,'Balance Sheet Source'!D:D)/1000</f>
        <v>0</v>
      </c>
      <c r="F12" s="86">
        <f>SUMIF('Balance Sheet Source'!$A:$A,'2. Balance Sheet'!$AO12,'Balance Sheet Source'!E:E)/1000</f>
        <v>0</v>
      </c>
      <c r="G12" s="86">
        <f>SUMIF('Balance Sheet Source'!$A:$A,'2. Balance Sheet'!$AO12,'Balance Sheet Source'!F:F)/1000</f>
        <v>0</v>
      </c>
      <c r="H12" s="86">
        <f>SUMIF('Balance Sheet Source'!$A:$A,'2. Balance Sheet'!$AO12,'Balance Sheet Source'!G:G)/1000</f>
        <v>0</v>
      </c>
      <c r="I12" s="86">
        <f>SUMIF('Balance Sheet Source'!$A:$A,'2. Balance Sheet'!$AO12,'Balance Sheet Source'!H:H)/1000</f>
        <v>0</v>
      </c>
      <c r="J12" s="86">
        <f>SUMIF('Balance Sheet Source'!$A:$A,'2. Balance Sheet'!$AO12,'Balance Sheet Source'!I:I)/1000</f>
        <v>0</v>
      </c>
      <c r="K12" s="86">
        <f>SUMIF('Balance Sheet Source'!$A:$A,'2. Balance Sheet'!$AO12,'Balance Sheet Source'!J:J)/1000</f>
        <v>0</v>
      </c>
      <c r="L12" s="86">
        <f>SUMIF('Balance Sheet Source'!$A:$A,'2. Balance Sheet'!$AO12,'Balance Sheet Source'!K:K)/1000</f>
        <v>0</v>
      </c>
      <c r="M12" s="86">
        <f>SUMIF('Balance Sheet Source'!$A:$A,'2. Balance Sheet'!$AO12,'Balance Sheet Source'!L:L)/1000</f>
        <v>0</v>
      </c>
      <c r="N12" s="86">
        <f>SUMIF('Balance Sheet Source'!$A:$A,'2. Balance Sheet'!$AO12,'Balance Sheet Source'!M:M)/1000</f>
        <v>0</v>
      </c>
      <c r="O12" s="86">
        <f>SUMIF('Balance Sheet Source'!$A:$A,'2. Balance Sheet'!$AO12,'Balance Sheet Source'!N:N)/1000</f>
        <v>0</v>
      </c>
      <c r="P12" s="86">
        <f>SUMIF('Balance Sheet Source'!$A:$A,'2. Balance Sheet'!$AO12,'Balance Sheet Source'!O:O)/1000</f>
        <v>0</v>
      </c>
      <c r="Q12" s="61">
        <f>SUMIF('Balance Sheet Source'!$A:$A,'2. Balance Sheet'!$AO12,'Balance Sheet Source'!P:P)/1000</f>
        <v>48.523449999999997</v>
      </c>
      <c r="R12" s="86">
        <f>SUMIF('Balance Sheet Source'!$A:$A,'2. Balance Sheet'!$AO12,'Balance Sheet Source'!Q:Q)/1000</f>
        <v>48.523449999999997</v>
      </c>
      <c r="S12" s="86">
        <f>SUMIF('Balance Sheet Source'!$A:$A,'2. Balance Sheet'!$AO12,'Balance Sheet Source'!R:R)/1000</f>
        <v>48.523449999999997</v>
      </c>
      <c r="T12" s="86">
        <f>SUMIF('Balance Sheet Source'!$A:$A,'2. Balance Sheet'!$AO12,'Balance Sheet Source'!S:S)/1000</f>
        <v>48.523449999999997</v>
      </c>
      <c r="U12" s="86">
        <f>SUMIF('Balance Sheet Source'!$A:$A,'2. Balance Sheet'!$AO12,'Balance Sheet Source'!T:T)/1000</f>
        <v>48.523449999999997</v>
      </c>
      <c r="V12" s="86">
        <f>SUMIF('Balance Sheet Source'!$A:$A,'2. Balance Sheet'!$AO12,'Balance Sheet Source'!U:U)/1000</f>
        <v>48.523449999999997</v>
      </c>
      <c r="W12" s="86">
        <f>SUMIF('Balance Sheet Source'!$A:$A,'2. Balance Sheet'!$AO12,'Balance Sheet Source'!V:V)/1000</f>
        <v>48.523449999999997</v>
      </c>
      <c r="X12" s="86">
        <f>SUMIF('Balance Sheet Source'!$A:$A,'2. Balance Sheet'!$AO12,'Balance Sheet Source'!W:W)/1000</f>
        <v>48.523449999999997</v>
      </c>
      <c r="Y12" s="86">
        <f>SUMIF('Balance Sheet Source'!$A:$A,'2. Balance Sheet'!$AO12,'Balance Sheet Source'!X:X)/1000</f>
        <v>48.523449999999997</v>
      </c>
      <c r="Z12" s="86">
        <f>SUMIF('Balance Sheet Source'!$A:$A,'2. Balance Sheet'!$AO12,'Balance Sheet Source'!Y:Y)/1000</f>
        <v>48.523449999999997</v>
      </c>
      <c r="AA12" s="86">
        <f>SUMIF('Balance Sheet Source'!$A:$A,'2. Balance Sheet'!$AO12,'Balance Sheet Source'!Z:Z)/1000</f>
        <v>48.523449999999997</v>
      </c>
      <c r="AB12" s="86">
        <f>SUMIF('Balance Sheet Source'!$A:$A,'2. Balance Sheet'!$AO12,'Balance Sheet Source'!AA:AA)/1000</f>
        <v>48.523449999999997</v>
      </c>
      <c r="AC12" s="61">
        <f>SUMIF('Balance Sheet Source'!$A:$A,'2. Balance Sheet'!$AO12,'Balance Sheet Source'!AB:AB)/1000</f>
        <v>101.41467999999999</v>
      </c>
      <c r="AD12" s="86">
        <f>SUMIF('Balance Sheet Source'!$A:$A,'2. Balance Sheet'!$AO12,'Balance Sheet Source'!AC:AC)/1000</f>
        <v>101.41467999999999</v>
      </c>
      <c r="AE12" s="86">
        <f>SUMIF('Balance Sheet Source'!$A:$A,'2. Balance Sheet'!$AO12,'Balance Sheet Source'!AD:AD)/1000</f>
        <v>110.84887999999999</v>
      </c>
      <c r="AF12" s="86">
        <f>SUMIF('Balance Sheet Source'!$A:$A,'2. Balance Sheet'!$AO12,'Balance Sheet Source'!AE:AE)/1000</f>
        <v>120.19498999999999</v>
      </c>
      <c r="AG12" s="86">
        <f>SUMIF('Balance Sheet Source'!$A:$A,'2. Balance Sheet'!$AO12,'Balance Sheet Source'!AF:AF)/1000</f>
        <v>128.28536</v>
      </c>
      <c r="AH12" s="86">
        <f>SUMIF('Balance Sheet Source'!$A:$A,'2. Balance Sheet'!$AO12,'Balance Sheet Source'!AG:AG)/1000</f>
        <v>136.08815999999999</v>
      </c>
      <c r="AI12" s="86">
        <f>SUMIF('Balance Sheet Source'!$A:$A,'2. Balance Sheet'!$AO12,'Balance Sheet Source'!AH:AH)/1000</f>
        <v>143.74211999999997</v>
      </c>
      <c r="AJ12" s="86">
        <f>SUMIF('Balance Sheet Source'!$A:$A,'2. Balance Sheet'!$AO12,'Balance Sheet Source'!AI:AI)/1000</f>
        <v>152.81337999999997</v>
      </c>
      <c r="AK12" s="86">
        <f>SUMIF('Balance Sheet Source'!$A:$A,'2. Balance Sheet'!$AO12,'Balance Sheet Source'!AJ:AJ)/1000</f>
        <v>159.61951999999999</v>
      </c>
      <c r="AL12" s="86">
        <f>SUMIF('Balance Sheet Source'!$A:$A,'2. Balance Sheet'!$AO12,'Balance Sheet Source'!AK:AK)/1000</f>
        <v>166.84956</v>
      </c>
      <c r="AM12" s="61">
        <f>SUMIF('Balance Sheet Source'!$A:$A,'2. Balance Sheet'!$AO12,'Balance Sheet Source'!AL:AL)/1000</f>
        <v>176.24391999999997</v>
      </c>
      <c r="AO12" s="85" t="s">
        <v>149</v>
      </c>
      <c r="AP12" s="93" t="s">
        <v>186</v>
      </c>
    </row>
    <row r="13" spans="2:42" hidden="1" outlineLevel="1" x14ac:dyDescent="0.2">
      <c r="B13" s="87" t="s">
        <v>178</v>
      </c>
      <c r="C13" s="85"/>
      <c r="D13" s="85"/>
      <c r="E13" s="61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61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61"/>
      <c r="AD13" s="86"/>
      <c r="AE13" s="86"/>
      <c r="AF13" s="86"/>
      <c r="AG13" s="86"/>
      <c r="AH13" s="86"/>
      <c r="AI13" s="86"/>
      <c r="AJ13" s="86"/>
      <c r="AK13" s="86"/>
      <c r="AL13" s="86"/>
      <c r="AM13" s="61"/>
    </row>
    <row r="14" spans="2:42" hidden="1" outlineLevel="1" x14ac:dyDescent="0.2">
      <c r="B14" s="30" t="str">
        <f>+AO14</f>
        <v>Prepaid Insurance</v>
      </c>
      <c r="E14" s="61">
        <f>SUMIF('Balance Sheet Source'!$A:$A,'2. Balance Sheet'!$AO14,'Balance Sheet Source'!D:D)/1000</f>
        <v>24</v>
      </c>
      <c r="F14" s="57">
        <f>SUMIF('Balance Sheet Source'!$A:$A,'2. Balance Sheet'!$AO14,'Balance Sheet Source'!E:E)/1000</f>
        <v>24</v>
      </c>
      <c r="G14" s="57">
        <f>SUMIF('Balance Sheet Source'!$A:$A,'2. Balance Sheet'!$AO14,'Balance Sheet Source'!F:F)/1000</f>
        <v>24</v>
      </c>
      <c r="H14" s="57">
        <f>SUMIF('Balance Sheet Source'!$A:$A,'2. Balance Sheet'!$AO14,'Balance Sheet Source'!G:G)/1000</f>
        <v>24</v>
      </c>
      <c r="I14" s="57">
        <f>SUMIF('Balance Sheet Source'!$A:$A,'2. Balance Sheet'!$AO14,'Balance Sheet Source'!H:H)/1000</f>
        <v>24</v>
      </c>
      <c r="J14" s="57">
        <f>SUMIF('Balance Sheet Source'!$A:$A,'2. Balance Sheet'!$AO14,'Balance Sheet Source'!I:I)/1000</f>
        <v>24</v>
      </c>
      <c r="K14" s="57">
        <f>SUMIF('Balance Sheet Source'!$A:$A,'2. Balance Sheet'!$AO14,'Balance Sheet Source'!J:J)/1000</f>
        <v>24</v>
      </c>
      <c r="L14" s="57">
        <f>SUMIF('Balance Sheet Source'!$A:$A,'2. Balance Sheet'!$AO14,'Balance Sheet Source'!K:K)/1000</f>
        <v>24</v>
      </c>
      <c r="M14" s="57">
        <f>SUMIF('Balance Sheet Source'!$A:$A,'2. Balance Sheet'!$AO14,'Balance Sheet Source'!L:L)/1000</f>
        <v>24</v>
      </c>
      <c r="N14" s="57">
        <f>SUMIF('Balance Sheet Source'!$A:$A,'2. Balance Sheet'!$AO14,'Balance Sheet Source'!M:M)/1000</f>
        <v>24</v>
      </c>
      <c r="O14" s="57">
        <f>SUMIF('Balance Sheet Source'!$A:$A,'2. Balance Sheet'!$AO14,'Balance Sheet Source'!N:N)/1000</f>
        <v>24</v>
      </c>
      <c r="P14" s="57">
        <f>SUMIF('Balance Sheet Source'!$A:$A,'2. Balance Sheet'!$AO14,'Balance Sheet Source'!O:O)/1000</f>
        <v>24</v>
      </c>
      <c r="Q14" s="61">
        <f>SUMIF('Balance Sheet Source'!$A:$A,'2. Balance Sheet'!$AO14,'Balance Sheet Source'!P:P)/1000</f>
        <v>24</v>
      </c>
      <c r="R14" s="57">
        <f>SUMIF('Balance Sheet Source'!$A:$A,'2. Balance Sheet'!$AO14,'Balance Sheet Source'!Q:Q)/1000</f>
        <v>24</v>
      </c>
      <c r="S14" s="57">
        <f>SUMIF('Balance Sheet Source'!$A:$A,'2. Balance Sheet'!$AO14,'Balance Sheet Source'!R:R)/1000</f>
        <v>24</v>
      </c>
      <c r="T14" s="57">
        <f>SUMIF('Balance Sheet Source'!$A:$A,'2. Balance Sheet'!$AO14,'Balance Sheet Source'!S:S)/1000</f>
        <v>24</v>
      </c>
      <c r="U14" s="57">
        <f>SUMIF('Balance Sheet Source'!$A:$A,'2. Balance Sheet'!$AO14,'Balance Sheet Source'!T:T)/1000</f>
        <v>24</v>
      </c>
      <c r="V14" s="57">
        <f>SUMIF('Balance Sheet Source'!$A:$A,'2. Balance Sheet'!$AO14,'Balance Sheet Source'!U:U)/1000</f>
        <v>24</v>
      </c>
      <c r="W14" s="57">
        <f>SUMIF('Balance Sheet Source'!$A:$A,'2. Balance Sheet'!$AO14,'Balance Sheet Source'!V:V)/1000</f>
        <v>24</v>
      </c>
      <c r="X14" s="57">
        <f>SUMIF('Balance Sheet Source'!$A:$A,'2. Balance Sheet'!$AO14,'Balance Sheet Source'!W:W)/1000</f>
        <v>24</v>
      </c>
      <c r="Y14" s="57">
        <f>SUMIF('Balance Sheet Source'!$A:$A,'2. Balance Sheet'!$AO14,'Balance Sheet Source'!X:X)/1000</f>
        <v>24</v>
      </c>
      <c r="Z14" s="57">
        <f>SUMIF('Balance Sheet Source'!$A:$A,'2. Balance Sheet'!$AO14,'Balance Sheet Source'!Y:Y)/1000</f>
        <v>24</v>
      </c>
      <c r="AA14" s="57">
        <f>SUMIF('Balance Sheet Source'!$A:$A,'2. Balance Sheet'!$AO14,'Balance Sheet Source'!Z:Z)/1000</f>
        <v>24</v>
      </c>
      <c r="AB14" s="57">
        <f>SUMIF('Balance Sheet Source'!$A:$A,'2. Balance Sheet'!$AO14,'Balance Sheet Source'!AA:AA)/1000</f>
        <v>24</v>
      </c>
      <c r="AC14" s="61">
        <f>SUMIF('Balance Sheet Source'!$A:$A,'2. Balance Sheet'!$AO14,'Balance Sheet Source'!AB:AB)/1000</f>
        <v>24</v>
      </c>
      <c r="AD14" s="57">
        <f>SUMIF('Balance Sheet Source'!$A:$A,'2. Balance Sheet'!$AO14,'Balance Sheet Source'!AC:AC)/1000</f>
        <v>24</v>
      </c>
      <c r="AE14" s="57">
        <f>SUMIF('Balance Sheet Source'!$A:$A,'2. Balance Sheet'!$AO14,'Balance Sheet Source'!AD:AD)/1000</f>
        <v>24</v>
      </c>
      <c r="AF14" s="57">
        <f>SUMIF('Balance Sheet Source'!$A:$A,'2. Balance Sheet'!$AO14,'Balance Sheet Source'!AE:AE)/1000</f>
        <v>24</v>
      </c>
      <c r="AG14" s="57">
        <f>SUMIF('Balance Sheet Source'!$A:$A,'2. Balance Sheet'!$AO14,'Balance Sheet Source'!AF:AF)/1000</f>
        <v>24</v>
      </c>
      <c r="AH14" s="57">
        <f>SUMIF('Balance Sheet Source'!$A:$A,'2. Balance Sheet'!$AO14,'Balance Sheet Source'!AG:AG)/1000</f>
        <v>24</v>
      </c>
      <c r="AI14" s="57">
        <f>SUMIF('Balance Sheet Source'!$A:$A,'2. Balance Sheet'!$AO14,'Balance Sheet Source'!AH:AH)/1000</f>
        <v>24</v>
      </c>
      <c r="AJ14" s="57">
        <f>SUMIF('Balance Sheet Source'!$A:$A,'2. Balance Sheet'!$AO14,'Balance Sheet Source'!AI:AI)/1000</f>
        <v>24</v>
      </c>
      <c r="AK14" s="57">
        <f>SUMIF('Balance Sheet Source'!$A:$A,'2. Balance Sheet'!$AO14,'Balance Sheet Source'!AJ:AJ)/1000</f>
        <v>24</v>
      </c>
      <c r="AL14" s="57">
        <f>SUMIF('Balance Sheet Source'!$A:$A,'2. Balance Sheet'!$AO14,'Balance Sheet Source'!AK:AK)/1000</f>
        <v>24</v>
      </c>
      <c r="AM14" s="61">
        <f>SUMIF('Balance Sheet Source'!$A:$A,'2. Balance Sheet'!$AO14,'Balance Sheet Source'!AL:AL)/1000</f>
        <v>24</v>
      </c>
      <c r="AO14" s="4" t="s">
        <v>143</v>
      </c>
    </row>
    <row r="15" spans="2:42" hidden="1" outlineLevel="1" x14ac:dyDescent="0.2">
      <c r="B15" s="30" t="str">
        <f>+AO15</f>
        <v>Prepaid Rent</v>
      </c>
      <c r="E15" s="61">
        <f>SUMIF('Balance Sheet Source'!$A:$A,'2. Balance Sheet'!$AO15,'Balance Sheet Source'!D:D)/1000</f>
        <v>12</v>
      </c>
      <c r="F15" s="57">
        <f>SUMIF('Balance Sheet Source'!$A:$A,'2. Balance Sheet'!$AO15,'Balance Sheet Source'!E:E)/1000</f>
        <v>12</v>
      </c>
      <c r="G15" s="57">
        <f>SUMIF('Balance Sheet Source'!$A:$A,'2. Balance Sheet'!$AO15,'Balance Sheet Source'!F:F)/1000</f>
        <v>12</v>
      </c>
      <c r="H15" s="57">
        <f>SUMIF('Balance Sheet Source'!$A:$A,'2. Balance Sheet'!$AO15,'Balance Sheet Source'!G:G)/1000</f>
        <v>12</v>
      </c>
      <c r="I15" s="57">
        <f>SUMIF('Balance Sheet Source'!$A:$A,'2. Balance Sheet'!$AO15,'Balance Sheet Source'!H:H)/1000</f>
        <v>12</v>
      </c>
      <c r="J15" s="57">
        <f>SUMIF('Balance Sheet Source'!$A:$A,'2. Balance Sheet'!$AO15,'Balance Sheet Source'!I:I)/1000</f>
        <v>12</v>
      </c>
      <c r="K15" s="57">
        <f>SUMIF('Balance Sheet Source'!$A:$A,'2. Balance Sheet'!$AO15,'Balance Sheet Source'!J:J)/1000</f>
        <v>12</v>
      </c>
      <c r="L15" s="57">
        <f>SUMIF('Balance Sheet Source'!$A:$A,'2. Balance Sheet'!$AO15,'Balance Sheet Source'!K:K)/1000</f>
        <v>12</v>
      </c>
      <c r="M15" s="57">
        <f>SUMIF('Balance Sheet Source'!$A:$A,'2. Balance Sheet'!$AO15,'Balance Sheet Source'!L:L)/1000</f>
        <v>12</v>
      </c>
      <c r="N15" s="57">
        <f>SUMIF('Balance Sheet Source'!$A:$A,'2. Balance Sheet'!$AO15,'Balance Sheet Source'!M:M)/1000</f>
        <v>12</v>
      </c>
      <c r="O15" s="57">
        <f>SUMIF('Balance Sheet Source'!$A:$A,'2. Balance Sheet'!$AO15,'Balance Sheet Source'!N:N)/1000</f>
        <v>12</v>
      </c>
      <c r="P15" s="57">
        <f>SUMIF('Balance Sheet Source'!$A:$A,'2. Balance Sheet'!$AO15,'Balance Sheet Source'!O:O)/1000</f>
        <v>12</v>
      </c>
      <c r="Q15" s="61">
        <f>SUMIF('Balance Sheet Source'!$A:$A,'2. Balance Sheet'!$AO15,'Balance Sheet Source'!P:P)/1000</f>
        <v>12</v>
      </c>
      <c r="R15" s="57">
        <f>SUMIF('Balance Sheet Source'!$A:$A,'2. Balance Sheet'!$AO15,'Balance Sheet Source'!Q:Q)/1000</f>
        <v>12</v>
      </c>
      <c r="S15" s="57">
        <f>SUMIF('Balance Sheet Source'!$A:$A,'2. Balance Sheet'!$AO15,'Balance Sheet Source'!R:R)/1000</f>
        <v>12</v>
      </c>
      <c r="T15" s="57">
        <f>SUMIF('Balance Sheet Source'!$A:$A,'2. Balance Sheet'!$AO15,'Balance Sheet Source'!S:S)/1000</f>
        <v>12</v>
      </c>
      <c r="U15" s="57">
        <f>SUMIF('Balance Sheet Source'!$A:$A,'2. Balance Sheet'!$AO15,'Balance Sheet Source'!T:T)/1000</f>
        <v>12</v>
      </c>
      <c r="V15" s="57">
        <f>SUMIF('Balance Sheet Source'!$A:$A,'2. Balance Sheet'!$AO15,'Balance Sheet Source'!U:U)/1000</f>
        <v>12</v>
      </c>
      <c r="W15" s="57">
        <f>SUMIF('Balance Sheet Source'!$A:$A,'2. Balance Sheet'!$AO15,'Balance Sheet Source'!V:V)/1000</f>
        <v>12</v>
      </c>
      <c r="X15" s="57">
        <f>SUMIF('Balance Sheet Source'!$A:$A,'2. Balance Sheet'!$AO15,'Balance Sheet Source'!W:W)/1000</f>
        <v>12</v>
      </c>
      <c r="Y15" s="57">
        <f>SUMIF('Balance Sheet Source'!$A:$A,'2. Balance Sheet'!$AO15,'Balance Sheet Source'!X:X)/1000</f>
        <v>12</v>
      </c>
      <c r="Z15" s="57">
        <f>SUMIF('Balance Sheet Source'!$A:$A,'2. Balance Sheet'!$AO15,'Balance Sheet Source'!Y:Y)/1000</f>
        <v>12</v>
      </c>
      <c r="AA15" s="57">
        <f>SUMIF('Balance Sheet Source'!$A:$A,'2. Balance Sheet'!$AO15,'Balance Sheet Source'!Z:Z)/1000</f>
        <v>12</v>
      </c>
      <c r="AB15" s="57">
        <f>SUMIF('Balance Sheet Source'!$A:$A,'2. Balance Sheet'!$AO15,'Balance Sheet Source'!AA:AA)/1000</f>
        <v>12</v>
      </c>
      <c r="AC15" s="61">
        <f>SUMIF('Balance Sheet Source'!$A:$A,'2. Balance Sheet'!$AO15,'Balance Sheet Source'!AB:AB)/1000</f>
        <v>12</v>
      </c>
      <c r="AD15" s="57">
        <f>SUMIF('Balance Sheet Source'!$A:$A,'2. Balance Sheet'!$AO15,'Balance Sheet Source'!AC:AC)/1000</f>
        <v>12</v>
      </c>
      <c r="AE15" s="57">
        <f>SUMIF('Balance Sheet Source'!$A:$A,'2. Balance Sheet'!$AO15,'Balance Sheet Source'!AD:AD)/1000</f>
        <v>12</v>
      </c>
      <c r="AF15" s="57">
        <f>SUMIF('Balance Sheet Source'!$A:$A,'2. Balance Sheet'!$AO15,'Balance Sheet Source'!AE:AE)/1000</f>
        <v>12</v>
      </c>
      <c r="AG15" s="57">
        <f>SUMIF('Balance Sheet Source'!$A:$A,'2. Balance Sheet'!$AO15,'Balance Sheet Source'!AF:AF)/1000</f>
        <v>12</v>
      </c>
      <c r="AH15" s="57">
        <f>SUMIF('Balance Sheet Source'!$A:$A,'2. Balance Sheet'!$AO15,'Balance Sheet Source'!AG:AG)/1000</f>
        <v>12</v>
      </c>
      <c r="AI15" s="57">
        <f>SUMIF('Balance Sheet Source'!$A:$A,'2. Balance Sheet'!$AO15,'Balance Sheet Source'!AH:AH)/1000</f>
        <v>12</v>
      </c>
      <c r="AJ15" s="57">
        <f>SUMIF('Balance Sheet Source'!$A:$A,'2. Balance Sheet'!$AO15,'Balance Sheet Source'!AI:AI)/1000</f>
        <v>12</v>
      </c>
      <c r="AK15" s="57">
        <f>SUMIF('Balance Sheet Source'!$A:$A,'2. Balance Sheet'!$AO15,'Balance Sheet Source'!AJ:AJ)/1000</f>
        <v>12</v>
      </c>
      <c r="AL15" s="57">
        <f>SUMIF('Balance Sheet Source'!$A:$A,'2. Balance Sheet'!$AO15,'Balance Sheet Source'!AK:AK)/1000</f>
        <v>12</v>
      </c>
      <c r="AM15" s="61">
        <f>SUMIF('Balance Sheet Source'!$A:$A,'2. Balance Sheet'!$AO15,'Balance Sheet Source'!AL:AL)/1000</f>
        <v>12</v>
      </c>
      <c r="AO15" s="4" t="s">
        <v>145</v>
      </c>
    </row>
    <row r="16" spans="2:42" hidden="1" outlineLevel="1" x14ac:dyDescent="0.2">
      <c r="B16" s="30" t="str">
        <f>+AO16</f>
        <v>Other Prepaid Expenses</v>
      </c>
      <c r="E16" s="62">
        <f>SUMIF('Balance Sheet Source'!$A:$A,'2. Balance Sheet'!$AO16,'Balance Sheet Source'!D:D)/1000</f>
        <v>5</v>
      </c>
      <c r="F16" s="58">
        <f>SUMIF('Balance Sheet Source'!$A:$A,'2. Balance Sheet'!$AO16,'Balance Sheet Source'!E:E)/1000</f>
        <v>5</v>
      </c>
      <c r="G16" s="58">
        <f>SUMIF('Balance Sheet Source'!$A:$A,'2. Balance Sheet'!$AO16,'Balance Sheet Source'!F:F)/1000</f>
        <v>5</v>
      </c>
      <c r="H16" s="58">
        <f>SUMIF('Balance Sheet Source'!$A:$A,'2. Balance Sheet'!$AO16,'Balance Sheet Source'!G:G)/1000</f>
        <v>5</v>
      </c>
      <c r="I16" s="58">
        <f>SUMIF('Balance Sheet Source'!$A:$A,'2. Balance Sheet'!$AO16,'Balance Sheet Source'!H:H)/1000</f>
        <v>5</v>
      </c>
      <c r="J16" s="58">
        <f>SUMIF('Balance Sheet Source'!$A:$A,'2. Balance Sheet'!$AO16,'Balance Sheet Source'!I:I)/1000</f>
        <v>5</v>
      </c>
      <c r="K16" s="58">
        <f>SUMIF('Balance Sheet Source'!$A:$A,'2. Balance Sheet'!$AO16,'Balance Sheet Source'!J:J)/1000</f>
        <v>5</v>
      </c>
      <c r="L16" s="58">
        <f>SUMIF('Balance Sheet Source'!$A:$A,'2. Balance Sheet'!$AO16,'Balance Sheet Source'!K:K)/1000</f>
        <v>5</v>
      </c>
      <c r="M16" s="58">
        <f>SUMIF('Balance Sheet Source'!$A:$A,'2. Balance Sheet'!$AO16,'Balance Sheet Source'!L:L)/1000</f>
        <v>5</v>
      </c>
      <c r="N16" s="58">
        <f>SUMIF('Balance Sheet Source'!$A:$A,'2. Balance Sheet'!$AO16,'Balance Sheet Source'!M:M)/1000</f>
        <v>5</v>
      </c>
      <c r="O16" s="58">
        <f>SUMIF('Balance Sheet Source'!$A:$A,'2. Balance Sheet'!$AO16,'Balance Sheet Source'!N:N)/1000</f>
        <v>5</v>
      </c>
      <c r="P16" s="58">
        <f>SUMIF('Balance Sheet Source'!$A:$A,'2. Balance Sheet'!$AO16,'Balance Sheet Source'!O:O)/1000</f>
        <v>5</v>
      </c>
      <c r="Q16" s="62">
        <f>SUMIF('Balance Sheet Source'!$A:$A,'2. Balance Sheet'!$AO16,'Balance Sheet Source'!P:P)/1000</f>
        <v>5</v>
      </c>
      <c r="R16" s="58">
        <f>SUMIF('Balance Sheet Source'!$A:$A,'2. Balance Sheet'!$AO16,'Balance Sheet Source'!Q:Q)/1000</f>
        <v>5</v>
      </c>
      <c r="S16" s="58">
        <f>SUMIF('Balance Sheet Source'!$A:$A,'2. Balance Sheet'!$AO16,'Balance Sheet Source'!R:R)/1000</f>
        <v>5</v>
      </c>
      <c r="T16" s="58">
        <f>SUMIF('Balance Sheet Source'!$A:$A,'2. Balance Sheet'!$AO16,'Balance Sheet Source'!S:S)/1000</f>
        <v>5</v>
      </c>
      <c r="U16" s="58">
        <f>SUMIF('Balance Sheet Source'!$A:$A,'2. Balance Sheet'!$AO16,'Balance Sheet Source'!T:T)/1000</f>
        <v>5</v>
      </c>
      <c r="V16" s="58">
        <f>SUMIF('Balance Sheet Source'!$A:$A,'2. Balance Sheet'!$AO16,'Balance Sheet Source'!U:U)/1000</f>
        <v>5</v>
      </c>
      <c r="W16" s="58">
        <f>SUMIF('Balance Sheet Source'!$A:$A,'2. Balance Sheet'!$AO16,'Balance Sheet Source'!V:V)/1000</f>
        <v>5</v>
      </c>
      <c r="X16" s="58">
        <f>SUMIF('Balance Sheet Source'!$A:$A,'2. Balance Sheet'!$AO16,'Balance Sheet Source'!W:W)/1000</f>
        <v>5</v>
      </c>
      <c r="Y16" s="58">
        <f>SUMIF('Balance Sheet Source'!$A:$A,'2. Balance Sheet'!$AO16,'Balance Sheet Source'!X:X)/1000</f>
        <v>5</v>
      </c>
      <c r="Z16" s="58">
        <f>SUMIF('Balance Sheet Source'!$A:$A,'2. Balance Sheet'!$AO16,'Balance Sheet Source'!Y:Y)/1000</f>
        <v>5</v>
      </c>
      <c r="AA16" s="58">
        <f>SUMIF('Balance Sheet Source'!$A:$A,'2. Balance Sheet'!$AO16,'Balance Sheet Source'!Z:Z)/1000</f>
        <v>5</v>
      </c>
      <c r="AB16" s="58">
        <f>SUMIF('Balance Sheet Source'!$A:$A,'2. Balance Sheet'!$AO16,'Balance Sheet Source'!AA:AA)/1000</f>
        <v>5</v>
      </c>
      <c r="AC16" s="62">
        <f>SUMIF('Balance Sheet Source'!$A:$A,'2. Balance Sheet'!$AO16,'Balance Sheet Source'!AB:AB)/1000</f>
        <v>5</v>
      </c>
      <c r="AD16" s="58">
        <f>SUMIF('Balance Sheet Source'!$A:$A,'2. Balance Sheet'!$AO16,'Balance Sheet Source'!AC:AC)/1000</f>
        <v>5</v>
      </c>
      <c r="AE16" s="58">
        <f>SUMIF('Balance Sheet Source'!$A:$A,'2. Balance Sheet'!$AO16,'Balance Sheet Source'!AD:AD)/1000</f>
        <v>5</v>
      </c>
      <c r="AF16" s="58">
        <f>SUMIF('Balance Sheet Source'!$A:$A,'2. Balance Sheet'!$AO16,'Balance Sheet Source'!AE:AE)/1000</f>
        <v>5</v>
      </c>
      <c r="AG16" s="58">
        <f>SUMIF('Balance Sheet Source'!$A:$A,'2. Balance Sheet'!$AO16,'Balance Sheet Source'!AF:AF)/1000</f>
        <v>5</v>
      </c>
      <c r="AH16" s="58">
        <f>SUMIF('Balance Sheet Source'!$A:$A,'2. Balance Sheet'!$AO16,'Balance Sheet Source'!AG:AG)/1000</f>
        <v>5</v>
      </c>
      <c r="AI16" s="58">
        <f>SUMIF('Balance Sheet Source'!$A:$A,'2. Balance Sheet'!$AO16,'Balance Sheet Source'!AH:AH)/1000</f>
        <v>5</v>
      </c>
      <c r="AJ16" s="58">
        <f>SUMIF('Balance Sheet Source'!$A:$A,'2. Balance Sheet'!$AO16,'Balance Sheet Source'!AI:AI)/1000</f>
        <v>5</v>
      </c>
      <c r="AK16" s="58">
        <f>SUMIF('Balance Sheet Source'!$A:$A,'2. Balance Sheet'!$AO16,'Balance Sheet Source'!AJ:AJ)/1000</f>
        <v>5</v>
      </c>
      <c r="AL16" s="58">
        <f>SUMIF('Balance Sheet Source'!$A:$A,'2. Balance Sheet'!$AO16,'Balance Sheet Source'!AK:AK)/1000</f>
        <v>5</v>
      </c>
      <c r="AM16" s="62">
        <f>SUMIF('Balance Sheet Source'!$A:$A,'2. Balance Sheet'!$AO16,'Balance Sheet Source'!AL:AL)/1000</f>
        <v>5</v>
      </c>
      <c r="AO16" s="4" t="s">
        <v>147</v>
      </c>
    </row>
    <row r="17" spans="2:42" collapsed="1" x14ac:dyDescent="0.2">
      <c r="B17" s="66" t="str">
        <f>+B13</f>
        <v>Prepaid Expenses</v>
      </c>
      <c r="C17" s="11"/>
      <c r="D17" s="11"/>
      <c r="E17" s="62">
        <f>SUM(E14:E16)</f>
        <v>41</v>
      </c>
      <c r="F17" s="58">
        <f t="shared" ref="F17:AM17" si="1">SUM(F14:F16)</f>
        <v>41</v>
      </c>
      <c r="G17" s="58">
        <f t="shared" si="1"/>
        <v>41</v>
      </c>
      <c r="H17" s="58">
        <f t="shared" si="1"/>
        <v>41</v>
      </c>
      <c r="I17" s="58">
        <f t="shared" si="1"/>
        <v>41</v>
      </c>
      <c r="J17" s="58">
        <f t="shared" si="1"/>
        <v>41</v>
      </c>
      <c r="K17" s="58">
        <f t="shared" si="1"/>
        <v>41</v>
      </c>
      <c r="L17" s="58">
        <f t="shared" si="1"/>
        <v>41</v>
      </c>
      <c r="M17" s="58">
        <f t="shared" si="1"/>
        <v>41</v>
      </c>
      <c r="N17" s="58">
        <f t="shared" si="1"/>
        <v>41</v>
      </c>
      <c r="O17" s="58">
        <f t="shared" si="1"/>
        <v>41</v>
      </c>
      <c r="P17" s="58">
        <f t="shared" si="1"/>
        <v>41</v>
      </c>
      <c r="Q17" s="62">
        <f t="shared" si="1"/>
        <v>41</v>
      </c>
      <c r="R17" s="58">
        <f t="shared" si="1"/>
        <v>41</v>
      </c>
      <c r="S17" s="58">
        <f t="shared" si="1"/>
        <v>41</v>
      </c>
      <c r="T17" s="58">
        <f t="shared" si="1"/>
        <v>41</v>
      </c>
      <c r="U17" s="58">
        <f t="shared" si="1"/>
        <v>41</v>
      </c>
      <c r="V17" s="58">
        <f t="shared" si="1"/>
        <v>41</v>
      </c>
      <c r="W17" s="58">
        <f t="shared" si="1"/>
        <v>41</v>
      </c>
      <c r="X17" s="58">
        <f t="shared" si="1"/>
        <v>41</v>
      </c>
      <c r="Y17" s="58">
        <f t="shared" si="1"/>
        <v>41</v>
      </c>
      <c r="Z17" s="58">
        <f t="shared" si="1"/>
        <v>41</v>
      </c>
      <c r="AA17" s="58">
        <f t="shared" si="1"/>
        <v>41</v>
      </c>
      <c r="AB17" s="58">
        <f t="shared" si="1"/>
        <v>41</v>
      </c>
      <c r="AC17" s="62">
        <f t="shared" si="1"/>
        <v>41</v>
      </c>
      <c r="AD17" s="58">
        <f t="shared" si="1"/>
        <v>41</v>
      </c>
      <c r="AE17" s="58">
        <f t="shared" si="1"/>
        <v>41</v>
      </c>
      <c r="AF17" s="58">
        <f t="shared" si="1"/>
        <v>41</v>
      </c>
      <c r="AG17" s="58">
        <f t="shared" si="1"/>
        <v>41</v>
      </c>
      <c r="AH17" s="58">
        <f t="shared" si="1"/>
        <v>41</v>
      </c>
      <c r="AI17" s="58">
        <f t="shared" si="1"/>
        <v>41</v>
      </c>
      <c r="AJ17" s="58">
        <f t="shared" si="1"/>
        <v>41</v>
      </c>
      <c r="AK17" s="58">
        <f t="shared" si="1"/>
        <v>41</v>
      </c>
      <c r="AL17" s="58">
        <f t="shared" si="1"/>
        <v>41</v>
      </c>
      <c r="AM17" s="62">
        <f t="shared" si="1"/>
        <v>41</v>
      </c>
      <c r="AP17" s="89" t="s">
        <v>178</v>
      </c>
    </row>
    <row r="18" spans="2:42" x14ac:dyDescent="0.2">
      <c r="B18" s="67" t="str">
        <f>+B8</f>
        <v>Current Assets</v>
      </c>
      <c r="C18" s="59"/>
      <c r="D18" s="59"/>
      <c r="E18" s="63">
        <f>SUM(E9:E12,E17)</f>
        <v>878.06191999999999</v>
      </c>
      <c r="F18" s="60">
        <f t="shared" ref="F18:AM18" si="2">SUM(F9:F12,F17)</f>
        <v>989.74150999999983</v>
      </c>
      <c r="G18" s="60">
        <f t="shared" si="2"/>
        <v>1241.78973</v>
      </c>
      <c r="H18" s="60">
        <f t="shared" si="2"/>
        <v>1303.3377799999996</v>
      </c>
      <c r="I18" s="60">
        <f t="shared" si="2"/>
        <v>1344.6776099999997</v>
      </c>
      <c r="J18" s="60">
        <f t="shared" si="2"/>
        <v>1312.4537499999999</v>
      </c>
      <c r="K18" s="60">
        <f t="shared" si="2"/>
        <v>1381.0507699999998</v>
      </c>
      <c r="L18" s="60">
        <f t="shared" si="2"/>
        <v>1311.3620199999998</v>
      </c>
      <c r="M18" s="60">
        <f t="shared" si="2"/>
        <v>1380.9083899999998</v>
      </c>
      <c r="N18" s="60">
        <f t="shared" si="2"/>
        <v>1502.8851599999998</v>
      </c>
      <c r="O18" s="60">
        <f t="shared" si="2"/>
        <v>1359.8528899999999</v>
      </c>
      <c r="P18" s="60">
        <f t="shared" si="2"/>
        <v>1384.51701</v>
      </c>
      <c r="Q18" s="63">
        <f t="shared" si="2"/>
        <v>1554.3219699999997</v>
      </c>
      <c r="R18" s="60">
        <f t="shared" si="2"/>
        <v>1470.1896999999999</v>
      </c>
      <c r="S18" s="60">
        <f t="shared" si="2"/>
        <v>1371.4339099999997</v>
      </c>
      <c r="T18" s="60">
        <f t="shared" si="2"/>
        <v>1381.4467099999995</v>
      </c>
      <c r="U18" s="60">
        <f t="shared" si="2"/>
        <v>1292.7193099999997</v>
      </c>
      <c r="V18" s="60">
        <f t="shared" si="2"/>
        <v>1335.9637799999996</v>
      </c>
      <c r="W18" s="60">
        <f t="shared" si="2"/>
        <v>1398.0702099999996</v>
      </c>
      <c r="X18" s="60">
        <f t="shared" si="2"/>
        <v>1410.07736</v>
      </c>
      <c r="Y18" s="60">
        <f t="shared" si="2"/>
        <v>1320.7324799999999</v>
      </c>
      <c r="Z18" s="60">
        <f t="shared" si="2"/>
        <v>1477.2839199999996</v>
      </c>
      <c r="AA18" s="60">
        <f t="shared" si="2"/>
        <v>1249.7556699999998</v>
      </c>
      <c r="AB18" s="60">
        <f t="shared" si="2"/>
        <v>1213.6343999999997</v>
      </c>
      <c r="AC18" s="63">
        <f t="shared" si="2"/>
        <v>1271.3744599999998</v>
      </c>
      <c r="AD18" s="60">
        <f t="shared" si="2"/>
        <v>1254.6558399999999</v>
      </c>
      <c r="AE18" s="60">
        <f t="shared" si="2"/>
        <v>1277.7188199999998</v>
      </c>
      <c r="AF18" s="60">
        <f t="shared" si="2"/>
        <v>1368.4952599999999</v>
      </c>
      <c r="AG18" s="60">
        <f t="shared" si="2"/>
        <v>1396.1484600000001</v>
      </c>
      <c r="AH18" s="60">
        <f t="shared" si="2"/>
        <v>1362.8869999999999</v>
      </c>
      <c r="AI18" s="60">
        <f t="shared" si="2"/>
        <v>1542.22363</v>
      </c>
      <c r="AJ18" s="60">
        <f t="shared" si="2"/>
        <v>1599.24604</v>
      </c>
      <c r="AK18" s="60">
        <f t="shared" si="2"/>
        <v>1642.6478500000001</v>
      </c>
      <c r="AL18" s="60">
        <f t="shared" si="2"/>
        <v>1717.5668099999998</v>
      </c>
      <c r="AM18" s="63">
        <f t="shared" si="2"/>
        <v>1734.7552599999999</v>
      </c>
    </row>
    <row r="19" spans="2:42" ht="12" customHeight="1" x14ac:dyDescent="0.2">
      <c r="B19" s="25"/>
      <c r="E19" s="16"/>
      <c r="Q19" s="16"/>
      <c r="AC19" s="16"/>
      <c r="AM19" s="16"/>
    </row>
    <row r="20" spans="2:42" outlineLevel="1" x14ac:dyDescent="0.2">
      <c r="B20" s="26" t="s">
        <v>104</v>
      </c>
      <c r="E20" s="16"/>
      <c r="Q20" s="16"/>
      <c r="AC20" s="16"/>
      <c r="AM20" s="16"/>
    </row>
    <row r="21" spans="2:42" outlineLevel="1" x14ac:dyDescent="0.2">
      <c r="B21" s="29" t="s">
        <v>138</v>
      </c>
      <c r="E21" s="16"/>
      <c r="Q21" s="16"/>
      <c r="AC21" s="16"/>
      <c r="AM21" s="16"/>
    </row>
    <row r="22" spans="2:42" outlineLevel="1" x14ac:dyDescent="0.2">
      <c r="B22" s="30" t="str">
        <f>+AO22</f>
        <v>Vehicles &amp; Equipment</v>
      </c>
      <c r="E22" s="61">
        <f>SUMIF('Balance Sheet Source'!$A:$A,'2. Balance Sheet'!$AO22,'Balance Sheet Source'!D:D)/1000</f>
        <v>600</v>
      </c>
      <c r="F22" s="57">
        <f>SUMIF('Balance Sheet Source'!$A:$A,'2. Balance Sheet'!$AO22,'Balance Sheet Source'!E:E)/1000</f>
        <v>600</v>
      </c>
      <c r="G22" s="57">
        <f>SUMIF('Balance Sheet Source'!$A:$A,'2. Balance Sheet'!$AO22,'Balance Sheet Source'!F:F)/1000</f>
        <v>600</v>
      </c>
      <c r="H22" s="57">
        <f>SUMIF('Balance Sheet Source'!$A:$A,'2. Balance Sheet'!$AO22,'Balance Sheet Source'!G:G)/1000</f>
        <v>600</v>
      </c>
      <c r="I22" s="57">
        <f>SUMIF('Balance Sheet Source'!$A:$A,'2. Balance Sheet'!$AO22,'Balance Sheet Source'!H:H)/1000</f>
        <v>600</v>
      </c>
      <c r="J22" s="57">
        <f>SUMIF('Balance Sheet Source'!$A:$A,'2. Balance Sheet'!$AO22,'Balance Sheet Source'!I:I)/1000</f>
        <v>600</v>
      </c>
      <c r="K22" s="57">
        <f>SUMIF('Balance Sheet Source'!$A:$A,'2. Balance Sheet'!$AO22,'Balance Sheet Source'!J:J)/1000</f>
        <v>600</v>
      </c>
      <c r="L22" s="57">
        <f>SUMIF('Balance Sheet Source'!$A:$A,'2. Balance Sheet'!$AO22,'Balance Sheet Source'!K:K)/1000</f>
        <v>600</v>
      </c>
      <c r="M22" s="57">
        <f>SUMIF('Balance Sheet Source'!$A:$A,'2. Balance Sheet'!$AO22,'Balance Sheet Source'!L:L)/1000</f>
        <v>600</v>
      </c>
      <c r="N22" s="57">
        <f>SUMIF('Balance Sheet Source'!$A:$A,'2. Balance Sheet'!$AO22,'Balance Sheet Source'!M:M)/1000</f>
        <v>600</v>
      </c>
      <c r="O22" s="57">
        <f>SUMIF('Balance Sheet Source'!$A:$A,'2. Balance Sheet'!$AO22,'Balance Sheet Source'!N:N)/1000</f>
        <v>600</v>
      </c>
      <c r="P22" s="57">
        <f>SUMIF('Balance Sheet Source'!$A:$A,'2. Balance Sheet'!$AO22,'Balance Sheet Source'!O:O)/1000</f>
        <v>600</v>
      </c>
      <c r="Q22" s="61">
        <f>SUMIF('Balance Sheet Source'!$A:$A,'2. Balance Sheet'!$AO22,'Balance Sheet Source'!P:P)/1000</f>
        <v>600</v>
      </c>
      <c r="R22" s="57">
        <f>SUMIF('Balance Sheet Source'!$A:$A,'2. Balance Sheet'!$AO22,'Balance Sheet Source'!Q:Q)/1000</f>
        <v>600</v>
      </c>
      <c r="S22" s="57">
        <f>SUMIF('Balance Sheet Source'!$A:$A,'2. Balance Sheet'!$AO22,'Balance Sheet Source'!R:R)/1000</f>
        <v>600</v>
      </c>
      <c r="T22" s="57">
        <f>SUMIF('Balance Sheet Source'!$A:$A,'2. Balance Sheet'!$AO22,'Balance Sheet Source'!S:S)/1000</f>
        <v>600</v>
      </c>
      <c r="U22" s="57">
        <f>SUMIF('Balance Sheet Source'!$A:$A,'2. Balance Sheet'!$AO22,'Balance Sheet Source'!T:T)/1000</f>
        <v>600</v>
      </c>
      <c r="V22" s="57">
        <f>SUMIF('Balance Sheet Source'!$A:$A,'2. Balance Sheet'!$AO22,'Balance Sheet Source'!U:U)/1000</f>
        <v>600</v>
      </c>
      <c r="W22" s="57">
        <f>SUMIF('Balance Sheet Source'!$A:$A,'2. Balance Sheet'!$AO22,'Balance Sheet Source'!V:V)/1000</f>
        <v>600</v>
      </c>
      <c r="X22" s="57">
        <f>SUMIF('Balance Sheet Source'!$A:$A,'2. Balance Sheet'!$AO22,'Balance Sheet Source'!W:W)/1000</f>
        <v>600</v>
      </c>
      <c r="Y22" s="57">
        <f>SUMIF('Balance Sheet Source'!$A:$A,'2. Balance Sheet'!$AO22,'Balance Sheet Source'!X:X)/1000</f>
        <v>600</v>
      </c>
      <c r="Z22" s="57">
        <f>SUMIF('Balance Sheet Source'!$A:$A,'2. Balance Sheet'!$AO22,'Balance Sheet Source'!Y:Y)/1000</f>
        <v>600</v>
      </c>
      <c r="AA22" s="57">
        <f>SUMIF('Balance Sheet Source'!$A:$A,'2. Balance Sheet'!$AO22,'Balance Sheet Source'!Z:Z)/1000</f>
        <v>600</v>
      </c>
      <c r="AB22" s="57">
        <f>SUMIF('Balance Sheet Source'!$A:$A,'2. Balance Sheet'!$AO22,'Balance Sheet Source'!AA:AA)/1000</f>
        <v>600</v>
      </c>
      <c r="AC22" s="61">
        <f>SUMIF('Balance Sheet Source'!$A:$A,'2. Balance Sheet'!$AO22,'Balance Sheet Source'!AB:AB)/1000</f>
        <v>600</v>
      </c>
      <c r="AD22" s="57">
        <f>SUMIF('Balance Sheet Source'!$A:$A,'2. Balance Sheet'!$AO22,'Balance Sheet Source'!AC:AC)/1000</f>
        <v>600</v>
      </c>
      <c r="AE22" s="57">
        <f>SUMIF('Balance Sheet Source'!$A:$A,'2. Balance Sheet'!$AO22,'Balance Sheet Source'!AD:AD)/1000</f>
        <v>600</v>
      </c>
      <c r="AF22" s="57">
        <f>SUMIF('Balance Sheet Source'!$A:$A,'2. Balance Sheet'!$AO22,'Balance Sheet Source'!AE:AE)/1000</f>
        <v>600</v>
      </c>
      <c r="AG22" s="57">
        <f>SUMIF('Balance Sheet Source'!$A:$A,'2. Balance Sheet'!$AO22,'Balance Sheet Source'!AF:AF)/1000</f>
        <v>600</v>
      </c>
      <c r="AH22" s="57">
        <f>SUMIF('Balance Sheet Source'!$A:$A,'2. Balance Sheet'!$AO22,'Balance Sheet Source'!AG:AG)/1000</f>
        <v>600</v>
      </c>
      <c r="AI22" s="57">
        <f>SUMIF('Balance Sheet Source'!$A:$A,'2. Balance Sheet'!$AO22,'Balance Sheet Source'!AH:AH)/1000</f>
        <v>600</v>
      </c>
      <c r="AJ22" s="57">
        <f>SUMIF('Balance Sheet Source'!$A:$A,'2. Balance Sheet'!$AO22,'Balance Sheet Source'!AI:AI)/1000</f>
        <v>600</v>
      </c>
      <c r="AK22" s="57">
        <f>SUMIF('Balance Sheet Source'!$A:$A,'2. Balance Sheet'!$AO22,'Balance Sheet Source'!AJ:AJ)/1000</f>
        <v>600</v>
      </c>
      <c r="AL22" s="57">
        <f>SUMIF('Balance Sheet Source'!$A:$A,'2. Balance Sheet'!$AO22,'Balance Sheet Source'!AK:AK)/1000</f>
        <v>600</v>
      </c>
      <c r="AM22" s="61">
        <f>SUMIF('Balance Sheet Source'!$A:$A,'2. Balance Sheet'!$AO22,'Balance Sheet Source'!AL:AL)/1000</f>
        <v>600</v>
      </c>
      <c r="AO22" s="4" t="s">
        <v>120</v>
      </c>
    </row>
    <row r="23" spans="2:42" outlineLevel="1" x14ac:dyDescent="0.2">
      <c r="B23" s="75" t="str">
        <f>+AO23</f>
        <v>Accumulated Depreciation</v>
      </c>
      <c r="C23" s="11"/>
      <c r="D23" s="11"/>
      <c r="E23" s="62">
        <f>SUMIF('Balance Sheet Source'!$A:$A,'2. Balance Sheet'!$AO23,'Balance Sheet Source'!D:D)/1000</f>
        <v>-180</v>
      </c>
      <c r="F23" s="58">
        <f>SUMIF('Balance Sheet Source'!$A:$A,'2. Balance Sheet'!$AO23,'Balance Sheet Source'!E:E)/1000</f>
        <v>-183.21285999999998</v>
      </c>
      <c r="G23" s="58">
        <f>SUMIF('Balance Sheet Source'!$A:$A,'2. Balance Sheet'!$AO23,'Balance Sheet Source'!F:F)/1000</f>
        <v>-186.40521999999999</v>
      </c>
      <c r="H23" s="58">
        <f>SUMIF('Balance Sheet Source'!$A:$A,'2. Balance Sheet'!$AO23,'Balance Sheet Source'!G:G)/1000</f>
        <v>-189.61029999999997</v>
      </c>
      <c r="I23" s="58">
        <f>SUMIF('Balance Sheet Source'!$A:$A,'2. Balance Sheet'!$AO23,'Balance Sheet Source'!H:H)/1000</f>
        <v>-192.81451999999996</v>
      </c>
      <c r="J23" s="58">
        <f>SUMIF('Balance Sheet Source'!$A:$A,'2. Balance Sheet'!$AO23,'Balance Sheet Source'!I:I)/1000</f>
        <v>-195.99380999999997</v>
      </c>
      <c r="K23" s="58">
        <f>SUMIF('Balance Sheet Source'!$A:$A,'2. Balance Sheet'!$AO23,'Balance Sheet Source'!J:J)/1000</f>
        <v>-199.16398999999996</v>
      </c>
      <c r="L23" s="58">
        <f>SUMIF('Balance Sheet Source'!$A:$A,'2. Balance Sheet'!$AO23,'Balance Sheet Source'!K:K)/1000</f>
        <v>-202.38427999999996</v>
      </c>
      <c r="M23" s="58">
        <f>SUMIF('Balance Sheet Source'!$A:$A,'2. Balance Sheet'!$AO23,'Balance Sheet Source'!L:L)/1000</f>
        <v>-205.55808999999996</v>
      </c>
      <c r="N23" s="58">
        <f>SUMIF('Balance Sheet Source'!$A:$A,'2. Balance Sheet'!$AO23,'Balance Sheet Source'!M:M)/1000</f>
        <v>-208.76545999999996</v>
      </c>
      <c r="O23" s="58">
        <f>SUMIF('Balance Sheet Source'!$A:$A,'2. Balance Sheet'!$AO23,'Balance Sheet Source'!N:N)/1000</f>
        <v>-211.94808999999998</v>
      </c>
      <c r="P23" s="58">
        <f>SUMIF('Balance Sheet Source'!$A:$A,'2. Balance Sheet'!$AO23,'Balance Sheet Source'!O:O)/1000</f>
        <v>-215.17960999999997</v>
      </c>
      <c r="Q23" s="62">
        <f>SUMIF('Balance Sheet Source'!$A:$A,'2. Balance Sheet'!$AO23,'Balance Sheet Source'!P:P)/1000</f>
        <v>-218.35357999999997</v>
      </c>
      <c r="R23" s="58">
        <f>SUMIF('Balance Sheet Source'!$A:$A,'2. Balance Sheet'!$AO23,'Balance Sheet Source'!Q:Q)/1000</f>
        <v>-221.54163999999994</v>
      </c>
      <c r="S23" s="58">
        <f>SUMIF('Balance Sheet Source'!$A:$A,'2. Balance Sheet'!$AO23,'Balance Sheet Source'!R:R)/1000</f>
        <v>-224.74531999999994</v>
      </c>
      <c r="T23" s="58">
        <f>SUMIF('Balance Sheet Source'!$A:$A,'2. Balance Sheet'!$AO23,'Balance Sheet Source'!S:S)/1000</f>
        <v>-227.96295999999995</v>
      </c>
      <c r="U23" s="58">
        <f>SUMIF('Balance Sheet Source'!$A:$A,'2. Balance Sheet'!$AO23,'Balance Sheet Source'!T:T)/1000</f>
        <v>-231.14373999999995</v>
      </c>
      <c r="V23" s="58">
        <f>SUMIF('Balance Sheet Source'!$A:$A,'2. Balance Sheet'!$AO23,'Balance Sheet Source'!U:U)/1000</f>
        <v>-234.36959999999993</v>
      </c>
      <c r="W23" s="58">
        <f>SUMIF('Balance Sheet Source'!$A:$A,'2. Balance Sheet'!$AO23,'Balance Sheet Source'!V:V)/1000</f>
        <v>-237.56212999999994</v>
      </c>
      <c r="X23" s="58">
        <f>SUMIF('Balance Sheet Source'!$A:$A,'2. Balance Sheet'!$AO23,'Balance Sheet Source'!W:W)/1000</f>
        <v>-240.74213999999995</v>
      </c>
      <c r="Y23" s="58">
        <f>SUMIF('Balance Sheet Source'!$A:$A,'2. Balance Sheet'!$AO23,'Balance Sheet Source'!X:X)/1000</f>
        <v>-243.97143999999994</v>
      </c>
      <c r="Z23" s="58">
        <f>SUMIF('Balance Sheet Source'!$A:$A,'2. Balance Sheet'!$AO23,'Balance Sheet Source'!Y:Y)/1000</f>
        <v>-247.19533999999993</v>
      </c>
      <c r="AA23" s="58">
        <f>SUMIF('Balance Sheet Source'!$A:$A,'2. Balance Sheet'!$AO23,'Balance Sheet Source'!Z:Z)/1000</f>
        <v>-250.39526999999993</v>
      </c>
      <c r="AB23" s="58">
        <f>SUMIF('Balance Sheet Source'!$A:$A,'2. Balance Sheet'!$AO23,'Balance Sheet Source'!AA:AA)/1000</f>
        <v>-253.58788999999993</v>
      </c>
      <c r="AC23" s="62">
        <f>SUMIF('Balance Sheet Source'!$A:$A,'2. Balance Sheet'!$AO23,'Balance Sheet Source'!AB:AB)/1000</f>
        <v>-256.78132999999991</v>
      </c>
      <c r="AD23" s="58">
        <f>SUMIF('Balance Sheet Source'!$A:$A,'2. Balance Sheet'!$AO23,'Balance Sheet Source'!AC:AC)/1000</f>
        <v>-259.98550999999992</v>
      </c>
      <c r="AE23" s="58">
        <f>SUMIF('Balance Sheet Source'!$A:$A,'2. Balance Sheet'!$AO23,'Balance Sheet Source'!AD:AD)/1000</f>
        <v>-263.17421999999993</v>
      </c>
      <c r="AF23" s="58">
        <f>SUMIF('Balance Sheet Source'!$A:$A,'2. Balance Sheet'!$AO23,'Balance Sheet Source'!AE:AE)/1000</f>
        <v>-266.38066999999995</v>
      </c>
      <c r="AG23" s="58">
        <f>SUMIF('Balance Sheet Source'!$A:$A,'2. Balance Sheet'!$AO23,'Balance Sheet Source'!AF:AF)/1000</f>
        <v>-269.57220999999993</v>
      </c>
      <c r="AH23" s="58">
        <f>SUMIF('Balance Sheet Source'!$A:$A,'2. Balance Sheet'!$AO23,'Balance Sheet Source'!AG:AG)/1000</f>
        <v>-272.75929999999994</v>
      </c>
      <c r="AI23" s="58">
        <f>SUMIF('Balance Sheet Source'!$A:$A,'2. Balance Sheet'!$AO23,'Balance Sheet Source'!AH:AH)/1000</f>
        <v>-275.94015999999993</v>
      </c>
      <c r="AJ23" s="58">
        <f>SUMIF('Balance Sheet Source'!$A:$A,'2. Balance Sheet'!$AO23,'Balance Sheet Source'!AI:AI)/1000</f>
        <v>-279.17074999999994</v>
      </c>
      <c r="AK23" s="58">
        <f>SUMIF('Balance Sheet Source'!$A:$A,'2. Balance Sheet'!$AO23,'Balance Sheet Source'!AJ:AJ)/1000</f>
        <v>-282.35569999999996</v>
      </c>
      <c r="AL23" s="58">
        <f>SUMIF('Balance Sheet Source'!$A:$A,'2. Balance Sheet'!$AO23,'Balance Sheet Source'!AK:AK)/1000</f>
        <v>-285.53366</v>
      </c>
      <c r="AM23" s="62">
        <f>SUMIF('Balance Sheet Source'!$A:$A,'2. Balance Sheet'!$AO23,'Balance Sheet Source'!AL:AL)/1000</f>
        <v>-288.73818999999997</v>
      </c>
      <c r="AO23" s="4" t="s">
        <v>121</v>
      </c>
    </row>
    <row r="24" spans="2:42" outlineLevel="1" x14ac:dyDescent="0.2">
      <c r="B24" s="76" t="str">
        <f>+B21</f>
        <v>Fixed Assets, net</v>
      </c>
      <c r="C24" s="77"/>
      <c r="D24" s="77"/>
      <c r="E24" s="78">
        <f>SUM(E22:E23)</f>
        <v>420</v>
      </c>
      <c r="F24" s="79">
        <f t="shared" ref="F24:AM24" si="3">SUM(F22:F23)</f>
        <v>416.78714000000002</v>
      </c>
      <c r="G24" s="79">
        <f t="shared" si="3"/>
        <v>413.59478000000001</v>
      </c>
      <c r="H24" s="79">
        <f t="shared" si="3"/>
        <v>410.38970000000006</v>
      </c>
      <c r="I24" s="79">
        <f t="shared" si="3"/>
        <v>407.18548000000004</v>
      </c>
      <c r="J24" s="79">
        <f t="shared" si="3"/>
        <v>404.00619000000006</v>
      </c>
      <c r="K24" s="79">
        <f t="shared" si="3"/>
        <v>400.83601000000004</v>
      </c>
      <c r="L24" s="79">
        <f t="shared" si="3"/>
        <v>397.61572000000001</v>
      </c>
      <c r="M24" s="79">
        <f t="shared" si="3"/>
        <v>394.44191000000001</v>
      </c>
      <c r="N24" s="79">
        <f t="shared" si="3"/>
        <v>391.23454000000004</v>
      </c>
      <c r="O24" s="79">
        <f t="shared" si="3"/>
        <v>388.05191000000002</v>
      </c>
      <c r="P24" s="79">
        <f t="shared" si="3"/>
        <v>384.82039000000003</v>
      </c>
      <c r="Q24" s="78">
        <f t="shared" si="3"/>
        <v>381.64642000000003</v>
      </c>
      <c r="R24" s="79">
        <f t="shared" si="3"/>
        <v>378.45836000000008</v>
      </c>
      <c r="S24" s="79">
        <f t="shared" si="3"/>
        <v>375.25468000000006</v>
      </c>
      <c r="T24" s="79">
        <f t="shared" si="3"/>
        <v>372.03704000000005</v>
      </c>
      <c r="U24" s="79">
        <f t="shared" si="3"/>
        <v>368.85626000000002</v>
      </c>
      <c r="V24" s="79">
        <f t="shared" si="3"/>
        <v>365.63040000000007</v>
      </c>
      <c r="W24" s="79">
        <f t="shared" si="3"/>
        <v>362.43787000000009</v>
      </c>
      <c r="X24" s="79">
        <f t="shared" si="3"/>
        <v>359.25786000000005</v>
      </c>
      <c r="Y24" s="79">
        <f t="shared" si="3"/>
        <v>356.02856000000008</v>
      </c>
      <c r="Z24" s="79">
        <f t="shared" si="3"/>
        <v>352.80466000000007</v>
      </c>
      <c r="AA24" s="79">
        <f t="shared" si="3"/>
        <v>349.60473000000007</v>
      </c>
      <c r="AB24" s="79">
        <f t="shared" si="3"/>
        <v>346.4121100000001</v>
      </c>
      <c r="AC24" s="78">
        <f t="shared" si="3"/>
        <v>343.21867000000009</v>
      </c>
      <c r="AD24" s="79">
        <f t="shared" si="3"/>
        <v>340.01449000000008</v>
      </c>
      <c r="AE24" s="79">
        <f t="shared" si="3"/>
        <v>336.82578000000007</v>
      </c>
      <c r="AF24" s="79">
        <f t="shared" si="3"/>
        <v>333.61933000000005</v>
      </c>
      <c r="AG24" s="79">
        <f t="shared" si="3"/>
        <v>330.42779000000007</v>
      </c>
      <c r="AH24" s="79">
        <f t="shared" si="3"/>
        <v>327.24070000000006</v>
      </c>
      <c r="AI24" s="79">
        <f t="shared" si="3"/>
        <v>324.05984000000007</v>
      </c>
      <c r="AJ24" s="79">
        <f t="shared" si="3"/>
        <v>320.82925000000006</v>
      </c>
      <c r="AK24" s="79">
        <f t="shared" si="3"/>
        <v>317.64430000000004</v>
      </c>
      <c r="AL24" s="79">
        <f t="shared" si="3"/>
        <v>314.46634</v>
      </c>
      <c r="AM24" s="78">
        <f t="shared" si="3"/>
        <v>311.26181000000003</v>
      </c>
      <c r="AP24" s="89" t="s">
        <v>200</v>
      </c>
    </row>
    <row r="25" spans="2:42" x14ac:dyDescent="0.2">
      <c r="B25" s="67" t="str">
        <f>+B20</f>
        <v>Non-Current Assets</v>
      </c>
      <c r="C25" s="59"/>
      <c r="D25" s="59"/>
      <c r="E25" s="63">
        <f t="shared" ref="E25:AM25" si="4">SUM(E24:E24)</f>
        <v>420</v>
      </c>
      <c r="F25" s="60">
        <f t="shared" si="4"/>
        <v>416.78714000000002</v>
      </c>
      <c r="G25" s="60">
        <f t="shared" si="4"/>
        <v>413.59478000000001</v>
      </c>
      <c r="H25" s="60">
        <f t="shared" si="4"/>
        <v>410.38970000000006</v>
      </c>
      <c r="I25" s="60">
        <f t="shared" si="4"/>
        <v>407.18548000000004</v>
      </c>
      <c r="J25" s="60">
        <f t="shared" si="4"/>
        <v>404.00619000000006</v>
      </c>
      <c r="K25" s="60">
        <f t="shared" si="4"/>
        <v>400.83601000000004</v>
      </c>
      <c r="L25" s="60">
        <f t="shared" si="4"/>
        <v>397.61572000000001</v>
      </c>
      <c r="M25" s="60">
        <f t="shared" si="4"/>
        <v>394.44191000000001</v>
      </c>
      <c r="N25" s="60">
        <f t="shared" si="4"/>
        <v>391.23454000000004</v>
      </c>
      <c r="O25" s="60">
        <f t="shared" si="4"/>
        <v>388.05191000000002</v>
      </c>
      <c r="P25" s="60">
        <f t="shared" si="4"/>
        <v>384.82039000000003</v>
      </c>
      <c r="Q25" s="63">
        <f t="shared" si="4"/>
        <v>381.64642000000003</v>
      </c>
      <c r="R25" s="60">
        <f t="shared" si="4"/>
        <v>378.45836000000008</v>
      </c>
      <c r="S25" s="60">
        <f t="shared" si="4"/>
        <v>375.25468000000006</v>
      </c>
      <c r="T25" s="60">
        <f t="shared" si="4"/>
        <v>372.03704000000005</v>
      </c>
      <c r="U25" s="60">
        <f t="shared" si="4"/>
        <v>368.85626000000002</v>
      </c>
      <c r="V25" s="60">
        <f t="shared" si="4"/>
        <v>365.63040000000007</v>
      </c>
      <c r="W25" s="60">
        <f t="shared" si="4"/>
        <v>362.43787000000009</v>
      </c>
      <c r="X25" s="60">
        <f t="shared" si="4"/>
        <v>359.25786000000005</v>
      </c>
      <c r="Y25" s="60">
        <f t="shared" si="4"/>
        <v>356.02856000000008</v>
      </c>
      <c r="Z25" s="60">
        <f t="shared" si="4"/>
        <v>352.80466000000007</v>
      </c>
      <c r="AA25" s="60">
        <f t="shared" si="4"/>
        <v>349.60473000000007</v>
      </c>
      <c r="AB25" s="60">
        <f t="shared" si="4"/>
        <v>346.4121100000001</v>
      </c>
      <c r="AC25" s="63">
        <f t="shared" si="4"/>
        <v>343.21867000000009</v>
      </c>
      <c r="AD25" s="60">
        <f t="shared" si="4"/>
        <v>340.01449000000008</v>
      </c>
      <c r="AE25" s="60">
        <f t="shared" si="4"/>
        <v>336.82578000000007</v>
      </c>
      <c r="AF25" s="60">
        <f t="shared" si="4"/>
        <v>333.61933000000005</v>
      </c>
      <c r="AG25" s="60">
        <f t="shared" si="4"/>
        <v>330.42779000000007</v>
      </c>
      <c r="AH25" s="60">
        <f t="shared" si="4"/>
        <v>327.24070000000006</v>
      </c>
      <c r="AI25" s="60">
        <f t="shared" si="4"/>
        <v>324.05984000000007</v>
      </c>
      <c r="AJ25" s="60">
        <f t="shared" si="4"/>
        <v>320.82925000000006</v>
      </c>
      <c r="AK25" s="60">
        <f t="shared" si="4"/>
        <v>317.64430000000004</v>
      </c>
      <c r="AL25" s="60">
        <f t="shared" si="4"/>
        <v>314.46634</v>
      </c>
      <c r="AM25" s="63">
        <f t="shared" si="4"/>
        <v>311.26181000000003</v>
      </c>
    </row>
    <row r="26" spans="2:42" ht="12" customHeight="1" x14ac:dyDescent="0.2">
      <c r="B26" s="25"/>
      <c r="E26" s="16"/>
      <c r="Q26" s="16"/>
      <c r="AC26" s="16"/>
      <c r="AM26" s="16"/>
    </row>
    <row r="27" spans="2:42" x14ac:dyDescent="0.2">
      <c r="B27" s="68" t="s">
        <v>105</v>
      </c>
      <c r="C27" s="69"/>
      <c r="D27" s="69"/>
      <c r="E27" s="70">
        <f t="shared" ref="E27:AM27" si="5">+E18+E25</f>
        <v>1298.0619200000001</v>
      </c>
      <c r="F27" s="71">
        <f t="shared" si="5"/>
        <v>1406.5286499999997</v>
      </c>
      <c r="G27" s="71">
        <f t="shared" si="5"/>
        <v>1655.3845099999999</v>
      </c>
      <c r="H27" s="71">
        <f t="shared" si="5"/>
        <v>1713.7274799999996</v>
      </c>
      <c r="I27" s="71">
        <f t="shared" si="5"/>
        <v>1751.8630899999998</v>
      </c>
      <c r="J27" s="71">
        <f t="shared" si="5"/>
        <v>1716.45994</v>
      </c>
      <c r="K27" s="71">
        <f t="shared" si="5"/>
        <v>1781.8867799999998</v>
      </c>
      <c r="L27" s="71">
        <f t="shared" si="5"/>
        <v>1708.9777399999998</v>
      </c>
      <c r="M27" s="71">
        <f t="shared" si="5"/>
        <v>1775.3502999999998</v>
      </c>
      <c r="N27" s="71">
        <f t="shared" si="5"/>
        <v>1894.1196999999997</v>
      </c>
      <c r="O27" s="71">
        <f t="shared" si="5"/>
        <v>1747.9047999999998</v>
      </c>
      <c r="P27" s="71">
        <f t="shared" si="5"/>
        <v>1769.3374000000001</v>
      </c>
      <c r="Q27" s="70">
        <f t="shared" si="5"/>
        <v>1935.9683899999998</v>
      </c>
      <c r="R27" s="71">
        <f t="shared" si="5"/>
        <v>1848.64806</v>
      </c>
      <c r="S27" s="71">
        <f t="shared" si="5"/>
        <v>1746.6885899999997</v>
      </c>
      <c r="T27" s="71">
        <f t="shared" si="5"/>
        <v>1753.4837499999994</v>
      </c>
      <c r="U27" s="71">
        <f t="shared" si="5"/>
        <v>1661.5755699999997</v>
      </c>
      <c r="V27" s="71">
        <f t="shared" si="5"/>
        <v>1701.5941799999996</v>
      </c>
      <c r="W27" s="71">
        <f t="shared" si="5"/>
        <v>1760.5080799999996</v>
      </c>
      <c r="X27" s="71">
        <f t="shared" si="5"/>
        <v>1769.3352199999999</v>
      </c>
      <c r="Y27" s="71">
        <f t="shared" si="5"/>
        <v>1676.7610399999999</v>
      </c>
      <c r="Z27" s="71">
        <f t="shared" si="5"/>
        <v>1830.0885799999996</v>
      </c>
      <c r="AA27" s="71">
        <f t="shared" si="5"/>
        <v>1599.3603999999998</v>
      </c>
      <c r="AB27" s="71">
        <f t="shared" si="5"/>
        <v>1560.0465099999997</v>
      </c>
      <c r="AC27" s="70">
        <f t="shared" si="5"/>
        <v>1614.5931299999997</v>
      </c>
      <c r="AD27" s="71">
        <f t="shared" si="5"/>
        <v>1594.6703299999999</v>
      </c>
      <c r="AE27" s="71">
        <f t="shared" si="5"/>
        <v>1614.5445999999999</v>
      </c>
      <c r="AF27" s="71">
        <f t="shared" si="5"/>
        <v>1702.1145899999999</v>
      </c>
      <c r="AG27" s="71">
        <f t="shared" si="5"/>
        <v>1726.5762500000001</v>
      </c>
      <c r="AH27" s="71">
        <f t="shared" si="5"/>
        <v>1690.1277</v>
      </c>
      <c r="AI27" s="71">
        <f t="shared" si="5"/>
        <v>1866.2834700000001</v>
      </c>
      <c r="AJ27" s="71">
        <f t="shared" si="5"/>
        <v>1920.07529</v>
      </c>
      <c r="AK27" s="71">
        <f t="shared" si="5"/>
        <v>1960.2921500000002</v>
      </c>
      <c r="AL27" s="71">
        <f t="shared" si="5"/>
        <v>2032.0331499999998</v>
      </c>
      <c r="AM27" s="70">
        <f t="shared" si="5"/>
        <v>2046.0170699999999</v>
      </c>
    </row>
    <row r="28" spans="2:42" ht="12" customHeight="1" x14ac:dyDescent="0.2">
      <c r="B28" s="25"/>
      <c r="E28" s="16"/>
      <c r="Q28" s="16"/>
      <c r="AC28" s="16"/>
      <c r="AM28" s="16"/>
    </row>
    <row r="29" spans="2:42" x14ac:dyDescent="0.2">
      <c r="B29" s="26" t="s">
        <v>106</v>
      </c>
      <c r="E29" s="16"/>
      <c r="Q29" s="16"/>
      <c r="AC29" s="16"/>
      <c r="AM29" s="16"/>
    </row>
    <row r="30" spans="2:42" x14ac:dyDescent="0.2">
      <c r="B30" s="29" t="str">
        <f t="shared" ref="B30:B38" si="6">+AO30</f>
        <v>Accounts Payable</v>
      </c>
      <c r="E30" s="61">
        <f>SUMIF('Balance Sheet Source'!$A:$A,'2. Balance Sheet'!$AO30,'Balance Sheet Source'!D:D)/1000</f>
        <v>162.06192000000001</v>
      </c>
      <c r="F30" s="57">
        <f>SUMIF('Balance Sheet Source'!$A:$A,'2. Balance Sheet'!$AO30,'Balance Sheet Source'!E:E)/1000</f>
        <v>293.38299000000001</v>
      </c>
      <c r="G30" s="57">
        <f>SUMIF('Balance Sheet Source'!$A:$A,'2. Balance Sheet'!$AO30,'Balance Sheet Source'!F:F)/1000</f>
        <v>333.52677999999997</v>
      </c>
      <c r="H30" s="57">
        <f>SUMIF('Balance Sheet Source'!$A:$A,'2. Balance Sheet'!$AO30,'Balance Sheet Source'!G:G)/1000</f>
        <v>269.28591999999992</v>
      </c>
      <c r="I30" s="57">
        <f>SUMIF('Balance Sheet Source'!$A:$A,'2. Balance Sheet'!$AO30,'Balance Sheet Source'!H:H)/1000</f>
        <v>294.3492599999999</v>
      </c>
      <c r="J30" s="57">
        <f>SUMIF('Balance Sheet Source'!$A:$A,'2. Balance Sheet'!$AO30,'Balance Sheet Source'!I:I)/1000</f>
        <v>293.38668999999993</v>
      </c>
      <c r="K30" s="57">
        <f>SUMIF('Balance Sheet Source'!$A:$A,'2. Balance Sheet'!$AO30,'Balance Sheet Source'!J:J)/1000</f>
        <v>404.00399999999991</v>
      </c>
      <c r="L30" s="57">
        <f>SUMIF('Balance Sheet Source'!$A:$A,'2. Balance Sheet'!$AO30,'Balance Sheet Source'!K:K)/1000</f>
        <v>251.71395999999993</v>
      </c>
      <c r="M30" s="57">
        <f>SUMIF('Balance Sheet Source'!$A:$A,'2. Balance Sheet'!$AO30,'Balance Sheet Source'!L:L)/1000</f>
        <v>301.31930999999992</v>
      </c>
      <c r="N30" s="57">
        <f>SUMIF('Balance Sheet Source'!$A:$A,'2. Balance Sheet'!$AO30,'Balance Sheet Source'!M:M)/1000</f>
        <v>409.99409999999995</v>
      </c>
      <c r="O30" s="57">
        <f>SUMIF('Balance Sheet Source'!$A:$A,'2. Balance Sheet'!$AO30,'Balance Sheet Source'!N:N)/1000</f>
        <v>242.13764999999995</v>
      </c>
      <c r="P30" s="57">
        <f>SUMIF('Balance Sheet Source'!$A:$A,'2. Balance Sheet'!$AO30,'Balance Sheet Source'!O:O)/1000</f>
        <v>266.30645999999996</v>
      </c>
      <c r="Q30" s="61">
        <f>SUMIF('Balance Sheet Source'!$A:$A,'2. Balance Sheet'!$AO30,'Balance Sheet Source'!P:P)/1000</f>
        <v>336.73948999999999</v>
      </c>
      <c r="R30" s="57">
        <f>SUMIF('Balance Sheet Source'!$A:$A,'2. Balance Sheet'!$AO30,'Balance Sheet Source'!Q:Q)/1000</f>
        <v>309.62537000000003</v>
      </c>
      <c r="S30" s="57">
        <f>SUMIF('Balance Sheet Source'!$A:$A,'2. Balance Sheet'!$AO30,'Balance Sheet Source'!R:R)/1000</f>
        <v>333.63502000000005</v>
      </c>
      <c r="T30" s="57">
        <f>SUMIF('Balance Sheet Source'!$A:$A,'2. Balance Sheet'!$AO30,'Balance Sheet Source'!S:S)/1000</f>
        <v>429.51844000000006</v>
      </c>
      <c r="U30" s="57">
        <f>SUMIF('Balance Sheet Source'!$A:$A,'2. Balance Sheet'!$AO30,'Balance Sheet Source'!T:T)/1000</f>
        <v>303.24161999999995</v>
      </c>
      <c r="V30" s="57">
        <f>SUMIF('Balance Sheet Source'!$A:$A,'2. Balance Sheet'!$AO30,'Balance Sheet Source'!U:U)/1000</f>
        <v>409.40392999999989</v>
      </c>
      <c r="W30" s="57">
        <f>SUMIF('Balance Sheet Source'!$A:$A,'2. Balance Sheet'!$AO30,'Balance Sheet Source'!V:V)/1000</f>
        <v>443.64853999999985</v>
      </c>
      <c r="X30" s="57">
        <f>SUMIF('Balance Sheet Source'!$A:$A,'2. Balance Sheet'!$AO30,'Balance Sheet Source'!W:W)/1000</f>
        <v>480.90783999999985</v>
      </c>
      <c r="Y30" s="57">
        <f>SUMIF('Balance Sheet Source'!$A:$A,'2. Balance Sheet'!$AO30,'Balance Sheet Source'!X:X)/1000</f>
        <v>299.26923999999985</v>
      </c>
      <c r="Z30" s="57">
        <f>SUMIF('Balance Sheet Source'!$A:$A,'2. Balance Sheet'!$AO30,'Balance Sheet Source'!Y:Y)/1000</f>
        <v>442.73103999999967</v>
      </c>
      <c r="AA30" s="57">
        <f>SUMIF('Balance Sheet Source'!$A:$A,'2. Balance Sheet'!$AO30,'Balance Sheet Source'!Z:Z)/1000</f>
        <v>356.44728999999967</v>
      </c>
      <c r="AB30" s="57">
        <f>SUMIF('Balance Sheet Source'!$A:$A,'2. Balance Sheet'!$AO30,'Balance Sheet Source'!AA:AA)/1000</f>
        <v>398.20791999999972</v>
      </c>
      <c r="AC30" s="61">
        <f>SUMIF('Balance Sheet Source'!$A:$A,'2. Balance Sheet'!$AO30,'Balance Sheet Source'!AB:AB)/1000</f>
        <v>292.5173199999997</v>
      </c>
      <c r="AD30" s="57">
        <f>SUMIF('Balance Sheet Source'!$A:$A,'2. Balance Sheet'!$AO30,'Balance Sheet Source'!AC:AC)/1000</f>
        <v>286.21695999999974</v>
      </c>
      <c r="AE30" s="57">
        <f>SUMIF('Balance Sheet Source'!$A:$A,'2. Balance Sheet'!$AO30,'Balance Sheet Source'!AD:AD)/1000</f>
        <v>329.73497999999972</v>
      </c>
      <c r="AF30" s="57">
        <f>SUMIF('Balance Sheet Source'!$A:$A,'2. Balance Sheet'!$AO30,'Balance Sheet Source'!AE:AE)/1000</f>
        <v>356.00587999999976</v>
      </c>
      <c r="AG30" s="57">
        <f>SUMIF('Balance Sheet Source'!$A:$A,'2. Balance Sheet'!$AO30,'Balance Sheet Source'!AF:AF)/1000</f>
        <v>402.02394999999984</v>
      </c>
      <c r="AH30" s="57">
        <f>SUMIF('Balance Sheet Source'!$A:$A,'2. Balance Sheet'!$AO30,'Balance Sheet Source'!AG:AG)/1000</f>
        <v>270.13119999999992</v>
      </c>
      <c r="AI30" s="57">
        <f>SUMIF('Balance Sheet Source'!$A:$A,'2. Balance Sheet'!$AO30,'Balance Sheet Source'!AH:AH)/1000</f>
        <v>352.38858999999979</v>
      </c>
      <c r="AJ30" s="57">
        <f>SUMIF('Balance Sheet Source'!$A:$A,'2. Balance Sheet'!$AO30,'Balance Sheet Source'!AI:AI)/1000</f>
        <v>332.17087999999984</v>
      </c>
      <c r="AK30" s="57">
        <f>SUMIF('Balance Sheet Source'!$A:$A,'2. Balance Sheet'!$AO30,'Balance Sheet Source'!AJ:AJ)/1000</f>
        <v>389.41621999999984</v>
      </c>
      <c r="AL30" s="57">
        <f>SUMIF('Balance Sheet Source'!$A:$A,'2. Balance Sheet'!$AO30,'Balance Sheet Source'!AK:AK)/1000</f>
        <v>297.77993999999984</v>
      </c>
      <c r="AM30" s="61">
        <f>SUMIF('Balance Sheet Source'!$A:$A,'2. Balance Sheet'!$AO30,'Balance Sheet Source'!AL:AL)/1000</f>
        <v>304.81350999999984</v>
      </c>
      <c r="AO30" s="4" t="s">
        <v>107</v>
      </c>
      <c r="AP30" s="89" t="s">
        <v>191</v>
      </c>
    </row>
    <row r="31" spans="2:42" x14ac:dyDescent="0.2">
      <c r="B31" s="29" t="str">
        <f t="shared" ref="B31" si="7">+AO31</f>
        <v>Accrued Payroll</v>
      </c>
      <c r="E31" s="61">
        <f>SUMIF('Balance Sheet Source'!$A:$A,'2. Balance Sheet'!$AO31,'Balance Sheet Source'!D:D)/1000</f>
        <v>40</v>
      </c>
      <c r="F31" s="57">
        <f>SUMIF('Balance Sheet Source'!$A:$A,'2. Balance Sheet'!$AO31,'Balance Sheet Source'!E:E)/1000</f>
        <v>40</v>
      </c>
      <c r="G31" s="57">
        <f>SUMIF('Balance Sheet Source'!$A:$A,'2. Balance Sheet'!$AO31,'Balance Sheet Source'!F:F)/1000</f>
        <v>40</v>
      </c>
      <c r="H31" s="57">
        <f>SUMIF('Balance Sheet Source'!$A:$A,'2. Balance Sheet'!$AO31,'Balance Sheet Source'!G:G)/1000</f>
        <v>40</v>
      </c>
      <c r="I31" s="57">
        <f>SUMIF('Balance Sheet Source'!$A:$A,'2. Balance Sheet'!$AO31,'Balance Sheet Source'!H:H)/1000</f>
        <v>40</v>
      </c>
      <c r="J31" s="57">
        <f>SUMIF('Balance Sheet Source'!$A:$A,'2. Balance Sheet'!$AO31,'Balance Sheet Source'!I:I)/1000</f>
        <v>40</v>
      </c>
      <c r="K31" s="57">
        <f>SUMIF('Balance Sheet Source'!$A:$A,'2. Balance Sheet'!$AO31,'Balance Sheet Source'!J:J)/1000</f>
        <v>40</v>
      </c>
      <c r="L31" s="57">
        <f>SUMIF('Balance Sheet Source'!$A:$A,'2. Balance Sheet'!$AO31,'Balance Sheet Source'!K:K)/1000</f>
        <v>40</v>
      </c>
      <c r="M31" s="57">
        <f>SUMIF('Balance Sheet Source'!$A:$A,'2. Balance Sheet'!$AO31,'Balance Sheet Source'!L:L)/1000</f>
        <v>40</v>
      </c>
      <c r="N31" s="57">
        <f>SUMIF('Balance Sheet Source'!$A:$A,'2. Balance Sheet'!$AO31,'Balance Sheet Source'!M:M)/1000</f>
        <v>40</v>
      </c>
      <c r="O31" s="57">
        <f>SUMIF('Balance Sheet Source'!$A:$A,'2. Balance Sheet'!$AO31,'Balance Sheet Source'!N:N)/1000</f>
        <v>40</v>
      </c>
      <c r="P31" s="57">
        <f>SUMIF('Balance Sheet Source'!$A:$A,'2. Balance Sheet'!$AO31,'Balance Sheet Source'!O:O)/1000</f>
        <v>40</v>
      </c>
      <c r="Q31" s="61">
        <f>SUMIF('Balance Sheet Source'!$A:$A,'2. Balance Sheet'!$AO31,'Balance Sheet Source'!P:P)/1000</f>
        <v>40</v>
      </c>
      <c r="R31" s="57">
        <f>SUMIF('Balance Sheet Source'!$A:$A,'2. Balance Sheet'!$AO31,'Balance Sheet Source'!Q:Q)/1000</f>
        <v>40</v>
      </c>
      <c r="S31" s="57">
        <f>SUMIF('Balance Sheet Source'!$A:$A,'2. Balance Sheet'!$AO31,'Balance Sheet Source'!R:R)/1000</f>
        <v>40</v>
      </c>
      <c r="T31" s="57">
        <f>SUMIF('Balance Sheet Source'!$A:$A,'2. Balance Sheet'!$AO31,'Balance Sheet Source'!S:S)/1000</f>
        <v>40</v>
      </c>
      <c r="U31" s="57">
        <f>SUMIF('Balance Sheet Source'!$A:$A,'2. Balance Sheet'!$AO31,'Balance Sheet Source'!T:T)/1000</f>
        <v>40</v>
      </c>
      <c r="V31" s="57">
        <f>SUMIF('Balance Sheet Source'!$A:$A,'2. Balance Sheet'!$AO31,'Balance Sheet Source'!U:U)/1000</f>
        <v>40</v>
      </c>
      <c r="W31" s="57">
        <f>SUMIF('Balance Sheet Source'!$A:$A,'2. Balance Sheet'!$AO31,'Balance Sheet Source'!V:V)/1000</f>
        <v>40</v>
      </c>
      <c r="X31" s="57">
        <f>SUMIF('Balance Sheet Source'!$A:$A,'2. Balance Sheet'!$AO31,'Balance Sheet Source'!W:W)/1000</f>
        <v>40</v>
      </c>
      <c r="Y31" s="57">
        <f>SUMIF('Balance Sheet Source'!$A:$A,'2. Balance Sheet'!$AO31,'Balance Sheet Source'!X:X)/1000</f>
        <v>40</v>
      </c>
      <c r="Z31" s="57">
        <f>SUMIF('Balance Sheet Source'!$A:$A,'2. Balance Sheet'!$AO31,'Balance Sheet Source'!Y:Y)/1000</f>
        <v>40</v>
      </c>
      <c r="AA31" s="57">
        <f>SUMIF('Balance Sheet Source'!$A:$A,'2. Balance Sheet'!$AO31,'Balance Sheet Source'!Z:Z)/1000</f>
        <v>40</v>
      </c>
      <c r="AB31" s="57">
        <f>SUMIF('Balance Sheet Source'!$A:$A,'2. Balance Sheet'!$AO31,'Balance Sheet Source'!AA:AA)/1000</f>
        <v>40</v>
      </c>
      <c r="AC31" s="61">
        <f>SUMIF('Balance Sheet Source'!$A:$A,'2. Balance Sheet'!$AO31,'Balance Sheet Source'!AB:AB)/1000</f>
        <v>40</v>
      </c>
      <c r="AD31" s="57">
        <f>SUMIF('Balance Sheet Source'!$A:$A,'2. Balance Sheet'!$AO31,'Balance Sheet Source'!AC:AC)/1000</f>
        <v>40</v>
      </c>
      <c r="AE31" s="57">
        <f>SUMIF('Balance Sheet Source'!$A:$A,'2. Balance Sheet'!$AO31,'Balance Sheet Source'!AD:AD)/1000</f>
        <v>40</v>
      </c>
      <c r="AF31" s="57">
        <f>SUMIF('Balance Sheet Source'!$A:$A,'2. Balance Sheet'!$AO31,'Balance Sheet Source'!AE:AE)/1000</f>
        <v>40</v>
      </c>
      <c r="AG31" s="57">
        <f>SUMIF('Balance Sheet Source'!$A:$A,'2. Balance Sheet'!$AO31,'Balance Sheet Source'!AF:AF)/1000</f>
        <v>40</v>
      </c>
      <c r="AH31" s="57">
        <f>SUMIF('Balance Sheet Source'!$A:$A,'2. Balance Sheet'!$AO31,'Balance Sheet Source'!AG:AG)/1000</f>
        <v>40</v>
      </c>
      <c r="AI31" s="57">
        <f>SUMIF('Balance Sheet Source'!$A:$A,'2. Balance Sheet'!$AO31,'Balance Sheet Source'!AH:AH)/1000</f>
        <v>40</v>
      </c>
      <c r="AJ31" s="57">
        <f>SUMIF('Balance Sheet Source'!$A:$A,'2. Balance Sheet'!$AO31,'Balance Sheet Source'!AI:AI)/1000</f>
        <v>40</v>
      </c>
      <c r="AK31" s="57">
        <f>SUMIF('Balance Sheet Source'!$A:$A,'2. Balance Sheet'!$AO31,'Balance Sheet Source'!AJ:AJ)/1000</f>
        <v>40</v>
      </c>
      <c r="AL31" s="57">
        <f>SUMIF('Balance Sheet Source'!$A:$A,'2. Balance Sheet'!$AO31,'Balance Sheet Source'!AK:AK)/1000</f>
        <v>40</v>
      </c>
      <c r="AM31" s="61">
        <f>SUMIF('Balance Sheet Source'!$A:$A,'2. Balance Sheet'!$AO31,'Balance Sheet Source'!AL:AL)/1000</f>
        <v>40</v>
      </c>
      <c r="AO31" s="4" t="s">
        <v>162</v>
      </c>
      <c r="AP31" s="89" t="s">
        <v>192</v>
      </c>
    </row>
    <row r="32" spans="2:42" x14ac:dyDescent="0.2">
      <c r="B32" s="29" t="str">
        <f t="shared" si="6"/>
        <v>Accrued Payroll Taxes</v>
      </c>
      <c r="E32" s="61">
        <f>SUMIF('Balance Sheet Source'!$A:$A,'2. Balance Sheet'!$AO32,'Balance Sheet Source'!D:D)/1000</f>
        <v>15</v>
      </c>
      <c r="F32" s="57">
        <f>SUMIF('Balance Sheet Source'!$A:$A,'2. Balance Sheet'!$AO32,'Balance Sheet Source'!E:E)/1000</f>
        <v>15</v>
      </c>
      <c r="G32" s="57">
        <f>SUMIF('Balance Sheet Source'!$A:$A,'2. Balance Sheet'!$AO32,'Balance Sheet Source'!F:F)/1000</f>
        <v>15</v>
      </c>
      <c r="H32" s="57">
        <f>SUMIF('Balance Sheet Source'!$A:$A,'2. Balance Sheet'!$AO32,'Balance Sheet Source'!G:G)/1000</f>
        <v>15</v>
      </c>
      <c r="I32" s="57">
        <f>SUMIF('Balance Sheet Source'!$A:$A,'2. Balance Sheet'!$AO32,'Balance Sheet Source'!H:H)/1000</f>
        <v>15</v>
      </c>
      <c r="J32" s="57">
        <f>SUMIF('Balance Sheet Source'!$A:$A,'2. Balance Sheet'!$AO32,'Balance Sheet Source'!I:I)/1000</f>
        <v>15</v>
      </c>
      <c r="K32" s="57">
        <f>SUMIF('Balance Sheet Source'!$A:$A,'2. Balance Sheet'!$AO32,'Balance Sheet Source'!J:J)/1000</f>
        <v>15</v>
      </c>
      <c r="L32" s="57">
        <f>SUMIF('Balance Sheet Source'!$A:$A,'2. Balance Sheet'!$AO32,'Balance Sheet Source'!K:K)/1000</f>
        <v>15</v>
      </c>
      <c r="M32" s="57">
        <f>SUMIF('Balance Sheet Source'!$A:$A,'2. Balance Sheet'!$AO32,'Balance Sheet Source'!L:L)/1000</f>
        <v>15</v>
      </c>
      <c r="N32" s="57">
        <f>SUMIF('Balance Sheet Source'!$A:$A,'2. Balance Sheet'!$AO32,'Balance Sheet Source'!M:M)/1000</f>
        <v>15</v>
      </c>
      <c r="O32" s="57">
        <f>SUMIF('Balance Sheet Source'!$A:$A,'2. Balance Sheet'!$AO32,'Balance Sheet Source'!N:N)/1000</f>
        <v>15</v>
      </c>
      <c r="P32" s="57">
        <f>SUMIF('Balance Sheet Source'!$A:$A,'2. Balance Sheet'!$AO32,'Balance Sheet Source'!O:O)/1000</f>
        <v>15</v>
      </c>
      <c r="Q32" s="61">
        <f>SUMIF('Balance Sheet Source'!$A:$A,'2. Balance Sheet'!$AO32,'Balance Sheet Source'!P:P)/1000</f>
        <v>15</v>
      </c>
      <c r="R32" s="57">
        <f>SUMIF('Balance Sheet Source'!$A:$A,'2. Balance Sheet'!$AO32,'Balance Sheet Source'!Q:Q)/1000</f>
        <v>15</v>
      </c>
      <c r="S32" s="57">
        <f>SUMIF('Balance Sheet Source'!$A:$A,'2. Balance Sheet'!$AO32,'Balance Sheet Source'!R:R)/1000</f>
        <v>15</v>
      </c>
      <c r="T32" s="57">
        <f>SUMIF('Balance Sheet Source'!$A:$A,'2. Balance Sheet'!$AO32,'Balance Sheet Source'!S:S)/1000</f>
        <v>15</v>
      </c>
      <c r="U32" s="57">
        <f>SUMIF('Balance Sheet Source'!$A:$A,'2. Balance Sheet'!$AO32,'Balance Sheet Source'!T:T)/1000</f>
        <v>15</v>
      </c>
      <c r="V32" s="57">
        <f>SUMIF('Balance Sheet Source'!$A:$A,'2. Balance Sheet'!$AO32,'Balance Sheet Source'!U:U)/1000</f>
        <v>15</v>
      </c>
      <c r="W32" s="57">
        <f>SUMIF('Balance Sheet Source'!$A:$A,'2. Balance Sheet'!$AO32,'Balance Sheet Source'!V:V)/1000</f>
        <v>15</v>
      </c>
      <c r="X32" s="57">
        <f>SUMIF('Balance Sheet Source'!$A:$A,'2. Balance Sheet'!$AO32,'Balance Sheet Source'!W:W)/1000</f>
        <v>15</v>
      </c>
      <c r="Y32" s="57">
        <f>SUMIF('Balance Sheet Source'!$A:$A,'2. Balance Sheet'!$AO32,'Balance Sheet Source'!X:X)/1000</f>
        <v>15</v>
      </c>
      <c r="Z32" s="57">
        <f>SUMIF('Balance Sheet Source'!$A:$A,'2. Balance Sheet'!$AO32,'Balance Sheet Source'!Y:Y)/1000</f>
        <v>15</v>
      </c>
      <c r="AA32" s="57">
        <f>SUMIF('Balance Sheet Source'!$A:$A,'2. Balance Sheet'!$AO32,'Balance Sheet Source'!Z:Z)/1000</f>
        <v>15</v>
      </c>
      <c r="AB32" s="57">
        <f>SUMIF('Balance Sheet Source'!$A:$A,'2. Balance Sheet'!$AO32,'Balance Sheet Source'!AA:AA)/1000</f>
        <v>15</v>
      </c>
      <c r="AC32" s="61">
        <f>SUMIF('Balance Sheet Source'!$A:$A,'2. Balance Sheet'!$AO32,'Balance Sheet Source'!AB:AB)/1000</f>
        <v>15</v>
      </c>
      <c r="AD32" s="57">
        <f>SUMIF('Balance Sheet Source'!$A:$A,'2. Balance Sheet'!$AO32,'Balance Sheet Source'!AC:AC)/1000</f>
        <v>15</v>
      </c>
      <c r="AE32" s="57">
        <f>SUMIF('Balance Sheet Source'!$A:$A,'2. Balance Sheet'!$AO32,'Balance Sheet Source'!AD:AD)/1000</f>
        <v>15</v>
      </c>
      <c r="AF32" s="57">
        <f>SUMIF('Balance Sheet Source'!$A:$A,'2. Balance Sheet'!$AO32,'Balance Sheet Source'!AE:AE)/1000</f>
        <v>15</v>
      </c>
      <c r="AG32" s="57">
        <f>SUMIF('Balance Sheet Source'!$A:$A,'2. Balance Sheet'!$AO32,'Balance Sheet Source'!AF:AF)/1000</f>
        <v>15</v>
      </c>
      <c r="AH32" s="57">
        <f>SUMIF('Balance Sheet Source'!$A:$A,'2. Balance Sheet'!$AO32,'Balance Sheet Source'!AG:AG)/1000</f>
        <v>15</v>
      </c>
      <c r="AI32" s="57">
        <f>SUMIF('Balance Sheet Source'!$A:$A,'2. Balance Sheet'!$AO32,'Balance Sheet Source'!AH:AH)/1000</f>
        <v>15</v>
      </c>
      <c r="AJ32" s="57">
        <f>SUMIF('Balance Sheet Source'!$A:$A,'2. Balance Sheet'!$AO32,'Balance Sheet Source'!AI:AI)/1000</f>
        <v>15</v>
      </c>
      <c r="AK32" s="57">
        <f>SUMIF('Balance Sheet Source'!$A:$A,'2. Balance Sheet'!$AO32,'Balance Sheet Source'!AJ:AJ)/1000</f>
        <v>15</v>
      </c>
      <c r="AL32" s="57">
        <f>SUMIF('Balance Sheet Source'!$A:$A,'2. Balance Sheet'!$AO32,'Balance Sheet Source'!AK:AK)/1000</f>
        <v>15</v>
      </c>
      <c r="AM32" s="61">
        <f>SUMIF('Balance Sheet Source'!$A:$A,'2. Balance Sheet'!$AO32,'Balance Sheet Source'!AL:AL)/1000</f>
        <v>15</v>
      </c>
      <c r="AO32" s="4" t="s">
        <v>126</v>
      </c>
      <c r="AP32" s="89" t="s">
        <v>192</v>
      </c>
    </row>
    <row r="33" spans="2:42" x14ac:dyDescent="0.2">
      <c r="B33" s="29" t="str">
        <f t="shared" si="6"/>
        <v>Accrued Bonus</v>
      </c>
      <c r="E33" s="61">
        <f>SUMIF('Balance Sheet Source'!$A:$A,'2. Balance Sheet'!$AO33,'Balance Sheet Source'!D:D)/1000</f>
        <v>34.364870000000003</v>
      </c>
      <c r="F33" s="57">
        <f>SUMIF('Balance Sheet Source'!$A:$A,'2. Balance Sheet'!$AO33,'Balance Sheet Source'!E:E)/1000</f>
        <v>34.364870000000003</v>
      </c>
      <c r="G33" s="57">
        <f>SUMIF('Balance Sheet Source'!$A:$A,'2. Balance Sheet'!$AO33,'Balance Sheet Source'!F:F)/1000</f>
        <v>34.364870000000003</v>
      </c>
      <c r="H33" s="57">
        <f>SUMIF('Balance Sheet Source'!$A:$A,'2. Balance Sheet'!$AO33,'Balance Sheet Source'!G:G)/1000</f>
        <v>34.364870000000003</v>
      </c>
      <c r="I33" s="57">
        <f>SUMIF('Balance Sheet Source'!$A:$A,'2. Balance Sheet'!$AO33,'Balance Sheet Source'!H:H)/1000</f>
        <v>34.364870000000003</v>
      </c>
      <c r="J33" s="57">
        <f>SUMIF('Balance Sheet Source'!$A:$A,'2. Balance Sheet'!$AO33,'Balance Sheet Source'!I:I)/1000</f>
        <v>34.364870000000003</v>
      </c>
      <c r="K33" s="57">
        <f>SUMIF('Balance Sheet Source'!$A:$A,'2. Balance Sheet'!$AO33,'Balance Sheet Source'!J:J)/1000</f>
        <v>34.364870000000003</v>
      </c>
      <c r="L33" s="57">
        <f>SUMIF('Balance Sheet Source'!$A:$A,'2. Balance Sheet'!$AO33,'Balance Sheet Source'!K:K)/1000</f>
        <v>34.364870000000003</v>
      </c>
      <c r="M33" s="57">
        <f>SUMIF('Balance Sheet Source'!$A:$A,'2. Balance Sheet'!$AO33,'Balance Sheet Source'!L:L)/1000</f>
        <v>34.364870000000003</v>
      </c>
      <c r="N33" s="57">
        <f>SUMIF('Balance Sheet Source'!$A:$A,'2. Balance Sheet'!$AO33,'Balance Sheet Source'!M:M)/1000</f>
        <v>34.364870000000003</v>
      </c>
      <c r="O33" s="57">
        <f>SUMIF('Balance Sheet Source'!$A:$A,'2. Balance Sheet'!$AO33,'Balance Sheet Source'!N:N)/1000</f>
        <v>34.364870000000003</v>
      </c>
      <c r="P33" s="57">
        <f>SUMIF('Balance Sheet Source'!$A:$A,'2. Balance Sheet'!$AO33,'Balance Sheet Source'!O:O)/1000</f>
        <v>34.364870000000003</v>
      </c>
      <c r="Q33" s="61">
        <f>SUMIF('Balance Sheet Source'!$A:$A,'2. Balance Sheet'!$AO33,'Balance Sheet Source'!P:P)/1000</f>
        <v>68.729740000000007</v>
      </c>
      <c r="R33" s="57">
        <f>SUMIF('Balance Sheet Source'!$A:$A,'2. Balance Sheet'!$AO33,'Balance Sheet Source'!Q:Q)/1000</f>
        <v>34.364870000000003</v>
      </c>
      <c r="S33" s="57">
        <f>SUMIF('Balance Sheet Source'!$A:$A,'2. Balance Sheet'!$AO33,'Balance Sheet Source'!R:R)/1000</f>
        <v>34.364870000000003</v>
      </c>
      <c r="T33" s="57">
        <f>SUMIF('Balance Sheet Source'!$A:$A,'2. Balance Sheet'!$AO33,'Balance Sheet Source'!S:S)/1000</f>
        <v>34.364870000000003</v>
      </c>
      <c r="U33" s="57">
        <f>SUMIF('Balance Sheet Source'!$A:$A,'2. Balance Sheet'!$AO33,'Balance Sheet Source'!T:T)/1000</f>
        <v>34.364870000000003</v>
      </c>
      <c r="V33" s="57">
        <f>SUMIF('Balance Sheet Source'!$A:$A,'2. Balance Sheet'!$AO33,'Balance Sheet Source'!U:U)/1000</f>
        <v>34.364870000000003</v>
      </c>
      <c r="W33" s="57">
        <f>SUMIF('Balance Sheet Source'!$A:$A,'2. Balance Sheet'!$AO33,'Balance Sheet Source'!V:V)/1000</f>
        <v>34.364870000000003</v>
      </c>
      <c r="X33" s="57">
        <f>SUMIF('Balance Sheet Source'!$A:$A,'2. Balance Sheet'!$AO33,'Balance Sheet Source'!W:W)/1000</f>
        <v>34.364870000000003</v>
      </c>
      <c r="Y33" s="57">
        <f>SUMIF('Balance Sheet Source'!$A:$A,'2. Balance Sheet'!$AO33,'Balance Sheet Source'!X:X)/1000</f>
        <v>34.364870000000003</v>
      </c>
      <c r="Z33" s="57">
        <f>SUMIF('Balance Sheet Source'!$A:$A,'2. Balance Sheet'!$AO33,'Balance Sheet Source'!Y:Y)/1000</f>
        <v>34.364870000000003</v>
      </c>
      <c r="AA33" s="57">
        <f>SUMIF('Balance Sheet Source'!$A:$A,'2. Balance Sheet'!$AO33,'Balance Sheet Source'!Z:Z)/1000</f>
        <v>34.364870000000003</v>
      </c>
      <c r="AB33" s="57">
        <f>SUMIF('Balance Sheet Source'!$A:$A,'2. Balance Sheet'!$AO33,'Balance Sheet Source'!AA:AA)/1000</f>
        <v>34.364870000000003</v>
      </c>
      <c r="AC33" s="61">
        <f>SUMIF('Balance Sheet Source'!$A:$A,'2. Balance Sheet'!$AO33,'Balance Sheet Source'!AB:AB)/1000</f>
        <v>70.583929999999995</v>
      </c>
      <c r="AD33" s="57">
        <f>SUMIF('Balance Sheet Source'!$A:$A,'2. Balance Sheet'!$AO33,'Balance Sheet Source'!AC:AC)/1000</f>
        <v>34.364869999999996</v>
      </c>
      <c r="AE33" s="57">
        <f>SUMIF('Balance Sheet Source'!$A:$A,'2. Balance Sheet'!$AO33,'Balance Sheet Source'!AD:AD)/1000</f>
        <v>37.657511818181803</v>
      </c>
      <c r="AF33" s="57">
        <f>SUMIF('Balance Sheet Source'!$A:$A,'2. Balance Sheet'!$AO33,'Balance Sheet Source'!AE:AE)/1000</f>
        <v>40.950153636363609</v>
      </c>
      <c r="AG33" s="57">
        <f>SUMIF('Balance Sheet Source'!$A:$A,'2. Balance Sheet'!$AO33,'Balance Sheet Source'!AF:AF)/1000</f>
        <v>44.242795454545423</v>
      </c>
      <c r="AH33" s="57">
        <f>SUMIF('Balance Sheet Source'!$A:$A,'2. Balance Sheet'!$AO33,'Balance Sheet Source'!AG:AG)/1000</f>
        <v>47.535437272727229</v>
      </c>
      <c r="AI33" s="57">
        <f>SUMIF('Balance Sheet Source'!$A:$A,'2. Balance Sheet'!$AO33,'Balance Sheet Source'!AH:AH)/1000</f>
        <v>50.828079090909036</v>
      </c>
      <c r="AJ33" s="57">
        <f>SUMIF('Balance Sheet Source'!$A:$A,'2. Balance Sheet'!$AO33,'Balance Sheet Source'!AI:AI)/1000</f>
        <v>54.120720909090842</v>
      </c>
      <c r="AK33" s="57">
        <f>SUMIF('Balance Sheet Source'!$A:$A,'2. Balance Sheet'!$AO33,'Balance Sheet Source'!AJ:AJ)/1000</f>
        <v>57.413362727272649</v>
      </c>
      <c r="AL33" s="57">
        <f>SUMIF('Balance Sheet Source'!$A:$A,'2. Balance Sheet'!$AO33,'Balance Sheet Source'!AK:AK)/1000</f>
        <v>60.706004545454462</v>
      </c>
      <c r="AM33" s="61">
        <f>SUMIF('Balance Sheet Source'!$A:$A,'2. Balance Sheet'!$AO33,'Balance Sheet Source'!AL:AL)/1000</f>
        <v>63.998646363636269</v>
      </c>
      <c r="AO33" s="4" t="s">
        <v>127</v>
      </c>
      <c r="AP33" s="89" t="s">
        <v>192</v>
      </c>
    </row>
    <row r="34" spans="2:42" x14ac:dyDescent="0.2">
      <c r="B34" s="29" t="str">
        <f t="shared" si="6"/>
        <v>Accrued Insurance</v>
      </c>
      <c r="E34" s="61">
        <f>SUMIF('Balance Sheet Source'!$A:$A,'2. Balance Sheet'!$AO34,'Balance Sheet Source'!D:D)/1000</f>
        <v>8</v>
      </c>
      <c r="F34" s="57">
        <f>SUMIF('Balance Sheet Source'!$A:$A,'2. Balance Sheet'!$AO34,'Balance Sheet Source'!E:E)/1000</f>
        <v>8</v>
      </c>
      <c r="G34" s="57">
        <f>SUMIF('Balance Sheet Source'!$A:$A,'2. Balance Sheet'!$AO34,'Balance Sheet Source'!F:F)/1000</f>
        <v>8</v>
      </c>
      <c r="H34" s="57">
        <f>SUMIF('Balance Sheet Source'!$A:$A,'2. Balance Sheet'!$AO34,'Balance Sheet Source'!G:G)/1000</f>
        <v>8</v>
      </c>
      <c r="I34" s="57">
        <f>SUMIF('Balance Sheet Source'!$A:$A,'2. Balance Sheet'!$AO34,'Balance Sheet Source'!H:H)/1000</f>
        <v>8</v>
      </c>
      <c r="J34" s="57">
        <f>SUMIF('Balance Sheet Source'!$A:$A,'2. Balance Sheet'!$AO34,'Balance Sheet Source'!I:I)/1000</f>
        <v>8</v>
      </c>
      <c r="K34" s="57">
        <f>SUMIF('Balance Sheet Source'!$A:$A,'2. Balance Sheet'!$AO34,'Balance Sheet Source'!J:J)/1000</f>
        <v>8</v>
      </c>
      <c r="L34" s="57">
        <f>SUMIF('Balance Sheet Source'!$A:$A,'2. Balance Sheet'!$AO34,'Balance Sheet Source'!K:K)/1000</f>
        <v>8</v>
      </c>
      <c r="M34" s="57">
        <f>SUMIF('Balance Sheet Source'!$A:$A,'2. Balance Sheet'!$AO34,'Balance Sheet Source'!L:L)/1000</f>
        <v>8</v>
      </c>
      <c r="N34" s="57">
        <f>SUMIF('Balance Sheet Source'!$A:$A,'2. Balance Sheet'!$AO34,'Balance Sheet Source'!M:M)/1000</f>
        <v>8</v>
      </c>
      <c r="O34" s="57">
        <f>SUMIF('Balance Sheet Source'!$A:$A,'2. Balance Sheet'!$AO34,'Balance Sheet Source'!N:N)/1000</f>
        <v>8</v>
      </c>
      <c r="P34" s="57">
        <f>SUMIF('Balance Sheet Source'!$A:$A,'2. Balance Sheet'!$AO34,'Balance Sheet Source'!O:O)/1000</f>
        <v>8</v>
      </c>
      <c r="Q34" s="61">
        <f>SUMIF('Balance Sheet Source'!$A:$A,'2. Balance Sheet'!$AO34,'Balance Sheet Source'!P:P)/1000</f>
        <v>8</v>
      </c>
      <c r="R34" s="57">
        <f>SUMIF('Balance Sheet Source'!$A:$A,'2. Balance Sheet'!$AO34,'Balance Sheet Source'!Q:Q)/1000</f>
        <v>8</v>
      </c>
      <c r="S34" s="57">
        <f>SUMIF('Balance Sheet Source'!$A:$A,'2. Balance Sheet'!$AO34,'Balance Sheet Source'!R:R)/1000</f>
        <v>8</v>
      </c>
      <c r="T34" s="57">
        <f>SUMIF('Balance Sheet Source'!$A:$A,'2. Balance Sheet'!$AO34,'Balance Sheet Source'!S:S)/1000</f>
        <v>8</v>
      </c>
      <c r="U34" s="57">
        <f>SUMIF('Balance Sheet Source'!$A:$A,'2. Balance Sheet'!$AO34,'Balance Sheet Source'!T:T)/1000</f>
        <v>8</v>
      </c>
      <c r="V34" s="57">
        <f>SUMIF('Balance Sheet Source'!$A:$A,'2. Balance Sheet'!$AO34,'Balance Sheet Source'!U:U)/1000</f>
        <v>8</v>
      </c>
      <c r="W34" s="57">
        <f>SUMIF('Balance Sheet Source'!$A:$A,'2. Balance Sheet'!$AO34,'Balance Sheet Source'!V:V)/1000</f>
        <v>8</v>
      </c>
      <c r="X34" s="57">
        <f>SUMIF('Balance Sheet Source'!$A:$A,'2. Balance Sheet'!$AO34,'Balance Sheet Source'!W:W)/1000</f>
        <v>8</v>
      </c>
      <c r="Y34" s="57">
        <f>SUMIF('Balance Sheet Source'!$A:$A,'2. Balance Sheet'!$AO34,'Balance Sheet Source'!X:X)/1000</f>
        <v>8</v>
      </c>
      <c r="Z34" s="57">
        <f>SUMIF('Balance Sheet Source'!$A:$A,'2. Balance Sheet'!$AO34,'Balance Sheet Source'!Y:Y)/1000</f>
        <v>8</v>
      </c>
      <c r="AA34" s="57">
        <f>SUMIF('Balance Sheet Source'!$A:$A,'2. Balance Sheet'!$AO34,'Balance Sheet Source'!Z:Z)/1000</f>
        <v>8</v>
      </c>
      <c r="AB34" s="57">
        <f>SUMIF('Balance Sheet Source'!$A:$A,'2. Balance Sheet'!$AO34,'Balance Sheet Source'!AA:AA)/1000</f>
        <v>8</v>
      </c>
      <c r="AC34" s="61">
        <f>SUMIF('Balance Sheet Source'!$A:$A,'2. Balance Sheet'!$AO34,'Balance Sheet Source'!AB:AB)/1000</f>
        <v>8</v>
      </c>
      <c r="AD34" s="57">
        <f>SUMIF('Balance Sheet Source'!$A:$A,'2. Balance Sheet'!$AO34,'Balance Sheet Source'!AC:AC)/1000</f>
        <v>8</v>
      </c>
      <c r="AE34" s="57">
        <f>SUMIF('Balance Sheet Source'!$A:$A,'2. Balance Sheet'!$AO34,'Balance Sheet Source'!AD:AD)/1000</f>
        <v>8</v>
      </c>
      <c r="AF34" s="57">
        <f>SUMIF('Balance Sheet Source'!$A:$A,'2. Balance Sheet'!$AO34,'Balance Sheet Source'!AE:AE)/1000</f>
        <v>8</v>
      </c>
      <c r="AG34" s="57">
        <f>SUMIF('Balance Sheet Source'!$A:$A,'2. Balance Sheet'!$AO34,'Balance Sheet Source'!AF:AF)/1000</f>
        <v>8</v>
      </c>
      <c r="AH34" s="57">
        <f>SUMIF('Balance Sheet Source'!$A:$A,'2. Balance Sheet'!$AO34,'Balance Sheet Source'!AG:AG)/1000</f>
        <v>8</v>
      </c>
      <c r="AI34" s="57">
        <f>SUMIF('Balance Sheet Source'!$A:$A,'2. Balance Sheet'!$AO34,'Balance Sheet Source'!AH:AH)/1000</f>
        <v>8</v>
      </c>
      <c r="AJ34" s="57">
        <f>SUMIF('Balance Sheet Source'!$A:$A,'2. Balance Sheet'!$AO34,'Balance Sheet Source'!AI:AI)/1000</f>
        <v>8</v>
      </c>
      <c r="AK34" s="57">
        <f>SUMIF('Balance Sheet Source'!$A:$A,'2. Balance Sheet'!$AO34,'Balance Sheet Source'!AJ:AJ)/1000</f>
        <v>8</v>
      </c>
      <c r="AL34" s="57">
        <f>SUMIF('Balance Sheet Source'!$A:$A,'2. Balance Sheet'!$AO34,'Balance Sheet Source'!AK:AK)/1000</f>
        <v>8</v>
      </c>
      <c r="AM34" s="61">
        <f>SUMIF('Balance Sheet Source'!$A:$A,'2. Balance Sheet'!$AO34,'Balance Sheet Source'!AL:AL)/1000</f>
        <v>8</v>
      </c>
      <c r="AO34" s="89" t="s">
        <v>165</v>
      </c>
      <c r="AP34" s="4" t="s">
        <v>170</v>
      </c>
    </row>
    <row r="35" spans="2:42" x14ac:dyDescent="0.2">
      <c r="B35" s="29" t="str">
        <f t="shared" ref="B35" si="8">+AO35</f>
        <v>Accrued Legal Settlement</v>
      </c>
      <c r="E35" s="61">
        <f>SUMIF('Balance Sheet Source'!$A:$A,'2. Balance Sheet'!$AO35,'Balance Sheet Source'!D:D)/1000</f>
        <v>0</v>
      </c>
      <c r="F35" s="57">
        <f>SUMIF('Balance Sheet Source'!$A:$A,'2. Balance Sheet'!$AO35,'Balance Sheet Source'!E:E)/1000</f>
        <v>0</v>
      </c>
      <c r="G35" s="57">
        <f>SUMIF('Balance Sheet Source'!$A:$A,'2. Balance Sheet'!$AO35,'Balance Sheet Source'!F:F)/1000</f>
        <v>0</v>
      </c>
      <c r="H35" s="57">
        <f>SUMIF('Balance Sheet Source'!$A:$A,'2. Balance Sheet'!$AO35,'Balance Sheet Source'!G:G)/1000</f>
        <v>0</v>
      </c>
      <c r="I35" s="57">
        <f>SUMIF('Balance Sheet Source'!$A:$A,'2. Balance Sheet'!$AO35,'Balance Sheet Source'!H:H)/1000</f>
        <v>0</v>
      </c>
      <c r="J35" s="57">
        <f>SUMIF('Balance Sheet Source'!$A:$A,'2. Balance Sheet'!$AO35,'Balance Sheet Source'!I:I)/1000</f>
        <v>0</v>
      </c>
      <c r="K35" s="57">
        <f>SUMIF('Balance Sheet Source'!$A:$A,'2. Balance Sheet'!$AO35,'Balance Sheet Source'!J:J)/1000</f>
        <v>100</v>
      </c>
      <c r="L35" s="57">
        <f>SUMIF('Balance Sheet Source'!$A:$A,'2. Balance Sheet'!$AO35,'Balance Sheet Source'!K:K)/1000</f>
        <v>100</v>
      </c>
      <c r="M35" s="57">
        <f>SUMIF('Balance Sheet Source'!$A:$A,'2. Balance Sheet'!$AO35,'Balance Sheet Source'!L:L)/1000</f>
        <v>100</v>
      </c>
      <c r="N35" s="57">
        <f>SUMIF('Balance Sheet Source'!$A:$A,'2. Balance Sheet'!$AO35,'Balance Sheet Source'!M:M)/1000</f>
        <v>100</v>
      </c>
      <c r="O35" s="57">
        <f>SUMIF('Balance Sheet Source'!$A:$A,'2. Balance Sheet'!$AO35,'Balance Sheet Source'!N:N)/1000</f>
        <v>100</v>
      </c>
      <c r="P35" s="57">
        <f>SUMIF('Balance Sheet Source'!$A:$A,'2. Balance Sheet'!$AO35,'Balance Sheet Source'!O:O)/1000</f>
        <v>100</v>
      </c>
      <c r="Q35" s="61">
        <f>SUMIF('Balance Sheet Source'!$A:$A,'2. Balance Sheet'!$AO35,'Balance Sheet Source'!P:P)/1000</f>
        <v>100</v>
      </c>
      <c r="R35" s="57">
        <f>SUMIF('Balance Sheet Source'!$A:$A,'2. Balance Sheet'!$AO35,'Balance Sheet Source'!Q:Q)/1000</f>
        <v>100</v>
      </c>
      <c r="S35" s="57">
        <f>SUMIF('Balance Sheet Source'!$A:$A,'2. Balance Sheet'!$AO35,'Balance Sheet Source'!R:R)/1000</f>
        <v>0</v>
      </c>
      <c r="T35" s="57">
        <f>SUMIF('Balance Sheet Source'!$A:$A,'2. Balance Sheet'!$AO35,'Balance Sheet Source'!S:S)/1000</f>
        <v>0</v>
      </c>
      <c r="U35" s="57">
        <f>SUMIF('Balance Sheet Source'!$A:$A,'2. Balance Sheet'!$AO35,'Balance Sheet Source'!T:T)/1000</f>
        <v>0</v>
      </c>
      <c r="V35" s="57">
        <f>SUMIF('Balance Sheet Source'!$A:$A,'2. Balance Sheet'!$AO35,'Balance Sheet Source'!U:U)/1000</f>
        <v>0</v>
      </c>
      <c r="W35" s="57">
        <f>SUMIF('Balance Sheet Source'!$A:$A,'2. Balance Sheet'!$AO35,'Balance Sheet Source'!V:V)/1000</f>
        <v>0</v>
      </c>
      <c r="X35" s="57">
        <f>SUMIF('Balance Sheet Source'!$A:$A,'2. Balance Sheet'!$AO35,'Balance Sheet Source'!W:W)/1000</f>
        <v>0</v>
      </c>
      <c r="Y35" s="57">
        <f>SUMIF('Balance Sheet Source'!$A:$A,'2. Balance Sheet'!$AO35,'Balance Sheet Source'!X:X)/1000</f>
        <v>0</v>
      </c>
      <c r="Z35" s="57">
        <f>SUMIF('Balance Sheet Source'!$A:$A,'2. Balance Sheet'!$AO35,'Balance Sheet Source'!Y:Y)/1000</f>
        <v>0</v>
      </c>
      <c r="AA35" s="57">
        <f>SUMIF('Balance Sheet Source'!$A:$A,'2. Balance Sheet'!$AO35,'Balance Sheet Source'!Z:Z)/1000</f>
        <v>0</v>
      </c>
      <c r="AB35" s="57">
        <f>SUMIF('Balance Sheet Source'!$A:$A,'2. Balance Sheet'!$AO35,'Balance Sheet Source'!AA:AA)/1000</f>
        <v>0</v>
      </c>
      <c r="AC35" s="61">
        <f>SUMIF('Balance Sheet Source'!$A:$A,'2. Balance Sheet'!$AO35,'Balance Sheet Source'!AB:AB)/1000</f>
        <v>0</v>
      </c>
      <c r="AD35" s="57">
        <f>SUMIF('Balance Sheet Source'!$A:$A,'2. Balance Sheet'!$AO35,'Balance Sheet Source'!AC:AC)/1000</f>
        <v>0</v>
      </c>
      <c r="AE35" s="57">
        <f>SUMIF('Balance Sheet Source'!$A:$A,'2. Balance Sheet'!$AO35,'Balance Sheet Source'!AD:AD)/1000</f>
        <v>0</v>
      </c>
      <c r="AF35" s="57">
        <f>SUMIF('Balance Sheet Source'!$A:$A,'2. Balance Sheet'!$AO35,'Balance Sheet Source'!AE:AE)/1000</f>
        <v>0</v>
      </c>
      <c r="AG35" s="57">
        <f>SUMIF('Balance Sheet Source'!$A:$A,'2. Balance Sheet'!$AO35,'Balance Sheet Source'!AF:AF)/1000</f>
        <v>0</v>
      </c>
      <c r="AH35" s="57">
        <f>SUMIF('Balance Sheet Source'!$A:$A,'2. Balance Sheet'!$AO35,'Balance Sheet Source'!AG:AG)/1000</f>
        <v>0</v>
      </c>
      <c r="AI35" s="57">
        <f>SUMIF('Balance Sheet Source'!$A:$A,'2. Balance Sheet'!$AO35,'Balance Sheet Source'!AH:AH)/1000</f>
        <v>0</v>
      </c>
      <c r="AJ35" s="57">
        <f>SUMIF('Balance Sheet Source'!$A:$A,'2. Balance Sheet'!$AO35,'Balance Sheet Source'!AI:AI)/1000</f>
        <v>0</v>
      </c>
      <c r="AK35" s="57">
        <f>SUMIF('Balance Sheet Source'!$A:$A,'2. Balance Sheet'!$AO35,'Balance Sheet Source'!AJ:AJ)/1000</f>
        <v>0</v>
      </c>
      <c r="AL35" s="57">
        <f>SUMIF('Balance Sheet Source'!$A:$A,'2. Balance Sheet'!$AO35,'Balance Sheet Source'!AK:AK)/1000</f>
        <v>0</v>
      </c>
      <c r="AM35" s="61">
        <f>SUMIF('Balance Sheet Source'!$A:$A,'2. Balance Sheet'!$AO35,'Balance Sheet Source'!AL:AL)/1000</f>
        <v>0</v>
      </c>
      <c r="AO35" s="4" t="s">
        <v>168</v>
      </c>
      <c r="AP35" s="4" t="s">
        <v>170</v>
      </c>
    </row>
    <row r="36" spans="2:42" x14ac:dyDescent="0.2">
      <c r="B36" s="29" t="str">
        <f t="shared" si="6"/>
        <v>Accrued Other Expenses</v>
      </c>
      <c r="E36" s="61">
        <f>SUMIF('Balance Sheet Source'!$A:$A,'2. Balance Sheet'!$AO36,'Balance Sheet Source'!D:D)/1000</f>
        <v>5</v>
      </c>
      <c r="F36" s="57">
        <f>SUMIF('Balance Sheet Source'!$A:$A,'2. Balance Sheet'!$AO36,'Balance Sheet Source'!E:E)/1000</f>
        <v>5</v>
      </c>
      <c r="G36" s="57">
        <f>SUMIF('Balance Sheet Source'!$A:$A,'2. Balance Sheet'!$AO36,'Balance Sheet Source'!F:F)/1000</f>
        <v>5</v>
      </c>
      <c r="H36" s="57">
        <f>SUMIF('Balance Sheet Source'!$A:$A,'2. Balance Sheet'!$AO36,'Balance Sheet Source'!G:G)/1000</f>
        <v>5</v>
      </c>
      <c r="I36" s="57">
        <f>SUMIF('Balance Sheet Source'!$A:$A,'2. Balance Sheet'!$AO36,'Balance Sheet Source'!H:H)/1000</f>
        <v>5</v>
      </c>
      <c r="J36" s="57">
        <f>SUMIF('Balance Sheet Source'!$A:$A,'2. Balance Sheet'!$AO36,'Balance Sheet Source'!I:I)/1000</f>
        <v>5</v>
      </c>
      <c r="K36" s="57">
        <f>SUMIF('Balance Sheet Source'!$A:$A,'2. Balance Sheet'!$AO36,'Balance Sheet Source'!J:J)/1000</f>
        <v>5</v>
      </c>
      <c r="L36" s="57">
        <f>SUMIF('Balance Sheet Source'!$A:$A,'2. Balance Sheet'!$AO36,'Balance Sheet Source'!K:K)/1000</f>
        <v>5</v>
      </c>
      <c r="M36" s="57">
        <f>SUMIF('Balance Sheet Source'!$A:$A,'2. Balance Sheet'!$AO36,'Balance Sheet Source'!L:L)/1000</f>
        <v>5</v>
      </c>
      <c r="N36" s="57">
        <f>SUMIF('Balance Sheet Source'!$A:$A,'2. Balance Sheet'!$AO36,'Balance Sheet Source'!M:M)/1000</f>
        <v>5</v>
      </c>
      <c r="O36" s="57">
        <f>SUMIF('Balance Sheet Source'!$A:$A,'2. Balance Sheet'!$AO36,'Balance Sheet Source'!N:N)/1000</f>
        <v>5</v>
      </c>
      <c r="P36" s="57">
        <f>SUMIF('Balance Sheet Source'!$A:$A,'2. Balance Sheet'!$AO36,'Balance Sheet Source'!O:O)/1000</f>
        <v>5</v>
      </c>
      <c r="Q36" s="61">
        <f>SUMIF('Balance Sheet Source'!$A:$A,'2. Balance Sheet'!$AO36,'Balance Sheet Source'!P:P)/1000</f>
        <v>5</v>
      </c>
      <c r="R36" s="57">
        <f>SUMIF('Balance Sheet Source'!$A:$A,'2. Balance Sheet'!$AO36,'Balance Sheet Source'!Q:Q)/1000</f>
        <v>5</v>
      </c>
      <c r="S36" s="57">
        <f>SUMIF('Balance Sheet Source'!$A:$A,'2. Balance Sheet'!$AO36,'Balance Sheet Source'!R:R)/1000</f>
        <v>5</v>
      </c>
      <c r="T36" s="57">
        <f>SUMIF('Balance Sheet Source'!$A:$A,'2. Balance Sheet'!$AO36,'Balance Sheet Source'!S:S)/1000</f>
        <v>5</v>
      </c>
      <c r="U36" s="57">
        <f>SUMIF('Balance Sheet Source'!$A:$A,'2. Balance Sheet'!$AO36,'Balance Sheet Source'!T:T)/1000</f>
        <v>5</v>
      </c>
      <c r="V36" s="57">
        <f>SUMIF('Balance Sheet Source'!$A:$A,'2. Balance Sheet'!$AO36,'Balance Sheet Source'!U:U)/1000</f>
        <v>5</v>
      </c>
      <c r="W36" s="57">
        <f>SUMIF('Balance Sheet Source'!$A:$A,'2. Balance Sheet'!$AO36,'Balance Sheet Source'!V:V)/1000</f>
        <v>5</v>
      </c>
      <c r="X36" s="57">
        <f>SUMIF('Balance Sheet Source'!$A:$A,'2. Balance Sheet'!$AO36,'Balance Sheet Source'!W:W)/1000</f>
        <v>5</v>
      </c>
      <c r="Y36" s="57">
        <f>SUMIF('Balance Sheet Source'!$A:$A,'2. Balance Sheet'!$AO36,'Balance Sheet Source'!X:X)/1000</f>
        <v>5</v>
      </c>
      <c r="Z36" s="57">
        <f>SUMIF('Balance Sheet Source'!$A:$A,'2. Balance Sheet'!$AO36,'Balance Sheet Source'!Y:Y)/1000</f>
        <v>5</v>
      </c>
      <c r="AA36" s="57">
        <f>SUMIF('Balance Sheet Source'!$A:$A,'2. Balance Sheet'!$AO36,'Balance Sheet Source'!Z:Z)/1000</f>
        <v>5</v>
      </c>
      <c r="AB36" s="57">
        <f>SUMIF('Balance Sheet Source'!$A:$A,'2. Balance Sheet'!$AO36,'Balance Sheet Source'!AA:AA)/1000</f>
        <v>5</v>
      </c>
      <c r="AC36" s="61">
        <f>SUMIF('Balance Sheet Source'!$A:$A,'2. Balance Sheet'!$AO36,'Balance Sheet Source'!AB:AB)/1000</f>
        <v>5</v>
      </c>
      <c r="AD36" s="57">
        <f>SUMIF('Balance Sheet Source'!$A:$A,'2. Balance Sheet'!$AO36,'Balance Sheet Source'!AC:AC)/1000</f>
        <v>5</v>
      </c>
      <c r="AE36" s="57">
        <f>SUMIF('Balance Sheet Source'!$A:$A,'2. Balance Sheet'!$AO36,'Balance Sheet Source'!AD:AD)/1000</f>
        <v>5</v>
      </c>
      <c r="AF36" s="57">
        <f>SUMIF('Balance Sheet Source'!$A:$A,'2. Balance Sheet'!$AO36,'Balance Sheet Source'!AE:AE)/1000</f>
        <v>5</v>
      </c>
      <c r="AG36" s="57">
        <f>SUMIF('Balance Sheet Source'!$A:$A,'2. Balance Sheet'!$AO36,'Balance Sheet Source'!AF:AF)/1000</f>
        <v>5</v>
      </c>
      <c r="AH36" s="57">
        <f>SUMIF('Balance Sheet Source'!$A:$A,'2. Balance Sheet'!$AO36,'Balance Sheet Source'!AG:AG)/1000</f>
        <v>5</v>
      </c>
      <c r="AI36" s="57">
        <f>SUMIF('Balance Sheet Source'!$A:$A,'2. Balance Sheet'!$AO36,'Balance Sheet Source'!AH:AH)/1000</f>
        <v>5</v>
      </c>
      <c r="AJ36" s="57">
        <f>SUMIF('Balance Sheet Source'!$A:$A,'2. Balance Sheet'!$AO36,'Balance Sheet Source'!AI:AI)/1000</f>
        <v>5</v>
      </c>
      <c r="AK36" s="57">
        <f>SUMIF('Balance Sheet Source'!$A:$A,'2. Balance Sheet'!$AO36,'Balance Sheet Source'!AJ:AJ)/1000</f>
        <v>5</v>
      </c>
      <c r="AL36" s="57">
        <f>SUMIF('Balance Sheet Source'!$A:$A,'2. Balance Sheet'!$AO36,'Balance Sheet Source'!AK:AK)/1000</f>
        <v>5</v>
      </c>
      <c r="AM36" s="61">
        <f>SUMIF('Balance Sheet Source'!$A:$A,'2. Balance Sheet'!$AO36,'Balance Sheet Source'!AL:AL)/1000</f>
        <v>5</v>
      </c>
      <c r="AO36" s="4" t="s">
        <v>170</v>
      </c>
      <c r="AP36" s="4" t="s">
        <v>170</v>
      </c>
    </row>
    <row r="37" spans="2:42" x14ac:dyDescent="0.2">
      <c r="B37" s="29" t="str">
        <f t="shared" si="6"/>
        <v>Contract Liability (Overbillings)</v>
      </c>
      <c r="E37" s="61">
        <f>SUMIF('Balance Sheet Source'!$A:$A,'2. Balance Sheet'!$AO37,'Balance Sheet Source'!D:D)/1000</f>
        <v>0</v>
      </c>
      <c r="F37" s="57">
        <f>SUMIF('Balance Sheet Source'!$A:$A,'2. Balance Sheet'!$AO37,'Balance Sheet Source'!E:E)/1000</f>
        <v>25</v>
      </c>
      <c r="G37" s="57">
        <f>SUMIF('Balance Sheet Source'!$A:$A,'2. Balance Sheet'!$AO37,'Balance Sheet Source'!F:F)/1000</f>
        <v>25</v>
      </c>
      <c r="H37" s="57">
        <f>SUMIF('Balance Sheet Source'!$A:$A,'2. Balance Sheet'!$AO37,'Balance Sheet Source'!G:G)/1000</f>
        <v>25</v>
      </c>
      <c r="I37" s="57">
        <f>SUMIF('Balance Sheet Source'!$A:$A,'2. Balance Sheet'!$AO37,'Balance Sheet Source'!H:H)/1000</f>
        <v>25</v>
      </c>
      <c r="J37" s="57">
        <f>SUMIF('Balance Sheet Source'!$A:$A,'2. Balance Sheet'!$AO37,'Balance Sheet Source'!I:I)/1000</f>
        <v>25</v>
      </c>
      <c r="K37" s="57">
        <f>SUMIF('Balance Sheet Source'!$A:$A,'2. Balance Sheet'!$AO37,'Balance Sheet Source'!J:J)/1000</f>
        <v>25</v>
      </c>
      <c r="L37" s="57">
        <f>SUMIF('Balance Sheet Source'!$A:$A,'2. Balance Sheet'!$AO37,'Balance Sheet Source'!K:K)/1000</f>
        <v>25</v>
      </c>
      <c r="M37" s="57">
        <f>SUMIF('Balance Sheet Source'!$A:$A,'2. Balance Sheet'!$AO37,'Balance Sheet Source'!L:L)/1000</f>
        <v>25</v>
      </c>
      <c r="N37" s="57">
        <f>SUMIF('Balance Sheet Source'!$A:$A,'2. Balance Sheet'!$AO37,'Balance Sheet Source'!M:M)/1000</f>
        <v>25</v>
      </c>
      <c r="O37" s="57">
        <f>SUMIF('Balance Sheet Source'!$A:$A,'2. Balance Sheet'!$AO37,'Balance Sheet Source'!N:N)/1000</f>
        <v>25</v>
      </c>
      <c r="P37" s="57">
        <f>SUMIF('Balance Sheet Source'!$A:$A,'2. Balance Sheet'!$AO37,'Balance Sheet Source'!O:O)/1000</f>
        <v>25</v>
      </c>
      <c r="Q37" s="61">
        <f>SUMIF('Balance Sheet Source'!$A:$A,'2. Balance Sheet'!$AO37,'Balance Sheet Source'!P:P)/1000</f>
        <v>25</v>
      </c>
      <c r="R37" s="57">
        <f>SUMIF('Balance Sheet Source'!$A:$A,'2. Balance Sheet'!$AO37,'Balance Sheet Source'!Q:Q)/1000</f>
        <v>73.523449999999997</v>
      </c>
      <c r="S37" s="57">
        <f>SUMIF('Balance Sheet Source'!$A:$A,'2. Balance Sheet'!$AO37,'Balance Sheet Source'!R:R)/1000</f>
        <v>73.523449999999997</v>
      </c>
      <c r="T37" s="57">
        <f>SUMIF('Balance Sheet Source'!$A:$A,'2. Balance Sheet'!$AO37,'Balance Sheet Source'!S:S)/1000</f>
        <v>73.523449999999997</v>
      </c>
      <c r="U37" s="57">
        <f>SUMIF('Balance Sheet Source'!$A:$A,'2. Balance Sheet'!$AO37,'Balance Sheet Source'!T:T)/1000</f>
        <v>73.523449999999997</v>
      </c>
      <c r="V37" s="57">
        <f>SUMIF('Balance Sheet Source'!$A:$A,'2. Balance Sheet'!$AO37,'Balance Sheet Source'!U:U)/1000</f>
        <v>73.523449999999997</v>
      </c>
      <c r="W37" s="57">
        <f>SUMIF('Balance Sheet Source'!$A:$A,'2. Balance Sheet'!$AO37,'Balance Sheet Source'!V:V)/1000</f>
        <v>73.523449999999997</v>
      </c>
      <c r="X37" s="57">
        <f>SUMIF('Balance Sheet Source'!$A:$A,'2. Balance Sheet'!$AO37,'Balance Sheet Source'!W:W)/1000</f>
        <v>73.523449999999997</v>
      </c>
      <c r="Y37" s="57">
        <f>SUMIF('Balance Sheet Source'!$A:$A,'2. Balance Sheet'!$AO37,'Balance Sheet Source'!X:X)/1000</f>
        <v>73.523449999999997</v>
      </c>
      <c r="Z37" s="57">
        <f>SUMIF('Balance Sheet Source'!$A:$A,'2. Balance Sheet'!$AO37,'Balance Sheet Source'!Y:Y)/1000</f>
        <v>73.523449999999997</v>
      </c>
      <c r="AA37" s="57">
        <f>SUMIF('Balance Sheet Source'!$A:$A,'2. Balance Sheet'!$AO37,'Balance Sheet Source'!Z:Z)/1000</f>
        <v>73.523449999999997</v>
      </c>
      <c r="AB37" s="57">
        <f>SUMIF('Balance Sheet Source'!$A:$A,'2. Balance Sheet'!$AO37,'Balance Sheet Source'!AA:AA)/1000</f>
        <v>73.523449999999997</v>
      </c>
      <c r="AC37" s="61">
        <f>SUMIF('Balance Sheet Source'!$A:$A,'2. Balance Sheet'!$AO37,'Balance Sheet Source'!AB:AB)/1000</f>
        <v>73.523449999999997</v>
      </c>
      <c r="AD37" s="57">
        <f>SUMIF('Balance Sheet Source'!$A:$A,'2. Balance Sheet'!$AO37,'Balance Sheet Source'!AC:AC)/1000</f>
        <v>126.41467999999999</v>
      </c>
      <c r="AE37" s="57">
        <f>SUMIF('Balance Sheet Source'!$A:$A,'2. Balance Sheet'!$AO37,'Balance Sheet Source'!AD:AD)/1000</f>
        <v>126.41467999999999</v>
      </c>
      <c r="AF37" s="57">
        <f>SUMIF('Balance Sheet Source'!$A:$A,'2. Balance Sheet'!$AO37,'Balance Sheet Source'!AE:AE)/1000</f>
        <v>126.41467999999999</v>
      </c>
      <c r="AG37" s="57">
        <f>SUMIF('Balance Sheet Source'!$A:$A,'2. Balance Sheet'!$AO37,'Balance Sheet Source'!AF:AF)/1000</f>
        <v>126.41467999999999</v>
      </c>
      <c r="AH37" s="57">
        <f>SUMIF('Balance Sheet Source'!$A:$A,'2. Balance Sheet'!$AO37,'Balance Sheet Source'!AG:AG)/1000</f>
        <v>126.41467999999999</v>
      </c>
      <c r="AI37" s="57">
        <f>SUMIF('Balance Sheet Source'!$A:$A,'2. Balance Sheet'!$AO37,'Balance Sheet Source'!AH:AH)/1000</f>
        <v>126.41467999999999</v>
      </c>
      <c r="AJ37" s="57">
        <f>SUMIF('Balance Sheet Source'!$A:$A,'2. Balance Sheet'!$AO37,'Balance Sheet Source'!AI:AI)/1000</f>
        <v>126.41467999999999</v>
      </c>
      <c r="AK37" s="57">
        <f>SUMIF('Balance Sheet Source'!$A:$A,'2. Balance Sheet'!$AO37,'Balance Sheet Source'!AJ:AJ)/1000</f>
        <v>126.41467999999999</v>
      </c>
      <c r="AL37" s="57">
        <f>SUMIF('Balance Sheet Source'!$A:$A,'2. Balance Sheet'!$AO37,'Balance Sheet Source'!AK:AK)/1000</f>
        <v>126.41467999999999</v>
      </c>
      <c r="AM37" s="61">
        <f>SUMIF('Balance Sheet Source'!$A:$A,'2. Balance Sheet'!$AO37,'Balance Sheet Source'!AL:AL)/1000</f>
        <v>126.41467999999999</v>
      </c>
      <c r="AO37" s="4" t="s">
        <v>159</v>
      </c>
      <c r="AP37" s="89" t="s">
        <v>193</v>
      </c>
    </row>
    <row r="38" spans="2:42" x14ac:dyDescent="0.2">
      <c r="B38" s="66" t="str">
        <f t="shared" si="6"/>
        <v>Line of Credit</v>
      </c>
      <c r="C38" s="11"/>
      <c r="D38" s="11"/>
      <c r="E38" s="62">
        <f>SUMIF('Balance Sheet Source'!$A:$A,'2. Balance Sheet'!$AO38,'Balance Sheet Source'!D:D)/1000</f>
        <v>200</v>
      </c>
      <c r="F38" s="58">
        <f>SUMIF('Balance Sheet Source'!$A:$A,'2. Balance Sheet'!$AO38,'Balance Sheet Source'!E:E)/1000</f>
        <v>200</v>
      </c>
      <c r="G38" s="58">
        <f>SUMIF('Balance Sheet Source'!$A:$A,'2. Balance Sheet'!$AO38,'Balance Sheet Source'!F:F)/1000</f>
        <v>200</v>
      </c>
      <c r="H38" s="58">
        <f>SUMIF('Balance Sheet Source'!$A:$A,'2. Balance Sheet'!$AO38,'Balance Sheet Source'!G:G)/1000</f>
        <v>250</v>
      </c>
      <c r="I38" s="58">
        <f>SUMIF('Balance Sheet Source'!$A:$A,'2. Balance Sheet'!$AO38,'Balance Sheet Source'!H:H)/1000</f>
        <v>250</v>
      </c>
      <c r="J38" s="58">
        <f>SUMIF('Balance Sheet Source'!$A:$A,'2. Balance Sheet'!$AO38,'Balance Sheet Source'!I:I)/1000</f>
        <v>250</v>
      </c>
      <c r="K38" s="58">
        <f>SUMIF('Balance Sheet Source'!$A:$A,'2. Balance Sheet'!$AO38,'Balance Sheet Source'!J:J)/1000</f>
        <v>220</v>
      </c>
      <c r="L38" s="58">
        <f>SUMIF('Balance Sheet Source'!$A:$A,'2. Balance Sheet'!$AO38,'Balance Sheet Source'!K:K)/1000</f>
        <v>220</v>
      </c>
      <c r="M38" s="58">
        <f>SUMIF('Balance Sheet Source'!$A:$A,'2. Balance Sheet'!$AO38,'Balance Sheet Source'!L:L)/1000</f>
        <v>220</v>
      </c>
      <c r="N38" s="58">
        <f>SUMIF('Balance Sheet Source'!$A:$A,'2. Balance Sheet'!$AO38,'Balance Sheet Source'!M:M)/1000</f>
        <v>260</v>
      </c>
      <c r="O38" s="58">
        <f>SUMIF('Balance Sheet Source'!$A:$A,'2. Balance Sheet'!$AO38,'Balance Sheet Source'!N:N)/1000</f>
        <v>260</v>
      </c>
      <c r="P38" s="58">
        <f>SUMIF('Balance Sheet Source'!$A:$A,'2. Balance Sheet'!$AO38,'Balance Sheet Source'!O:O)/1000</f>
        <v>260</v>
      </c>
      <c r="Q38" s="62">
        <f>SUMIF('Balance Sheet Source'!$A:$A,'2. Balance Sheet'!$AO38,'Balance Sheet Source'!P:P)/1000</f>
        <v>260</v>
      </c>
      <c r="R38" s="58">
        <f>SUMIF('Balance Sheet Source'!$A:$A,'2. Balance Sheet'!$AO38,'Balance Sheet Source'!Q:Q)/1000</f>
        <v>235</v>
      </c>
      <c r="S38" s="58">
        <f>SUMIF('Balance Sheet Source'!$A:$A,'2. Balance Sheet'!$AO38,'Balance Sheet Source'!R:R)/1000</f>
        <v>235</v>
      </c>
      <c r="T38" s="58">
        <f>SUMIF('Balance Sheet Source'!$A:$A,'2. Balance Sheet'!$AO38,'Balance Sheet Source'!S:S)/1000</f>
        <v>235</v>
      </c>
      <c r="U38" s="58">
        <f>SUMIF('Balance Sheet Source'!$A:$A,'2. Balance Sheet'!$AO38,'Balance Sheet Source'!T:T)/1000</f>
        <v>200</v>
      </c>
      <c r="V38" s="58">
        <f>SUMIF('Balance Sheet Source'!$A:$A,'2. Balance Sheet'!$AO38,'Balance Sheet Source'!U:U)/1000</f>
        <v>200</v>
      </c>
      <c r="W38" s="58">
        <f>SUMIF('Balance Sheet Source'!$A:$A,'2. Balance Sheet'!$AO38,'Balance Sheet Source'!V:V)/1000</f>
        <v>200</v>
      </c>
      <c r="X38" s="58">
        <f>SUMIF('Balance Sheet Source'!$A:$A,'2. Balance Sheet'!$AO38,'Balance Sheet Source'!W:W)/1000</f>
        <v>260</v>
      </c>
      <c r="Y38" s="58">
        <f>SUMIF('Balance Sheet Source'!$A:$A,'2. Balance Sheet'!$AO38,'Balance Sheet Source'!X:X)/1000</f>
        <v>260</v>
      </c>
      <c r="Z38" s="58">
        <f>SUMIF('Balance Sheet Source'!$A:$A,'2. Balance Sheet'!$AO38,'Balance Sheet Source'!Y:Y)/1000</f>
        <v>260</v>
      </c>
      <c r="AA38" s="58">
        <f>SUMIF('Balance Sheet Source'!$A:$A,'2. Balance Sheet'!$AO38,'Balance Sheet Source'!Z:Z)/1000</f>
        <v>220</v>
      </c>
      <c r="AB38" s="58">
        <f>SUMIF('Balance Sheet Source'!$A:$A,'2. Balance Sheet'!$AO38,'Balance Sheet Source'!AA:AA)/1000</f>
        <v>220</v>
      </c>
      <c r="AC38" s="62">
        <f>SUMIF('Balance Sheet Source'!$A:$A,'2. Balance Sheet'!$AO38,'Balance Sheet Source'!AB:AB)/1000</f>
        <v>220</v>
      </c>
      <c r="AD38" s="58">
        <f>SUMIF('Balance Sheet Source'!$A:$A,'2. Balance Sheet'!$AO38,'Balance Sheet Source'!AC:AC)/1000</f>
        <v>220</v>
      </c>
      <c r="AE38" s="58">
        <f>SUMIF('Balance Sheet Source'!$A:$A,'2. Balance Sheet'!$AO38,'Balance Sheet Source'!AD:AD)/1000</f>
        <v>170</v>
      </c>
      <c r="AF38" s="58">
        <f>SUMIF('Balance Sheet Source'!$A:$A,'2. Balance Sheet'!$AO38,'Balance Sheet Source'!AE:AE)/1000</f>
        <v>170</v>
      </c>
      <c r="AG38" s="58">
        <f>SUMIF('Balance Sheet Source'!$A:$A,'2. Balance Sheet'!$AO38,'Balance Sheet Source'!AF:AF)/1000</f>
        <v>170</v>
      </c>
      <c r="AH38" s="58">
        <f>SUMIF('Balance Sheet Source'!$A:$A,'2. Balance Sheet'!$AO38,'Balance Sheet Source'!AG:AG)/1000</f>
        <v>200</v>
      </c>
      <c r="AI38" s="58">
        <f>SUMIF('Balance Sheet Source'!$A:$A,'2. Balance Sheet'!$AO38,'Balance Sheet Source'!AH:AH)/1000</f>
        <v>200</v>
      </c>
      <c r="AJ38" s="58">
        <f>SUMIF('Balance Sheet Source'!$A:$A,'2. Balance Sheet'!$AO38,'Balance Sheet Source'!AI:AI)/1000</f>
        <v>200</v>
      </c>
      <c r="AK38" s="58">
        <f>SUMIF('Balance Sheet Source'!$A:$A,'2. Balance Sheet'!$AO38,'Balance Sheet Source'!AJ:AJ)/1000</f>
        <v>200</v>
      </c>
      <c r="AL38" s="58">
        <f>SUMIF('Balance Sheet Source'!$A:$A,'2. Balance Sheet'!$AO38,'Balance Sheet Source'!AK:AK)/1000</f>
        <v>200</v>
      </c>
      <c r="AM38" s="62">
        <f>SUMIF('Balance Sheet Source'!$A:$A,'2. Balance Sheet'!$AO38,'Balance Sheet Source'!AL:AL)/1000</f>
        <v>200</v>
      </c>
      <c r="AO38" s="4" t="s">
        <v>128</v>
      </c>
      <c r="AP38" s="89" t="s">
        <v>207</v>
      </c>
    </row>
    <row r="39" spans="2:42" x14ac:dyDescent="0.2">
      <c r="B39" s="67" t="str">
        <f>+B29</f>
        <v>Current Liabilities</v>
      </c>
      <c r="C39" s="59"/>
      <c r="D39" s="59"/>
      <c r="E39" s="63">
        <f>SUM(E30:E38)</f>
        <v>464.42678999999998</v>
      </c>
      <c r="F39" s="60">
        <f>SUM(F30:F38)</f>
        <v>620.74785999999995</v>
      </c>
      <c r="G39" s="60">
        <f>SUM(G30:G38)</f>
        <v>660.89165000000003</v>
      </c>
      <c r="H39" s="60">
        <f>SUM(H30:H38)</f>
        <v>646.65078999999992</v>
      </c>
      <c r="I39" s="60">
        <f>SUM(I30:I38)</f>
        <v>671.71412999999984</v>
      </c>
      <c r="J39" s="60">
        <f>SUM(J30:J38)</f>
        <v>670.75155999999993</v>
      </c>
      <c r="K39" s="60">
        <f>SUM(K30:K38)</f>
        <v>851.3688699999999</v>
      </c>
      <c r="L39" s="60">
        <f>SUM(L30:L38)</f>
        <v>699.07882999999993</v>
      </c>
      <c r="M39" s="60">
        <f>SUM(M30:M38)</f>
        <v>748.68417999999997</v>
      </c>
      <c r="N39" s="60">
        <f>SUM(N30:N38)</f>
        <v>897.35897</v>
      </c>
      <c r="O39" s="60">
        <f>SUM(O30:O38)</f>
        <v>729.50252</v>
      </c>
      <c r="P39" s="60">
        <f>SUM(P30:P38)</f>
        <v>753.6713299999999</v>
      </c>
      <c r="Q39" s="63">
        <f>SUM(Q30:Q38)</f>
        <v>858.46922999999992</v>
      </c>
      <c r="R39" s="60">
        <f>SUM(R30:R38)</f>
        <v>820.51369</v>
      </c>
      <c r="S39" s="60">
        <f>SUM(S30:S38)</f>
        <v>744.52334000000008</v>
      </c>
      <c r="T39" s="60">
        <f>SUM(T30:T38)</f>
        <v>840.40676000000008</v>
      </c>
      <c r="U39" s="60">
        <f>SUM(U30:U38)</f>
        <v>679.12993999999992</v>
      </c>
      <c r="V39" s="60">
        <f>SUM(V30:V38)</f>
        <v>785.29224999999985</v>
      </c>
      <c r="W39" s="60">
        <f>SUM(W30:W38)</f>
        <v>819.53685999999993</v>
      </c>
      <c r="X39" s="60">
        <f>SUM(X30:X38)</f>
        <v>916.79615999999987</v>
      </c>
      <c r="Y39" s="60">
        <f>SUM(Y30:Y38)</f>
        <v>735.15755999999988</v>
      </c>
      <c r="Z39" s="60">
        <f>SUM(Z30:Z38)</f>
        <v>878.61935999999969</v>
      </c>
      <c r="AA39" s="60">
        <f>SUM(AA30:AA38)</f>
        <v>752.33560999999963</v>
      </c>
      <c r="AB39" s="60">
        <f>SUM(AB30:AB38)</f>
        <v>794.09623999999974</v>
      </c>
      <c r="AC39" s="63">
        <f>SUM(AC30:AC38)</f>
        <v>724.62469999999973</v>
      </c>
      <c r="AD39" s="60">
        <f>SUM(AD30:AD38)</f>
        <v>734.99650999999972</v>
      </c>
      <c r="AE39" s="60">
        <f>SUM(AE30:AE38)</f>
        <v>731.80717181818147</v>
      </c>
      <c r="AF39" s="60">
        <f>SUM(AF30:AF38)</f>
        <v>761.37071363636335</v>
      </c>
      <c r="AG39" s="60">
        <f>SUM(AG30:AG38)</f>
        <v>810.68142545454532</v>
      </c>
      <c r="AH39" s="60">
        <f>SUM(AH30:AH38)</f>
        <v>712.08131727272712</v>
      </c>
      <c r="AI39" s="60">
        <f>SUM(AI30:AI38)</f>
        <v>797.63134909090888</v>
      </c>
      <c r="AJ39" s="60">
        <f>SUM(AJ30:AJ38)</f>
        <v>780.70628090909065</v>
      </c>
      <c r="AK39" s="60">
        <f>SUM(AK30:AK38)</f>
        <v>841.24426272727248</v>
      </c>
      <c r="AL39" s="60">
        <f>SUM(AL30:AL38)</f>
        <v>752.90062454545432</v>
      </c>
      <c r="AM39" s="63">
        <f>SUM(AM30:AM38)</f>
        <v>763.22683636363615</v>
      </c>
    </row>
    <row r="40" spans="2:42" ht="12" customHeight="1" x14ac:dyDescent="0.2">
      <c r="B40" s="25"/>
      <c r="E40" s="16"/>
      <c r="Q40" s="16"/>
      <c r="AC40" s="16"/>
      <c r="AM40" s="16"/>
    </row>
    <row r="41" spans="2:42" outlineLevel="1" x14ac:dyDescent="0.2">
      <c r="B41" s="26" t="s">
        <v>108</v>
      </c>
      <c r="E41" s="16"/>
      <c r="Q41" s="16"/>
      <c r="AC41" s="16"/>
      <c r="AM41" s="16"/>
    </row>
    <row r="42" spans="2:42" outlineLevel="1" x14ac:dyDescent="0.2">
      <c r="B42" s="29" t="str">
        <f t="shared" ref="B42:B43" si="9">+AO42</f>
        <v>Vehicle Loans</v>
      </c>
      <c r="E42" s="61">
        <f>SUMIF('Balance Sheet Source'!$A:$A,'2. Balance Sheet'!$AO42,'Balance Sheet Source'!D:D)/1000</f>
        <v>150</v>
      </c>
      <c r="F42" s="57">
        <f>SUMIF('Balance Sheet Source'!$A:$A,'2. Balance Sheet'!$AO42,'Balance Sheet Source'!E:E)/1000</f>
        <v>145.5</v>
      </c>
      <c r="G42" s="57">
        <f>SUMIF('Balance Sheet Source'!$A:$A,'2. Balance Sheet'!$AO42,'Balance Sheet Source'!F:F)/1000</f>
        <v>141</v>
      </c>
      <c r="H42" s="57">
        <f>SUMIF('Balance Sheet Source'!$A:$A,'2. Balance Sheet'!$AO42,'Balance Sheet Source'!G:G)/1000</f>
        <v>136.5</v>
      </c>
      <c r="I42" s="57">
        <f>SUMIF('Balance Sheet Source'!$A:$A,'2. Balance Sheet'!$AO42,'Balance Sheet Source'!H:H)/1000</f>
        <v>132</v>
      </c>
      <c r="J42" s="57">
        <f>SUMIF('Balance Sheet Source'!$A:$A,'2. Balance Sheet'!$AO42,'Balance Sheet Source'!I:I)/1000</f>
        <v>127.5</v>
      </c>
      <c r="K42" s="57">
        <f>SUMIF('Balance Sheet Source'!$A:$A,'2. Balance Sheet'!$AO42,'Balance Sheet Source'!J:J)/1000</f>
        <v>123</v>
      </c>
      <c r="L42" s="57">
        <f>SUMIF('Balance Sheet Source'!$A:$A,'2. Balance Sheet'!$AO42,'Balance Sheet Source'!K:K)/1000</f>
        <v>118.5</v>
      </c>
      <c r="M42" s="57">
        <f>SUMIF('Balance Sheet Source'!$A:$A,'2. Balance Sheet'!$AO42,'Balance Sheet Source'!L:L)/1000</f>
        <v>114</v>
      </c>
      <c r="N42" s="57">
        <f>SUMIF('Balance Sheet Source'!$A:$A,'2. Balance Sheet'!$AO42,'Balance Sheet Source'!M:M)/1000</f>
        <v>109.5</v>
      </c>
      <c r="O42" s="57">
        <f>SUMIF('Balance Sheet Source'!$A:$A,'2. Balance Sheet'!$AO42,'Balance Sheet Source'!N:N)/1000</f>
        <v>105</v>
      </c>
      <c r="P42" s="57">
        <f>SUMIF('Balance Sheet Source'!$A:$A,'2. Balance Sheet'!$AO42,'Balance Sheet Source'!O:O)/1000</f>
        <v>100.5</v>
      </c>
      <c r="Q42" s="61">
        <f>SUMIF('Balance Sheet Source'!$A:$A,'2. Balance Sheet'!$AO42,'Balance Sheet Source'!P:P)/1000</f>
        <v>96</v>
      </c>
      <c r="R42" s="57">
        <f>SUMIF('Balance Sheet Source'!$A:$A,'2. Balance Sheet'!$AO42,'Balance Sheet Source'!Q:Q)/1000</f>
        <v>91.5</v>
      </c>
      <c r="S42" s="57">
        <f>SUMIF('Balance Sheet Source'!$A:$A,'2. Balance Sheet'!$AO42,'Balance Sheet Source'!R:R)/1000</f>
        <v>87</v>
      </c>
      <c r="T42" s="57">
        <f>SUMIF('Balance Sheet Source'!$A:$A,'2. Balance Sheet'!$AO42,'Balance Sheet Source'!S:S)/1000</f>
        <v>82.5</v>
      </c>
      <c r="U42" s="57">
        <f>SUMIF('Balance Sheet Source'!$A:$A,'2. Balance Sheet'!$AO42,'Balance Sheet Source'!T:T)/1000</f>
        <v>78</v>
      </c>
      <c r="V42" s="57">
        <f>SUMIF('Balance Sheet Source'!$A:$A,'2. Balance Sheet'!$AO42,'Balance Sheet Source'!U:U)/1000</f>
        <v>73.5</v>
      </c>
      <c r="W42" s="57">
        <f>SUMIF('Balance Sheet Source'!$A:$A,'2. Balance Sheet'!$AO42,'Balance Sheet Source'!V:V)/1000</f>
        <v>69</v>
      </c>
      <c r="X42" s="57">
        <f>SUMIF('Balance Sheet Source'!$A:$A,'2. Balance Sheet'!$AO42,'Balance Sheet Source'!W:W)/1000</f>
        <v>64.5</v>
      </c>
      <c r="Y42" s="57">
        <f>SUMIF('Balance Sheet Source'!$A:$A,'2. Balance Sheet'!$AO42,'Balance Sheet Source'!X:X)/1000</f>
        <v>60</v>
      </c>
      <c r="Z42" s="57">
        <f>SUMIF('Balance Sheet Source'!$A:$A,'2. Balance Sheet'!$AO42,'Balance Sheet Source'!Y:Y)/1000</f>
        <v>55.5</v>
      </c>
      <c r="AA42" s="57">
        <f>SUMIF('Balance Sheet Source'!$A:$A,'2. Balance Sheet'!$AO42,'Balance Sheet Source'!Z:Z)/1000</f>
        <v>51</v>
      </c>
      <c r="AB42" s="57">
        <f>SUMIF('Balance Sheet Source'!$A:$A,'2. Balance Sheet'!$AO42,'Balance Sheet Source'!AA:AA)/1000</f>
        <v>46.5</v>
      </c>
      <c r="AC42" s="61">
        <f>SUMIF('Balance Sheet Source'!$A:$A,'2. Balance Sheet'!$AO42,'Balance Sheet Source'!AB:AB)/1000</f>
        <v>42</v>
      </c>
      <c r="AD42" s="57">
        <f>SUMIF('Balance Sheet Source'!$A:$A,'2. Balance Sheet'!$AO42,'Balance Sheet Source'!AC:AC)/1000</f>
        <v>37.5</v>
      </c>
      <c r="AE42" s="57">
        <f>SUMIF('Balance Sheet Source'!$A:$A,'2. Balance Sheet'!$AO42,'Balance Sheet Source'!AD:AD)/1000</f>
        <v>33</v>
      </c>
      <c r="AF42" s="57">
        <f>SUMIF('Balance Sheet Source'!$A:$A,'2. Balance Sheet'!$AO42,'Balance Sheet Source'!AE:AE)/1000</f>
        <v>28.5</v>
      </c>
      <c r="AG42" s="57">
        <f>SUMIF('Balance Sheet Source'!$A:$A,'2. Balance Sheet'!$AO42,'Balance Sheet Source'!AF:AF)/1000</f>
        <v>24</v>
      </c>
      <c r="AH42" s="57">
        <f>SUMIF('Balance Sheet Source'!$A:$A,'2. Balance Sheet'!$AO42,'Balance Sheet Source'!AG:AG)/1000</f>
        <v>19.5</v>
      </c>
      <c r="AI42" s="57">
        <f>SUMIF('Balance Sheet Source'!$A:$A,'2. Balance Sheet'!$AO42,'Balance Sheet Source'!AH:AH)/1000</f>
        <v>15</v>
      </c>
      <c r="AJ42" s="57">
        <f>SUMIF('Balance Sheet Source'!$A:$A,'2. Balance Sheet'!$AO42,'Balance Sheet Source'!AI:AI)/1000</f>
        <v>10.5</v>
      </c>
      <c r="AK42" s="57">
        <f>SUMIF('Balance Sheet Source'!$A:$A,'2. Balance Sheet'!$AO42,'Balance Sheet Source'!AJ:AJ)/1000</f>
        <v>6</v>
      </c>
      <c r="AL42" s="57">
        <f>SUMIF('Balance Sheet Source'!$A:$A,'2. Balance Sheet'!$AO42,'Balance Sheet Source'!AK:AK)/1000</f>
        <v>1.5</v>
      </c>
      <c r="AM42" s="61">
        <f>SUMIF('Balance Sheet Source'!$A:$A,'2. Balance Sheet'!$AO42,'Balance Sheet Source'!AL:AL)/1000</f>
        <v>-3</v>
      </c>
      <c r="AO42" s="4" t="s">
        <v>173</v>
      </c>
      <c r="AP42" s="4" t="s">
        <v>173</v>
      </c>
    </row>
    <row r="43" spans="2:42" outlineLevel="1" x14ac:dyDescent="0.2">
      <c r="B43" s="66" t="str">
        <f t="shared" si="9"/>
        <v>Equipment Loans</v>
      </c>
      <c r="C43" s="11"/>
      <c r="D43" s="11"/>
      <c r="E43" s="62">
        <f>SUMIF('Balance Sheet Source'!$A:$A,'2. Balance Sheet'!$AO43,'Balance Sheet Source'!D:D)/1000</f>
        <v>80</v>
      </c>
      <c r="F43" s="58">
        <f>SUMIF('Balance Sheet Source'!$A:$A,'2. Balance Sheet'!$AO43,'Balance Sheet Source'!E:E)/1000</f>
        <v>77.5</v>
      </c>
      <c r="G43" s="58">
        <f>SUMIF('Balance Sheet Source'!$A:$A,'2. Balance Sheet'!$AO43,'Balance Sheet Source'!F:F)/1000</f>
        <v>75</v>
      </c>
      <c r="H43" s="58">
        <f>SUMIF('Balance Sheet Source'!$A:$A,'2. Balance Sheet'!$AO43,'Balance Sheet Source'!G:G)/1000</f>
        <v>72.5</v>
      </c>
      <c r="I43" s="58">
        <f>SUMIF('Balance Sheet Source'!$A:$A,'2. Balance Sheet'!$AO43,'Balance Sheet Source'!H:H)/1000</f>
        <v>70</v>
      </c>
      <c r="J43" s="58">
        <f>SUMIF('Balance Sheet Source'!$A:$A,'2. Balance Sheet'!$AO43,'Balance Sheet Source'!I:I)/1000</f>
        <v>67.5</v>
      </c>
      <c r="K43" s="58">
        <f>SUMIF('Balance Sheet Source'!$A:$A,'2. Balance Sheet'!$AO43,'Balance Sheet Source'!J:J)/1000</f>
        <v>65</v>
      </c>
      <c r="L43" s="58">
        <f>SUMIF('Balance Sheet Source'!$A:$A,'2. Balance Sheet'!$AO43,'Balance Sheet Source'!K:K)/1000</f>
        <v>62.5</v>
      </c>
      <c r="M43" s="58">
        <f>SUMIF('Balance Sheet Source'!$A:$A,'2. Balance Sheet'!$AO43,'Balance Sheet Source'!L:L)/1000</f>
        <v>60</v>
      </c>
      <c r="N43" s="58">
        <f>SUMIF('Balance Sheet Source'!$A:$A,'2. Balance Sheet'!$AO43,'Balance Sheet Source'!M:M)/1000</f>
        <v>57.5</v>
      </c>
      <c r="O43" s="58">
        <f>SUMIF('Balance Sheet Source'!$A:$A,'2. Balance Sheet'!$AO43,'Balance Sheet Source'!N:N)/1000</f>
        <v>55</v>
      </c>
      <c r="P43" s="58">
        <f>SUMIF('Balance Sheet Source'!$A:$A,'2. Balance Sheet'!$AO43,'Balance Sheet Source'!O:O)/1000</f>
        <v>52.5</v>
      </c>
      <c r="Q43" s="62">
        <f>SUMIF('Balance Sheet Source'!$A:$A,'2. Balance Sheet'!$AO43,'Balance Sheet Source'!P:P)/1000</f>
        <v>50</v>
      </c>
      <c r="R43" s="58">
        <f>SUMIF('Balance Sheet Source'!$A:$A,'2. Balance Sheet'!$AO43,'Balance Sheet Source'!Q:Q)/1000</f>
        <v>47.5</v>
      </c>
      <c r="S43" s="58">
        <f>SUMIF('Balance Sheet Source'!$A:$A,'2. Balance Sheet'!$AO43,'Balance Sheet Source'!R:R)/1000</f>
        <v>45</v>
      </c>
      <c r="T43" s="58">
        <f>SUMIF('Balance Sheet Source'!$A:$A,'2. Balance Sheet'!$AO43,'Balance Sheet Source'!S:S)/1000</f>
        <v>42.5</v>
      </c>
      <c r="U43" s="58">
        <f>SUMIF('Balance Sheet Source'!$A:$A,'2. Balance Sheet'!$AO43,'Balance Sheet Source'!T:T)/1000</f>
        <v>40</v>
      </c>
      <c r="V43" s="58">
        <f>SUMIF('Balance Sheet Source'!$A:$A,'2. Balance Sheet'!$AO43,'Balance Sheet Source'!U:U)/1000</f>
        <v>37.5</v>
      </c>
      <c r="W43" s="58">
        <f>SUMIF('Balance Sheet Source'!$A:$A,'2. Balance Sheet'!$AO43,'Balance Sheet Source'!V:V)/1000</f>
        <v>35</v>
      </c>
      <c r="X43" s="58">
        <f>SUMIF('Balance Sheet Source'!$A:$A,'2. Balance Sheet'!$AO43,'Balance Sheet Source'!W:W)/1000</f>
        <v>32.5</v>
      </c>
      <c r="Y43" s="58">
        <f>SUMIF('Balance Sheet Source'!$A:$A,'2. Balance Sheet'!$AO43,'Balance Sheet Source'!X:X)/1000</f>
        <v>30</v>
      </c>
      <c r="Z43" s="58">
        <f>SUMIF('Balance Sheet Source'!$A:$A,'2. Balance Sheet'!$AO43,'Balance Sheet Source'!Y:Y)/1000</f>
        <v>27.5</v>
      </c>
      <c r="AA43" s="58">
        <f>SUMIF('Balance Sheet Source'!$A:$A,'2. Balance Sheet'!$AO43,'Balance Sheet Source'!Z:Z)/1000</f>
        <v>25</v>
      </c>
      <c r="AB43" s="58">
        <f>SUMIF('Balance Sheet Source'!$A:$A,'2. Balance Sheet'!$AO43,'Balance Sheet Source'!AA:AA)/1000</f>
        <v>22.5</v>
      </c>
      <c r="AC43" s="62">
        <f>SUMIF('Balance Sheet Source'!$A:$A,'2. Balance Sheet'!$AO43,'Balance Sheet Source'!AB:AB)/1000</f>
        <v>20</v>
      </c>
      <c r="AD43" s="58">
        <f>SUMIF('Balance Sheet Source'!$A:$A,'2. Balance Sheet'!$AO43,'Balance Sheet Source'!AC:AC)/1000</f>
        <v>17.5</v>
      </c>
      <c r="AE43" s="58">
        <f>SUMIF('Balance Sheet Source'!$A:$A,'2. Balance Sheet'!$AO43,'Balance Sheet Source'!AD:AD)/1000</f>
        <v>15</v>
      </c>
      <c r="AF43" s="58">
        <f>SUMIF('Balance Sheet Source'!$A:$A,'2. Balance Sheet'!$AO43,'Balance Sheet Source'!AE:AE)/1000</f>
        <v>12.5</v>
      </c>
      <c r="AG43" s="58">
        <f>SUMIF('Balance Sheet Source'!$A:$A,'2. Balance Sheet'!$AO43,'Balance Sheet Source'!AF:AF)/1000</f>
        <v>10</v>
      </c>
      <c r="AH43" s="58">
        <f>SUMIF('Balance Sheet Source'!$A:$A,'2. Balance Sheet'!$AO43,'Balance Sheet Source'!AG:AG)/1000</f>
        <v>7.5</v>
      </c>
      <c r="AI43" s="58">
        <f>SUMIF('Balance Sheet Source'!$A:$A,'2. Balance Sheet'!$AO43,'Balance Sheet Source'!AH:AH)/1000</f>
        <v>5</v>
      </c>
      <c r="AJ43" s="58">
        <f>SUMIF('Balance Sheet Source'!$A:$A,'2. Balance Sheet'!$AO43,'Balance Sheet Source'!AI:AI)/1000</f>
        <v>2.5</v>
      </c>
      <c r="AK43" s="58">
        <f>SUMIF('Balance Sheet Source'!$A:$A,'2. Balance Sheet'!$AO43,'Balance Sheet Source'!AJ:AJ)/1000</f>
        <v>0</v>
      </c>
      <c r="AL43" s="58">
        <f>SUMIF('Balance Sheet Source'!$A:$A,'2. Balance Sheet'!$AO43,'Balance Sheet Source'!AK:AK)/1000</f>
        <v>-2.5</v>
      </c>
      <c r="AM43" s="62">
        <f>SUMIF('Balance Sheet Source'!$A:$A,'2. Balance Sheet'!$AO43,'Balance Sheet Source'!AL:AL)/1000</f>
        <v>-5</v>
      </c>
      <c r="AO43" s="4" t="s">
        <v>175</v>
      </c>
      <c r="AP43" s="4" t="s">
        <v>175</v>
      </c>
    </row>
    <row r="44" spans="2:42" x14ac:dyDescent="0.2">
      <c r="B44" s="67" t="str">
        <f>+B41</f>
        <v>Non-Current Liabilities</v>
      </c>
      <c r="C44" s="59"/>
      <c r="D44" s="59"/>
      <c r="E44" s="63">
        <f t="shared" ref="E44:AM44" si="10">SUM(E42:E43)</f>
        <v>230</v>
      </c>
      <c r="F44" s="60">
        <f t="shared" si="10"/>
        <v>223</v>
      </c>
      <c r="G44" s="60">
        <f t="shared" si="10"/>
        <v>216</v>
      </c>
      <c r="H44" s="60">
        <f t="shared" si="10"/>
        <v>209</v>
      </c>
      <c r="I44" s="60">
        <f t="shared" si="10"/>
        <v>202</v>
      </c>
      <c r="J44" s="60">
        <f t="shared" si="10"/>
        <v>195</v>
      </c>
      <c r="K44" s="60">
        <f t="shared" si="10"/>
        <v>188</v>
      </c>
      <c r="L44" s="60">
        <f t="shared" si="10"/>
        <v>181</v>
      </c>
      <c r="M44" s="60">
        <f t="shared" si="10"/>
        <v>174</v>
      </c>
      <c r="N44" s="60">
        <f t="shared" si="10"/>
        <v>167</v>
      </c>
      <c r="O44" s="60">
        <f t="shared" si="10"/>
        <v>160</v>
      </c>
      <c r="P44" s="60">
        <f t="shared" si="10"/>
        <v>153</v>
      </c>
      <c r="Q44" s="63">
        <f t="shared" si="10"/>
        <v>146</v>
      </c>
      <c r="R44" s="60">
        <f t="shared" si="10"/>
        <v>139</v>
      </c>
      <c r="S44" s="60">
        <f t="shared" si="10"/>
        <v>132</v>
      </c>
      <c r="T44" s="60">
        <f t="shared" si="10"/>
        <v>125</v>
      </c>
      <c r="U44" s="60">
        <f t="shared" si="10"/>
        <v>118</v>
      </c>
      <c r="V44" s="60">
        <f t="shared" si="10"/>
        <v>111</v>
      </c>
      <c r="W44" s="60">
        <f t="shared" si="10"/>
        <v>104</v>
      </c>
      <c r="X44" s="60">
        <f t="shared" si="10"/>
        <v>97</v>
      </c>
      <c r="Y44" s="60">
        <f t="shared" si="10"/>
        <v>90</v>
      </c>
      <c r="Z44" s="60">
        <f t="shared" si="10"/>
        <v>83</v>
      </c>
      <c r="AA44" s="60">
        <f t="shared" si="10"/>
        <v>76</v>
      </c>
      <c r="AB44" s="60">
        <f t="shared" si="10"/>
        <v>69</v>
      </c>
      <c r="AC44" s="63">
        <f t="shared" si="10"/>
        <v>62</v>
      </c>
      <c r="AD44" s="60">
        <f t="shared" si="10"/>
        <v>55</v>
      </c>
      <c r="AE44" s="60">
        <f t="shared" si="10"/>
        <v>48</v>
      </c>
      <c r="AF44" s="60">
        <f t="shared" si="10"/>
        <v>41</v>
      </c>
      <c r="AG44" s="60">
        <f t="shared" si="10"/>
        <v>34</v>
      </c>
      <c r="AH44" s="60">
        <f t="shared" si="10"/>
        <v>27</v>
      </c>
      <c r="AI44" s="60">
        <f t="shared" si="10"/>
        <v>20</v>
      </c>
      <c r="AJ44" s="60">
        <f t="shared" si="10"/>
        <v>13</v>
      </c>
      <c r="AK44" s="60">
        <f t="shared" si="10"/>
        <v>6</v>
      </c>
      <c r="AL44" s="60">
        <f t="shared" si="10"/>
        <v>-1</v>
      </c>
      <c r="AM44" s="63">
        <f t="shared" si="10"/>
        <v>-8</v>
      </c>
    </row>
    <row r="45" spans="2:42" ht="12" customHeight="1" x14ac:dyDescent="0.2">
      <c r="B45" s="25"/>
      <c r="E45" s="16"/>
      <c r="Q45" s="16"/>
      <c r="AC45" s="16"/>
      <c r="AM45" s="16"/>
    </row>
    <row r="46" spans="2:42" x14ac:dyDescent="0.2">
      <c r="B46" s="68" t="s">
        <v>109</v>
      </c>
      <c r="C46" s="69"/>
      <c r="D46" s="69"/>
      <c r="E46" s="70">
        <f t="shared" ref="E46:AM46" si="11">+E39+E44</f>
        <v>694.42678999999998</v>
      </c>
      <c r="F46" s="71">
        <f t="shared" si="11"/>
        <v>843.74785999999995</v>
      </c>
      <c r="G46" s="71">
        <f t="shared" si="11"/>
        <v>876.89165000000003</v>
      </c>
      <c r="H46" s="71">
        <f t="shared" si="11"/>
        <v>855.65078999999992</v>
      </c>
      <c r="I46" s="71">
        <f t="shared" si="11"/>
        <v>873.71412999999984</v>
      </c>
      <c r="J46" s="71">
        <f t="shared" si="11"/>
        <v>865.75155999999993</v>
      </c>
      <c r="K46" s="71">
        <f t="shared" si="11"/>
        <v>1039.3688699999998</v>
      </c>
      <c r="L46" s="71">
        <f t="shared" si="11"/>
        <v>880.07882999999993</v>
      </c>
      <c r="M46" s="71">
        <f t="shared" si="11"/>
        <v>922.68417999999997</v>
      </c>
      <c r="N46" s="71">
        <f t="shared" si="11"/>
        <v>1064.35897</v>
      </c>
      <c r="O46" s="71">
        <f t="shared" si="11"/>
        <v>889.50252</v>
      </c>
      <c r="P46" s="71">
        <f t="shared" si="11"/>
        <v>906.6713299999999</v>
      </c>
      <c r="Q46" s="70">
        <f t="shared" si="11"/>
        <v>1004.4692299999999</v>
      </c>
      <c r="R46" s="71">
        <f t="shared" si="11"/>
        <v>959.51369</v>
      </c>
      <c r="S46" s="71">
        <f t="shared" si="11"/>
        <v>876.52334000000008</v>
      </c>
      <c r="T46" s="71">
        <f t="shared" si="11"/>
        <v>965.40676000000008</v>
      </c>
      <c r="U46" s="71">
        <f t="shared" si="11"/>
        <v>797.12993999999992</v>
      </c>
      <c r="V46" s="71">
        <f t="shared" si="11"/>
        <v>896.29224999999985</v>
      </c>
      <c r="W46" s="71">
        <f t="shared" si="11"/>
        <v>923.53685999999993</v>
      </c>
      <c r="X46" s="71">
        <f t="shared" si="11"/>
        <v>1013.7961599999999</v>
      </c>
      <c r="Y46" s="71">
        <f t="shared" si="11"/>
        <v>825.15755999999988</v>
      </c>
      <c r="Z46" s="71">
        <f t="shared" si="11"/>
        <v>961.61935999999969</v>
      </c>
      <c r="AA46" s="71">
        <f t="shared" si="11"/>
        <v>828.33560999999963</v>
      </c>
      <c r="AB46" s="71">
        <f t="shared" si="11"/>
        <v>863.09623999999974</v>
      </c>
      <c r="AC46" s="70">
        <f t="shared" si="11"/>
        <v>786.62469999999973</v>
      </c>
      <c r="AD46" s="71">
        <f t="shared" si="11"/>
        <v>789.99650999999972</v>
      </c>
      <c r="AE46" s="71">
        <f t="shared" si="11"/>
        <v>779.80717181818147</v>
      </c>
      <c r="AF46" s="71">
        <f t="shared" si="11"/>
        <v>802.37071363636335</v>
      </c>
      <c r="AG46" s="71">
        <f t="shared" si="11"/>
        <v>844.68142545454532</v>
      </c>
      <c r="AH46" s="71">
        <f t="shared" si="11"/>
        <v>739.08131727272712</v>
      </c>
      <c r="AI46" s="71">
        <f t="shared" si="11"/>
        <v>817.63134909090888</v>
      </c>
      <c r="AJ46" s="71">
        <f t="shared" si="11"/>
        <v>793.70628090909065</v>
      </c>
      <c r="AK46" s="71">
        <f t="shared" si="11"/>
        <v>847.24426272727248</v>
      </c>
      <c r="AL46" s="71">
        <f t="shared" si="11"/>
        <v>751.90062454545432</v>
      </c>
      <c r="AM46" s="70">
        <f t="shared" si="11"/>
        <v>755.22683636363615</v>
      </c>
    </row>
    <row r="47" spans="2:42" ht="12" customHeight="1" x14ac:dyDescent="0.2">
      <c r="B47" s="25"/>
      <c r="E47" s="16"/>
      <c r="Q47" s="16"/>
      <c r="AC47" s="16"/>
      <c r="AM47" s="16"/>
    </row>
    <row r="48" spans="2:42" outlineLevel="1" x14ac:dyDescent="0.2">
      <c r="B48" s="26" t="s">
        <v>110</v>
      </c>
      <c r="E48" s="16"/>
      <c r="Q48" s="16"/>
      <c r="AC48" s="16"/>
      <c r="AM48" s="16"/>
    </row>
    <row r="49" spans="2:42" outlineLevel="1" x14ac:dyDescent="0.2">
      <c r="B49" s="29" t="str">
        <f t="shared" ref="B49:B50" si="12">+AO49</f>
        <v>Common Stock</v>
      </c>
      <c r="E49" s="61">
        <f>SUMIF('Balance Sheet Source'!$A:$A,'2. Balance Sheet'!$AO49,'Balance Sheet Source'!D:D)/1000</f>
        <v>100</v>
      </c>
      <c r="F49" s="57">
        <f>SUMIF('Balance Sheet Source'!$A:$A,'2. Balance Sheet'!$AO49,'Balance Sheet Source'!E:E)/1000</f>
        <v>100</v>
      </c>
      <c r="G49" s="57">
        <f>SUMIF('Balance Sheet Source'!$A:$A,'2. Balance Sheet'!$AO49,'Balance Sheet Source'!F:F)/1000</f>
        <v>100</v>
      </c>
      <c r="H49" s="57">
        <f>SUMIF('Balance Sheet Source'!$A:$A,'2. Balance Sheet'!$AO49,'Balance Sheet Source'!G:G)/1000</f>
        <v>100</v>
      </c>
      <c r="I49" s="57">
        <f>SUMIF('Balance Sheet Source'!$A:$A,'2. Balance Sheet'!$AO49,'Balance Sheet Source'!H:H)/1000</f>
        <v>100</v>
      </c>
      <c r="J49" s="57">
        <f>SUMIF('Balance Sheet Source'!$A:$A,'2. Balance Sheet'!$AO49,'Balance Sheet Source'!I:I)/1000</f>
        <v>100</v>
      </c>
      <c r="K49" s="57">
        <f>SUMIF('Balance Sheet Source'!$A:$A,'2. Balance Sheet'!$AO49,'Balance Sheet Source'!J:J)/1000</f>
        <v>100</v>
      </c>
      <c r="L49" s="57">
        <f>SUMIF('Balance Sheet Source'!$A:$A,'2. Balance Sheet'!$AO49,'Balance Sheet Source'!K:K)/1000</f>
        <v>100</v>
      </c>
      <c r="M49" s="57">
        <f>SUMIF('Balance Sheet Source'!$A:$A,'2. Balance Sheet'!$AO49,'Balance Sheet Source'!L:L)/1000</f>
        <v>100</v>
      </c>
      <c r="N49" s="57">
        <f>SUMIF('Balance Sheet Source'!$A:$A,'2. Balance Sheet'!$AO49,'Balance Sheet Source'!M:M)/1000</f>
        <v>100</v>
      </c>
      <c r="O49" s="57">
        <f>SUMIF('Balance Sheet Source'!$A:$A,'2. Balance Sheet'!$AO49,'Balance Sheet Source'!N:N)/1000</f>
        <v>100</v>
      </c>
      <c r="P49" s="57">
        <f>SUMIF('Balance Sheet Source'!$A:$A,'2. Balance Sheet'!$AO49,'Balance Sheet Source'!O:O)/1000</f>
        <v>100</v>
      </c>
      <c r="Q49" s="61">
        <f>SUMIF('Balance Sheet Source'!$A:$A,'2. Balance Sheet'!$AO49,'Balance Sheet Source'!P:P)/1000</f>
        <v>100</v>
      </c>
      <c r="R49" s="57">
        <f>SUMIF('Balance Sheet Source'!$A:$A,'2. Balance Sheet'!$AO49,'Balance Sheet Source'!Q:Q)/1000</f>
        <v>100</v>
      </c>
      <c r="S49" s="57">
        <f>SUMIF('Balance Sheet Source'!$A:$A,'2. Balance Sheet'!$AO49,'Balance Sheet Source'!R:R)/1000</f>
        <v>100</v>
      </c>
      <c r="T49" s="57">
        <f>SUMIF('Balance Sheet Source'!$A:$A,'2. Balance Sheet'!$AO49,'Balance Sheet Source'!S:S)/1000</f>
        <v>100</v>
      </c>
      <c r="U49" s="57">
        <f>SUMIF('Balance Sheet Source'!$A:$A,'2. Balance Sheet'!$AO49,'Balance Sheet Source'!T:T)/1000</f>
        <v>100</v>
      </c>
      <c r="V49" s="57">
        <f>SUMIF('Balance Sheet Source'!$A:$A,'2. Balance Sheet'!$AO49,'Balance Sheet Source'!U:U)/1000</f>
        <v>100</v>
      </c>
      <c r="W49" s="57">
        <f>SUMIF('Balance Sheet Source'!$A:$A,'2. Balance Sheet'!$AO49,'Balance Sheet Source'!V:V)/1000</f>
        <v>100</v>
      </c>
      <c r="X49" s="57">
        <f>SUMIF('Balance Sheet Source'!$A:$A,'2. Balance Sheet'!$AO49,'Balance Sheet Source'!W:W)/1000</f>
        <v>100</v>
      </c>
      <c r="Y49" s="57">
        <f>SUMIF('Balance Sheet Source'!$A:$A,'2. Balance Sheet'!$AO49,'Balance Sheet Source'!X:X)/1000</f>
        <v>100</v>
      </c>
      <c r="Z49" s="57">
        <f>SUMIF('Balance Sheet Source'!$A:$A,'2. Balance Sheet'!$AO49,'Balance Sheet Source'!Y:Y)/1000</f>
        <v>100</v>
      </c>
      <c r="AA49" s="57">
        <f>SUMIF('Balance Sheet Source'!$A:$A,'2. Balance Sheet'!$AO49,'Balance Sheet Source'!Z:Z)/1000</f>
        <v>100</v>
      </c>
      <c r="AB49" s="57">
        <f>SUMIF('Balance Sheet Source'!$A:$A,'2. Balance Sheet'!$AO49,'Balance Sheet Source'!AA:AA)/1000</f>
        <v>100</v>
      </c>
      <c r="AC49" s="61">
        <f>SUMIF('Balance Sheet Source'!$A:$A,'2. Balance Sheet'!$AO49,'Balance Sheet Source'!AB:AB)/1000</f>
        <v>100</v>
      </c>
      <c r="AD49" s="57">
        <f>SUMIF('Balance Sheet Source'!$A:$A,'2. Balance Sheet'!$AO49,'Balance Sheet Source'!AC:AC)/1000</f>
        <v>100</v>
      </c>
      <c r="AE49" s="57">
        <f>SUMIF('Balance Sheet Source'!$A:$A,'2. Balance Sheet'!$AO49,'Balance Sheet Source'!AD:AD)/1000</f>
        <v>100</v>
      </c>
      <c r="AF49" s="57">
        <f>SUMIF('Balance Sheet Source'!$A:$A,'2. Balance Sheet'!$AO49,'Balance Sheet Source'!AE:AE)/1000</f>
        <v>100</v>
      </c>
      <c r="AG49" s="57">
        <f>SUMIF('Balance Sheet Source'!$A:$A,'2. Balance Sheet'!$AO49,'Balance Sheet Source'!AF:AF)/1000</f>
        <v>100</v>
      </c>
      <c r="AH49" s="57">
        <f>SUMIF('Balance Sheet Source'!$A:$A,'2. Balance Sheet'!$AO49,'Balance Sheet Source'!AG:AG)/1000</f>
        <v>100</v>
      </c>
      <c r="AI49" s="57">
        <f>SUMIF('Balance Sheet Source'!$A:$A,'2. Balance Sheet'!$AO49,'Balance Sheet Source'!AH:AH)/1000</f>
        <v>100</v>
      </c>
      <c r="AJ49" s="57">
        <f>SUMIF('Balance Sheet Source'!$A:$A,'2. Balance Sheet'!$AO49,'Balance Sheet Source'!AI:AI)/1000</f>
        <v>100</v>
      </c>
      <c r="AK49" s="57">
        <f>SUMIF('Balance Sheet Source'!$A:$A,'2. Balance Sheet'!$AO49,'Balance Sheet Source'!AJ:AJ)/1000</f>
        <v>100</v>
      </c>
      <c r="AL49" s="57">
        <f>SUMIF('Balance Sheet Source'!$A:$A,'2. Balance Sheet'!$AO49,'Balance Sheet Source'!AK:AK)/1000</f>
        <v>100</v>
      </c>
      <c r="AM49" s="61">
        <f>SUMIF('Balance Sheet Source'!$A:$A,'2. Balance Sheet'!$AO49,'Balance Sheet Source'!AL:AL)/1000</f>
        <v>100</v>
      </c>
      <c r="AO49" s="4" t="s">
        <v>134</v>
      </c>
    </row>
    <row r="50" spans="2:42" s="85" customFormat="1" outlineLevel="1" x14ac:dyDescent="0.2">
      <c r="B50" s="29" t="str">
        <f t="shared" si="12"/>
        <v>Retained Earnings</v>
      </c>
      <c r="E50" s="61">
        <f>SUMIF('Balance Sheet Source'!$A:$A,'2. Balance Sheet'!$AO50,'Balance Sheet Source'!D:D)/1000</f>
        <v>538.36487</v>
      </c>
      <c r="F50" s="86">
        <f>SUMIF('Balance Sheet Source'!$A:$A,'2. Balance Sheet'!$AO50,'Balance Sheet Source'!E:E)/1000</f>
        <v>503.63486999999998</v>
      </c>
      <c r="G50" s="86">
        <f>SUMIF('Balance Sheet Source'!$A:$A,'2. Balance Sheet'!$AO50,'Balance Sheet Source'!F:F)/1000</f>
        <v>503.63486999999998</v>
      </c>
      <c r="H50" s="86">
        <f>SUMIF('Balance Sheet Source'!$A:$A,'2. Balance Sheet'!$AO50,'Balance Sheet Source'!G:G)/1000</f>
        <v>503.63486999999998</v>
      </c>
      <c r="I50" s="86">
        <f>SUMIF('Balance Sheet Source'!$A:$A,'2. Balance Sheet'!$AO50,'Balance Sheet Source'!H:H)/1000</f>
        <v>503.63486999999998</v>
      </c>
      <c r="J50" s="86">
        <f>SUMIF('Balance Sheet Source'!$A:$A,'2. Balance Sheet'!$AO50,'Balance Sheet Source'!I:I)/1000</f>
        <v>503.63486999999998</v>
      </c>
      <c r="K50" s="86">
        <f>SUMIF('Balance Sheet Source'!$A:$A,'2. Balance Sheet'!$AO50,'Balance Sheet Source'!J:J)/1000</f>
        <v>503.63486999999998</v>
      </c>
      <c r="L50" s="86">
        <f>SUMIF('Balance Sheet Source'!$A:$A,'2. Balance Sheet'!$AO50,'Balance Sheet Source'!K:K)/1000</f>
        <v>503.63486999999998</v>
      </c>
      <c r="M50" s="86">
        <f>SUMIF('Balance Sheet Source'!$A:$A,'2. Balance Sheet'!$AO50,'Balance Sheet Source'!L:L)/1000</f>
        <v>503.63486999999998</v>
      </c>
      <c r="N50" s="86">
        <f>SUMIF('Balance Sheet Source'!$A:$A,'2. Balance Sheet'!$AO50,'Balance Sheet Source'!M:M)/1000</f>
        <v>503.63486999999998</v>
      </c>
      <c r="O50" s="86">
        <f>SUMIF('Balance Sheet Source'!$A:$A,'2. Balance Sheet'!$AO50,'Balance Sheet Source'!N:N)/1000</f>
        <v>503.63486999999998</v>
      </c>
      <c r="P50" s="86">
        <f>SUMIF('Balance Sheet Source'!$A:$A,'2. Balance Sheet'!$AO50,'Balance Sheet Source'!O:O)/1000</f>
        <v>503.63486999999998</v>
      </c>
      <c r="Q50" s="61">
        <f>SUMIF('Balance Sheet Source'!$A:$A,'2. Balance Sheet'!$AO50,'Balance Sheet Source'!P:P)/1000</f>
        <v>552.15833000000021</v>
      </c>
      <c r="R50" s="86">
        <f>SUMIF('Balance Sheet Source'!$A:$A,'2. Balance Sheet'!$AO50,'Balance Sheet Source'!Q:Q)/1000</f>
        <v>831.49916000000019</v>
      </c>
      <c r="S50" s="86">
        <f>SUMIF('Balance Sheet Source'!$A:$A,'2. Balance Sheet'!$AO50,'Balance Sheet Source'!R:R)/1000</f>
        <v>831.49916000000019</v>
      </c>
      <c r="T50" s="86">
        <f>SUMIF('Balance Sheet Source'!$A:$A,'2. Balance Sheet'!$AO50,'Balance Sheet Source'!S:S)/1000</f>
        <v>831.49916000000019</v>
      </c>
      <c r="U50" s="86">
        <f>SUMIF('Balance Sheet Source'!$A:$A,'2. Balance Sheet'!$AO50,'Balance Sheet Source'!T:T)/1000</f>
        <v>831.49916000000019</v>
      </c>
      <c r="V50" s="86">
        <f>SUMIF('Balance Sheet Source'!$A:$A,'2. Balance Sheet'!$AO50,'Balance Sheet Source'!U:U)/1000</f>
        <v>831.49916000000019</v>
      </c>
      <c r="W50" s="86">
        <f>SUMIF('Balance Sheet Source'!$A:$A,'2. Balance Sheet'!$AO50,'Balance Sheet Source'!V:V)/1000</f>
        <v>831.49916000000019</v>
      </c>
      <c r="X50" s="86">
        <f>SUMIF('Balance Sheet Source'!$A:$A,'2. Balance Sheet'!$AO50,'Balance Sheet Source'!W:W)/1000</f>
        <v>831.49916000000019</v>
      </c>
      <c r="Y50" s="86">
        <f>SUMIF('Balance Sheet Source'!$A:$A,'2. Balance Sheet'!$AO50,'Balance Sheet Source'!X:X)/1000</f>
        <v>831.49916000000019</v>
      </c>
      <c r="Z50" s="86">
        <f>SUMIF('Balance Sheet Source'!$A:$A,'2. Balance Sheet'!$AO50,'Balance Sheet Source'!Y:Y)/1000</f>
        <v>831.49916000000019</v>
      </c>
      <c r="AA50" s="86">
        <f>SUMIF('Balance Sheet Source'!$A:$A,'2. Balance Sheet'!$AO50,'Balance Sheet Source'!Z:Z)/1000</f>
        <v>831.49916000000019</v>
      </c>
      <c r="AB50" s="86">
        <f>SUMIF('Balance Sheet Source'!$A:$A,'2. Balance Sheet'!$AO50,'Balance Sheet Source'!AA:AA)/1000</f>
        <v>831.49916000000019</v>
      </c>
      <c r="AC50" s="61">
        <f>SUMIF('Balance Sheet Source'!$A:$A,'2. Balance Sheet'!$AO50,'Balance Sheet Source'!AB:AB)/1000</f>
        <v>884.39018000000021</v>
      </c>
      <c r="AD50" s="86">
        <f>SUMIF('Balance Sheet Source'!$A:$A,'2. Balance Sheet'!$AO50,'Balance Sheet Source'!AC:AC)/1000</f>
        <v>727.96843000000013</v>
      </c>
      <c r="AE50" s="86">
        <f>SUMIF('Balance Sheet Source'!$A:$A,'2. Balance Sheet'!$AO50,'Balance Sheet Source'!AD:AD)/1000</f>
        <v>737.24087818181818</v>
      </c>
      <c r="AF50" s="86">
        <f>SUMIF('Balance Sheet Source'!$A:$A,'2. Balance Sheet'!$AO50,'Balance Sheet Source'!AE:AE)/1000</f>
        <v>746.15678636363634</v>
      </c>
      <c r="AG50" s="86">
        <f>SUMIF('Balance Sheet Source'!$A:$A,'2. Balance Sheet'!$AO50,'Balance Sheet Source'!AF:AF)/1000</f>
        <v>753.85935454545461</v>
      </c>
      <c r="AH50" s="86">
        <f>SUMIF('Balance Sheet Source'!$A:$A,'2. Balance Sheet'!$AO50,'Balance Sheet Source'!AG:AG)/1000</f>
        <v>761.38225272727254</v>
      </c>
      <c r="AI50" s="86">
        <f>SUMIF('Balance Sheet Source'!$A:$A,'2. Balance Sheet'!$AO50,'Balance Sheet Source'!AH:AH)/1000</f>
        <v>768.85595090909101</v>
      </c>
      <c r="AJ50" s="86">
        <f>SUMIF('Balance Sheet Source'!$A:$A,'2. Balance Sheet'!$AO50,'Balance Sheet Source'!AI:AI)/1000</f>
        <v>777.65761909090918</v>
      </c>
      <c r="AK50" s="86">
        <f>SUMIF('Balance Sheet Source'!$A:$A,'2. Balance Sheet'!$AO50,'Balance Sheet Source'!AJ:AJ)/1000</f>
        <v>784.25695727272728</v>
      </c>
      <c r="AL50" s="86">
        <f>SUMIF('Balance Sheet Source'!$A:$A,'2. Balance Sheet'!$AO50,'Balance Sheet Source'!AK:AK)/1000</f>
        <v>791.3272354545453</v>
      </c>
      <c r="AM50" s="61">
        <f>SUMIF('Balance Sheet Source'!$A:$A,'2. Balance Sheet'!$AO50,'Balance Sheet Source'!AL:AL)/1000</f>
        <v>800.65079363636369</v>
      </c>
      <c r="AO50" s="85" t="s">
        <v>135</v>
      </c>
    </row>
    <row r="51" spans="2:42" outlineLevel="1" x14ac:dyDescent="0.2">
      <c r="B51" s="88" t="s">
        <v>61</v>
      </c>
      <c r="C51" s="11"/>
      <c r="D51" s="11"/>
      <c r="E51" s="62">
        <f>SUMIF('Balance Sheet Source'!$A:$A,'2. Balance Sheet'!$AO51,'Balance Sheet Source'!D:D)/1000</f>
        <v>-34.729999999999997</v>
      </c>
      <c r="F51" s="58">
        <f>SUMIF('Balance Sheet Source'!$A:$A,'2. Balance Sheet'!$AO51,'Balance Sheet Source'!E:E)/1000</f>
        <v>-40.854289999999999</v>
      </c>
      <c r="G51" s="58">
        <f>SUMIF('Balance Sheet Source'!$A:$A,'2. Balance Sheet'!$AO51,'Balance Sheet Source'!F:F)/1000</f>
        <v>174.85772999999998</v>
      </c>
      <c r="H51" s="58">
        <f>SUMIF('Balance Sheet Source'!$A:$A,'2. Balance Sheet'!$AO51,'Balance Sheet Source'!G:G)/1000</f>
        <v>254.44154999999998</v>
      </c>
      <c r="I51" s="58">
        <f>SUMIF('Balance Sheet Source'!$A:$A,'2. Balance Sheet'!$AO51,'Balance Sheet Source'!H:H)/1000</f>
        <v>274.51382000000001</v>
      </c>
      <c r="J51" s="58">
        <f>SUMIF('Balance Sheet Source'!$A:$A,'2. Balance Sheet'!$AO51,'Balance Sheet Source'!I:I)/1000</f>
        <v>247.07321999999999</v>
      </c>
      <c r="K51" s="58">
        <f>SUMIF('Balance Sheet Source'!$A:$A,'2. Balance Sheet'!$AO51,'Balance Sheet Source'!J:J)/1000</f>
        <v>138.88266000000002</v>
      </c>
      <c r="L51" s="58">
        <f>SUMIF('Balance Sheet Source'!$A:$A,'2. Balance Sheet'!$AO51,'Balance Sheet Source'!K:K)/1000</f>
        <v>225.26373999999998</v>
      </c>
      <c r="M51" s="58">
        <f>SUMIF('Balance Sheet Source'!$A:$A,'2. Balance Sheet'!$AO51,'Balance Sheet Source'!L:L)/1000</f>
        <v>249.03100999999998</v>
      </c>
      <c r="N51" s="58">
        <f>SUMIF('Balance Sheet Source'!$A:$A,'2. Balance Sheet'!$AO51,'Balance Sheet Source'!M:M)/1000</f>
        <v>226.12575999999999</v>
      </c>
      <c r="O51" s="58">
        <f>SUMIF('Balance Sheet Source'!$A:$A,'2. Balance Sheet'!$AO51,'Balance Sheet Source'!N:N)/1000</f>
        <v>254.76737999999997</v>
      </c>
      <c r="P51" s="58">
        <f>SUMIF('Balance Sheet Source'!$A:$A,'2. Balance Sheet'!$AO51,'Balance Sheet Source'!O:O)/1000</f>
        <v>259.03116999999997</v>
      </c>
      <c r="Q51" s="62">
        <f>SUMIF('Balance Sheet Source'!$A:$A,'2. Balance Sheet'!$AO51,'Balance Sheet Source'!P:P)/1000</f>
        <v>279.34082999999998</v>
      </c>
      <c r="R51" s="58">
        <f>SUMIF('Balance Sheet Source'!$A:$A,'2. Balance Sheet'!$AO51,'Balance Sheet Source'!Q:Q)/1000</f>
        <v>-42.364779999999996</v>
      </c>
      <c r="S51" s="58">
        <f>SUMIF('Balance Sheet Source'!$A:$A,'2. Balance Sheet'!$AO51,'Balance Sheet Source'!R:R)/1000</f>
        <v>-61.333869999999997</v>
      </c>
      <c r="T51" s="58">
        <f>SUMIF('Balance Sheet Source'!$A:$A,'2. Balance Sheet'!$AO51,'Balance Sheet Source'!S:S)/1000</f>
        <v>-143.42214000000001</v>
      </c>
      <c r="U51" s="58">
        <f>SUMIF('Balance Sheet Source'!$A:$A,'2. Balance Sheet'!$AO51,'Balance Sheet Source'!T:T)/1000</f>
        <v>-67.053510000000003</v>
      </c>
      <c r="V51" s="58">
        <f>SUMIF('Balance Sheet Source'!$A:$A,'2. Balance Sheet'!$AO51,'Balance Sheet Source'!U:U)/1000</f>
        <v>-126.19720000000001</v>
      </c>
      <c r="W51" s="58">
        <f>SUMIF('Balance Sheet Source'!$A:$A,'2. Balance Sheet'!$AO51,'Balance Sheet Source'!V:V)/1000</f>
        <v>-94.527820000000006</v>
      </c>
      <c r="X51" s="58">
        <f>SUMIF('Balance Sheet Source'!$A:$A,'2. Balance Sheet'!$AO51,'Balance Sheet Source'!W:W)/1000</f>
        <v>-175.95998</v>
      </c>
      <c r="Y51" s="58">
        <f>SUMIF('Balance Sheet Source'!$A:$A,'2. Balance Sheet'!$AO51,'Balance Sheet Source'!X:X)/1000</f>
        <v>-79.895620000000008</v>
      </c>
      <c r="Z51" s="58">
        <f>SUMIF('Balance Sheet Source'!$A:$A,'2. Balance Sheet'!$AO51,'Balance Sheet Source'!Y:Y)/1000</f>
        <v>-63.029800000000009</v>
      </c>
      <c r="AA51" s="58">
        <f>SUMIF('Balance Sheet Source'!$A:$A,'2. Balance Sheet'!$AO51,'Balance Sheet Source'!Z:Z)/1000</f>
        <v>-160.47418000000002</v>
      </c>
      <c r="AB51" s="58">
        <f>SUMIF('Balance Sheet Source'!$A:$A,'2. Balance Sheet'!$AO51,'Balance Sheet Source'!AA:AA)/1000</f>
        <v>-234.54870000000003</v>
      </c>
      <c r="AC51" s="62">
        <f>SUMIF('Balance Sheet Source'!$A:$A,'2. Balance Sheet'!$AO51,'Balance Sheet Source'!AB:AB)/1000</f>
        <v>-156.42175</v>
      </c>
      <c r="AD51" s="58">
        <f>SUMIF('Balance Sheet Source'!$A:$A,'2. Balance Sheet'!$AO51,'Balance Sheet Source'!AC:AC)/1000</f>
        <v>-23.29466</v>
      </c>
      <c r="AE51" s="58">
        <f>SUMIF('Balance Sheet Source'!$A:$A,'2. Balance Sheet'!$AO51,'Balance Sheet Source'!AD:AD)/1000</f>
        <v>-2.5034500000000008</v>
      </c>
      <c r="AF51" s="58">
        <f>SUMIF('Balance Sheet Source'!$A:$A,'2. Balance Sheet'!$AO51,'Balance Sheet Source'!AE:AE)/1000</f>
        <v>53.587100000000007</v>
      </c>
      <c r="AG51" s="58">
        <f>SUMIF('Balance Sheet Source'!$A:$A,'2. Balance Sheet'!$AO51,'Balance Sheet Source'!AF:AF)/1000</f>
        <v>28.035470000000004</v>
      </c>
      <c r="AH51" s="58">
        <f>SUMIF('Balance Sheet Source'!$A:$A,'2. Balance Sheet'!$AO51,'Balance Sheet Source'!AG:AG)/1000</f>
        <v>89.664050000000003</v>
      </c>
      <c r="AI51" s="58">
        <f>SUMIF('Balance Sheet Source'!$A:$A,'2. Balance Sheet'!$AO51,'Balance Sheet Source'!AH:AH)/1000</f>
        <v>179.79604999999998</v>
      </c>
      <c r="AJ51" s="58">
        <f>SUMIF('Balance Sheet Source'!$A:$A,'2. Balance Sheet'!$AO51,'Balance Sheet Source'!AI:AI)/1000</f>
        <v>248.71119999999999</v>
      </c>
      <c r="AK51" s="58">
        <f>SUMIF('Balance Sheet Source'!$A:$A,'2. Balance Sheet'!$AO51,'Balance Sheet Source'!AJ:AJ)/1000</f>
        <v>228.79066999999998</v>
      </c>
      <c r="AL51" s="58">
        <f>SUMIF('Balance Sheet Source'!$A:$A,'2. Balance Sheet'!$AO51,'Balance Sheet Source'!AK:AK)/1000</f>
        <v>388.80502999999999</v>
      </c>
      <c r="AM51" s="62">
        <f>SUMIF('Balance Sheet Source'!$A:$A,'2. Balance Sheet'!$AO51,'Balance Sheet Source'!AL:AL)/1000</f>
        <v>390.13911999999999</v>
      </c>
      <c r="AO51" s="4" t="s">
        <v>61</v>
      </c>
    </row>
    <row r="52" spans="2:42" x14ac:dyDescent="0.2">
      <c r="B52" s="67" t="str">
        <f>+B48</f>
        <v>Equity</v>
      </c>
      <c r="C52" s="59"/>
      <c r="D52" s="59"/>
      <c r="E52" s="63">
        <f>SUM(E49:E51)</f>
        <v>603.63486999999998</v>
      </c>
      <c r="F52" s="60">
        <f t="shared" ref="F52:AM52" si="13">SUM(F49:F51)</f>
        <v>562.78057999999999</v>
      </c>
      <c r="G52" s="60">
        <f t="shared" si="13"/>
        <v>778.49259999999992</v>
      </c>
      <c r="H52" s="60">
        <f t="shared" si="13"/>
        <v>858.07641999999998</v>
      </c>
      <c r="I52" s="60">
        <f t="shared" si="13"/>
        <v>878.14868999999999</v>
      </c>
      <c r="J52" s="60">
        <f t="shared" si="13"/>
        <v>850.70808999999997</v>
      </c>
      <c r="K52" s="60">
        <f t="shared" si="13"/>
        <v>742.51752999999997</v>
      </c>
      <c r="L52" s="60">
        <f t="shared" si="13"/>
        <v>828.89860999999996</v>
      </c>
      <c r="M52" s="60">
        <f t="shared" si="13"/>
        <v>852.66588000000002</v>
      </c>
      <c r="N52" s="60">
        <f t="shared" si="13"/>
        <v>829.76062999999999</v>
      </c>
      <c r="O52" s="60">
        <f t="shared" si="13"/>
        <v>858.40224999999998</v>
      </c>
      <c r="P52" s="60">
        <f t="shared" si="13"/>
        <v>862.66603999999995</v>
      </c>
      <c r="Q52" s="63">
        <f t="shared" si="13"/>
        <v>931.49916000000019</v>
      </c>
      <c r="R52" s="60">
        <f t="shared" si="13"/>
        <v>889.13438000000019</v>
      </c>
      <c r="S52" s="60">
        <f t="shared" si="13"/>
        <v>870.16529000000014</v>
      </c>
      <c r="T52" s="60">
        <f t="shared" si="13"/>
        <v>788.07702000000018</v>
      </c>
      <c r="U52" s="60">
        <f t="shared" si="13"/>
        <v>864.44565000000023</v>
      </c>
      <c r="V52" s="60">
        <f t="shared" si="13"/>
        <v>805.30196000000024</v>
      </c>
      <c r="W52" s="60">
        <f t="shared" si="13"/>
        <v>836.97134000000017</v>
      </c>
      <c r="X52" s="60">
        <f t="shared" si="13"/>
        <v>755.53918000000021</v>
      </c>
      <c r="Y52" s="60">
        <f t="shared" si="13"/>
        <v>851.60354000000018</v>
      </c>
      <c r="Z52" s="60">
        <f t="shared" si="13"/>
        <v>868.46936000000017</v>
      </c>
      <c r="AA52" s="60">
        <f t="shared" si="13"/>
        <v>771.02498000000014</v>
      </c>
      <c r="AB52" s="60">
        <f t="shared" si="13"/>
        <v>696.95046000000013</v>
      </c>
      <c r="AC52" s="63">
        <f t="shared" si="13"/>
        <v>827.96843000000024</v>
      </c>
      <c r="AD52" s="60">
        <f t="shared" si="13"/>
        <v>804.6737700000001</v>
      </c>
      <c r="AE52" s="60">
        <f t="shared" si="13"/>
        <v>834.73742818181813</v>
      </c>
      <c r="AF52" s="60">
        <f t="shared" si="13"/>
        <v>899.74388636363631</v>
      </c>
      <c r="AG52" s="60">
        <f t="shared" si="13"/>
        <v>881.89482454545464</v>
      </c>
      <c r="AH52" s="60">
        <f t="shared" si="13"/>
        <v>951.04630272727252</v>
      </c>
      <c r="AI52" s="60">
        <f t="shared" si="13"/>
        <v>1048.6520009090909</v>
      </c>
      <c r="AJ52" s="60">
        <f t="shared" si="13"/>
        <v>1126.3688190909093</v>
      </c>
      <c r="AK52" s="60">
        <f t="shared" si="13"/>
        <v>1113.0476272727274</v>
      </c>
      <c r="AL52" s="60">
        <f t="shared" si="13"/>
        <v>1280.1322654545452</v>
      </c>
      <c r="AM52" s="63">
        <f t="shared" si="13"/>
        <v>1290.7899136363637</v>
      </c>
      <c r="AP52" s="89" t="s">
        <v>110</v>
      </c>
    </row>
    <row r="53" spans="2:42" ht="12" customHeight="1" x14ac:dyDescent="0.2">
      <c r="B53" s="25"/>
      <c r="E53" s="16"/>
      <c r="Q53" s="16"/>
      <c r="AC53" s="16"/>
      <c r="AM53" s="16"/>
    </row>
    <row r="54" spans="2:42" x14ac:dyDescent="0.2">
      <c r="B54" s="68" t="s">
        <v>111</v>
      </c>
      <c r="C54" s="69"/>
      <c r="D54" s="69"/>
      <c r="E54" s="70">
        <f t="shared" ref="E54:AM54" si="14">+E46+E52</f>
        <v>1298.0616599999998</v>
      </c>
      <c r="F54" s="71">
        <f t="shared" si="14"/>
        <v>1406.52844</v>
      </c>
      <c r="G54" s="71">
        <f t="shared" si="14"/>
        <v>1655.3842500000001</v>
      </c>
      <c r="H54" s="71">
        <f t="shared" si="14"/>
        <v>1713.72721</v>
      </c>
      <c r="I54" s="71">
        <f t="shared" si="14"/>
        <v>1751.8628199999998</v>
      </c>
      <c r="J54" s="71">
        <f t="shared" si="14"/>
        <v>1716.4596499999998</v>
      </c>
      <c r="K54" s="71">
        <f t="shared" si="14"/>
        <v>1781.8863999999999</v>
      </c>
      <c r="L54" s="71">
        <f t="shared" si="14"/>
        <v>1708.9774399999999</v>
      </c>
      <c r="M54" s="71">
        <f t="shared" si="14"/>
        <v>1775.35006</v>
      </c>
      <c r="N54" s="71">
        <f t="shared" si="14"/>
        <v>1894.1196</v>
      </c>
      <c r="O54" s="71">
        <f t="shared" si="14"/>
        <v>1747.9047700000001</v>
      </c>
      <c r="P54" s="71">
        <f t="shared" si="14"/>
        <v>1769.3373699999997</v>
      </c>
      <c r="Q54" s="70">
        <f t="shared" si="14"/>
        <v>1935.96839</v>
      </c>
      <c r="R54" s="71">
        <f t="shared" si="14"/>
        <v>1848.6480700000002</v>
      </c>
      <c r="S54" s="71">
        <f t="shared" si="14"/>
        <v>1746.6886300000001</v>
      </c>
      <c r="T54" s="71">
        <f t="shared" si="14"/>
        <v>1753.4837800000003</v>
      </c>
      <c r="U54" s="71">
        <f t="shared" si="14"/>
        <v>1661.5755900000001</v>
      </c>
      <c r="V54" s="71">
        <f t="shared" si="14"/>
        <v>1701.5942100000002</v>
      </c>
      <c r="W54" s="71">
        <f t="shared" si="14"/>
        <v>1760.5082000000002</v>
      </c>
      <c r="X54" s="71">
        <f t="shared" si="14"/>
        <v>1769.3353400000001</v>
      </c>
      <c r="Y54" s="71">
        <f t="shared" si="14"/>
        <v>1676.7611000000002</v>
      </c>
      <c r="Z54" s="71">
        <f t="shared" si="14"/>
        <v>1830.0887199999997</v>
      </c>
      <c r="AA54" s="71">
        <f t="shared" si="14"/>
        <v>1599.3605899999998</v>
      </c>
      <c r="AB54" s="71">
        <f t="shared" si="14"/>
        <v>1560.0466999999999</v>
      </c>
      <c r="AC54" s="70">
        <f t="shared" si="14"/>
        <v>1614.59313</v>
      </c>
      <c r="AD54" s="71">
        <f t="shared" si="14"/>
        <v>1594.6702799999998</v>
      </c>
      <c r="AE54" s="71">
        <f t="shared" si="14"/>
        <v>1614.5445999999997</v>
      </c>
      <c r="AF54" s="71">
        <f t="shared" si="14"/>
        <v>1702.1145999999997</v>
      </c>
      <c r="AG54" s="71">
        <f t="shared" si="14"/>
        <v>1726.5762500000001</v>
      </c>
      <c r="AH54" s="71">
        <f t="shared" si="14"/>
        <v>1690.1276199999998</v>
      </c>
      <c r="AI54" s="71">
        <f t="shared" si="14"/>
        <v>1866.2833499999997</v>
      </c>
      <c r="AJ54" s="71">
        <f t="shared" si="14"/>
        <v>1920.0751</v>
      </c>
      <c r="AK54" s="71">
        <f t="shared" si="14"/>
        <v>1960.29189</v>
      </c>
      <c r="AL54" s="71">
        <f t="shared" si="14"/>
        <v>2032.0328899999995</v>
      </c>
      <c r="AM54" s="70">
        <f t="shared" si="14"/>
        <v>2046.0167499999998</v>
      </c>
    </row>
    <row r="55" spans="2:42" s="39" customFormat="1" ht="11.25" hidden="1" outlineLevel="1" x14ac:dyDescent="0.2">
      <c r="B55" s="72" t="s">
        <v>112</v>
      </c>
      <c r="E55" s="74">
        <f>+E27-E54</f>
        <v>2.6000000025305781E-4</v>
      </c>
      <c r="F55" s="73">
        <f>+F27-F54</f>
        <v>2.0999999969717464E-4</v>
      </c>
      <c r="G55" s="73">
        <f>+G27-G54</f>
        <v>2.5999999979831045E-4</v>
      </c>
      <c r="H55" s="73">
        <f>+H27-H54</f>
        <v>2.6999999954568921E-4</v>
      </c>
      <c r="I55" s="73">
        <f>+I27-I54</f>
        <v>2.7000000000043656E-4</v>
      </c>
      <c r="J55" s="73">
        <f>+J27-J54</f>
        <v>2.9000000017731509E-4</v>
      </c>
      <c r="K55" s="73">
        <f>+K27-K54</f>
        <v>3.7999999995008693E-4</v>
      </c>
      <c r="L55" s="73">
        <f>+L27-L54</f>
        <v>2.9999999992469384E-4</v>
      </c>
      <c r="M55" s="73">
        <f>+M27-M54</f>
        <v>2.399999998488056E-4</v>
      </c>
      <c r="N55" s="73">
        <f>+N27-N54</f>
        <v>9.9999999747524271E-5</v>
      </c>
      <c r="O55" s="73">
        <f>+O27-O54</f>
        <v>2.9999999696883606E-5</v>
      </c>
      <c r="P55" s="73">
        <f>+P27-P54</f>
        <v>3.0000000379004632E-5</v>
      </c>
      <c r="Q55" s="74">
        <f>+Q27-Q54</f>
        <v>0</v>
      </c>
      <c r="R55" s="73">
        <f>+R27-R54</f>
        <v>-1.0000000202126103E-5</v>
      </c>
      <c r="S55" s="73">
        <f>+S27-S54</f>
        <v>-4.0000000353757059E-5</v>
      </c>
      <c r="T55" s="73">
        <f>+T27-T54</f>
        <v>-3.0000000833751983E-5</v>
      </c>
      <c r="U55" s="73">
        <f>+U27-U54</f>
        <v>-2.0000000404252205E-5</v>
      </c>
      <c r="V55" s="73">
        <f>+V27-V54</f>
        <v>-3.0000000606378308E-5</v>
      </c>
      <c r="W55" s="73">
        <f>+W27-W54</f>
        <v>-1.2000000060652383E-4</v>
      </c>
      <c r="X55" s="73">
        <f>+X27-X54</f>
        <v>-1.2000000015177648E-4</v>
      </c>
      <c r="Y55" s="73">
        <f>+Y27-Y54</f>
        <v>-6.0000000303261913E-5</v>
      </c>
      <c r="Z55" s="73">
        <f>+Z27-Z54</f>
        <v>-1.4000000010128133E-4</v>
      </c>
      <c r="AA55" s="73">
        <f>+AA27-AA54</f>
        <v>-1.8999999997504347E-4</v>
      </c>
      <c r="AB55" s="73">
        <f>+AB27-AB54</f>
        <v>-1.9000000020241714E-4</v>
      </c>
      <c r="AC55" s="74">
        <f>+AC27-AC54</f>
        <v>0</v>
      </c>
      <c r="AD55" s="73">
        <f>+AD27-AD54</f>
        <v>5.0000000101135811E-5</v>
      </c>
      <c r="AE55" s="73">
        <f>+AE27-AE54</f>
        <v>0</v>
      </c>
      <c r="AF55" s="73">
        <f>+AF27-AF54</f>
        <v>-9.9999997473787516E-6</v>
      </c>
      <c r="AG55" s="73">
        <f>+AG27-AG54</f>
        <v>0</v>
      </c>
      <c r="AH55" s="73">
        <f>+AH27-AH54</f>
        <v>8.0000000252766768E-5</v>
      </c>
      <c r="AI55" s="73">
        <f>+AI27-AI54</f>
        <v>1.2000000037915015E-4</v>
      </c>
      <c r="AJ55" s="73">
        <f>+AJ27-AJ54</f>
        <v>1.8999999997504347E-4</v>
      </c>
      <c r="AK55" s="73">
        <f>+AK27-AK54</f>
        <v>2.6000000025305781E-4</v>
      </c>
      <c r="AL55" s="73">
        <f>+AL27-AL54</f>
        <v>2.6000000025305781E-4</v>
      </c>
      <c r="AM55" s="74">
        <f>+AM27-AM54</f>
        <v>3.2000000010157237E-4</v>
      </c>
    </row>
    <row r="56" spans="2:42" ht="12" customHeight="1" collapsed="1" x14ac:dyDescent="0.2">
      <c r="B56" s="25"/>
      <c r="E56" s="16"/>
      <c r="Q56" s="16"/>
      <c r="AC56" s="16"/>
      <c r="AM56" s="16"/>
    </row>
    <row r="57" spans="2:42" x14ac:dyDescent="0.2">
      <c r="B57" s="26" t="s">
        <v>113</v>
      </c>
      <c r="E57" s="16"/>
      <c r="Q57" s="16"/>
      <c r="AC57" s="16"/>
      <c r="AM57" s="16"/>
    </row>
    <row r="58" spans="2:42" x14ac:dyDescent="0.2">
      <c r="B58" s="29" t="s">
        <v>100</v>
      </c>
      <c r="E58" s="61">
        <f>+E18</f>
        <v>878.06191999999999</v>
      </c>
      <c r="F58" s="57">
        <f>+F18</f>
        <v>989.74150999999983</v>
      </c>
      <c r="G58" s="57">
        <f>+G18</f>
        <v>1241.78973</v>
      </c>
      <c r="H58" s="57">
        <f>+H18</f>
        <v>1303.3377799999996</v>
      </c>
      <c r="I58" s="57">
        <f>+I18</f>
        <v>1344.6776099999997</v>
      </c>
      <c r="J58" s="57">
        <f>+J18</f>
        <v>1312.4537499999999</v>
      </c>
      <c r="K58" s="57">
        <f>+K18</f>
        <v>1381.0507699999998</v>
      </c>
      <c r="L58" s="57">
        <f>+L18</f>
        <v>1311.3620199999998</v>
      </c>
      <c r="M58" s="57">
        <f>+M18</f>
        <v>1380.9083899999998</v>
      </c>
      <c r="N58" s="57">
        <f>+N18</f>
        <v>1502.8851599999998</v>
      </c>
      <c r="O58" s="57">
        <f>+O18</f>
        <v>1359.8528899999999</v>
      </c>
      <c r="P58" s="57">
        <f>+P18</f>
        <v>1384.51701</v>
      </c>
      <c r="Q58" s="61">
        <f>+Q18</f>
        <v>1554.3219699999997</v>
      </c>
      <c r="R58" s="57">
        <f>+R18</f>
        <v>1470.1896999999999</v>
      </c>
      <c r="S58" s="57">
        <f>+S18</f>
        <v>1371.4339099999997</v>
      </c>
      <c r="T58" s="57">
        <f>+T18</f>
        <v>1381.4467099999995</v>
      </c>
      <c r="U58" s="57">
        <f>+U18</f>
        <v>1292.7193099999997</v>
      </c>
      <c r="V58" s="57">
        <f>+V18</f>
        <v>1335.9637799999996</v>
      </c>
      <c r="W58" s="57">
        <f>+W18</f>
        <v>1398.0702099999996</v>
      </c>
      <c r="X58" s="57">
        <f>+X18</f>
        <v>1410.07736</v>
      </c>
      <c r="Y58" s="57">
        <f>+Y18</f>
        <v>1320.7324799999999</v>
      </c>
      <c r="Z58" s="57">
        <f>+Z18</f>
        <v>1477.2839199999996</v>
      </c>
      <c r="AA58" s="57">
        <f>+AA18</f>
        <v>1249.7556699999998</v>
      </c>
      <c r="AB58" s="57">
        <f>+AB18</f>
        <v>1213.6343999999997</v>
      </c>
      <c r="AC58" s="61">
        <f>+AC18</f>
        <v>1271.3744599999998</v>
      </c>
      <c r="AD58" s="57">
        <f>+AD18</f>
        <v>1254.6558399999999</v>
      </c>
      <c r="AE58" s="57">
        <f>+AE18</f>
        <v>1277.7188199999998</v>
      </c>
      <c r="AF58" s="57">
        <f>+AF18</f>
        <v>1368.4952599999999</v>
      </c>
      <c r="AG58" s="57">
        <f>+AG18</f>
        <v>1396.1484600000001</v>
      </c>
      <c r="AH58" s="57">
        <f>+AH18</f>
        <v>1362.8869999999999</v>
      </c>
      <c r="AI58" s="57">
        <f>+AI18</f>
        <v>1542.22363</v>
      </c>
      <c r="AJ58" s="57">
        <f>+AJ18</f>
        <v>1599.24604</v>
      </c>
      <c r="AK58" s="57">
        <f>+AK18</f>
        <v>1642.6478500000001</v>
      </c>
      <c r="AL58" s="57">
        <f>+AL18</f>
        <v>1717.5668099999998</v>
      </c>
      <c r="AM58" s="61">
        <f>+AM18</f>
        <v>1734.7552599999999</v>
      </c>
    </row>
    <row r="59" spans="2:42" x14ac:dyDescent="0.2">
      <c r="B59" s="66" t="s">
        <v>106</v>
      </c>
      <c r="C59" s="11"/>
      <c r="D59" s="11"/>
      <c r="E59" s="62">
        <f t="shared" ref="E59:AM59" si="15">-E39</f>
        <v>-464.42678999999998</v>
      </c>
      <c r="F59" s="58">
        <f t="shared" si="15"/>
        <v>-620.74785999999995</v>
      </c>
      <c r="G59" s="58">
        <f t="shared" si="15"/>
        <v>-660.89165000000003</v>
      </c>
      <c r="H59" s="58">
        <f t="shared" si="15"/>
        <v>-646.65078999999992</v>
      </c>
      <c r="I59" s="58">
        <f t="shared" si="15"/>
        <v>-671.71412999999984</v>
      </c>
      <c r="J59" s="58">
        <f t="shared" si="15"/>
        <v>-670.75155999999993</v>
      </c>
      <c r="K59" s="58">
        <f t="shared" si="15"/>
        <v>-851.3688699999999</v>
      </c>
      <c r="L59" s="58">
        <f t="shared" si="15"/>
        <v>-699.07882999999993</v>
      </c>
      <c r="M59" s="58">
        <f t="shared" si="15"/>
        <v>-748.68417999999997</v>
      </c>
      <c r="N59" s="58">
        <f t="shared" si="15"/>
        <v>-897.35897</v>
      </c>
      <c r="O59" s="58">
        <f t="shared" si="15"/>
        <v>-729.50252</v>
      </c>
      <c r="P59" s="58">
        <f t="shared" si="15"/>
        <v>-753.6713299999999</v>
      </c>
      <c r="Q59" s="62">
        <f t="shared" si="15"/>
        <v>-858.46922999999992</v>
      </c>
      <c r="R59" s="58">
        <f t="shared" si="15"/>
        <v>-820.51369</v>
      </c>
      <c r="S59" s="58">
        <f t="shared" si="15"/>
        <v>-744.52334000000008</v>
      </c>
      <c r="T59" s="58">
        <f t="shared" si="15"/>
        <v>-840.40676000000008</v>
      </c>
      <c r="U59" s="58">
        <f t="shared" si="15"/>
        <v>-679.12993999999992</v>
      </c>
      <c r="V59" s="58">
        <f t="shared" si="15"/>
        <v>-785.29224999999985</v>
      </c>
      <c r="W59" s="58">
        <f t="shared" si="15"/>
        <v>-819.53685999999993</v>
      </c>
      <c r="X59" s="58">
        <f t="shared" si="15"/>
        <v>-916.79615999999987</v>
      </c>
      <c r="Y59" s="58">
        <f t="shared" si="15"/>
        <v>-735.15755999999988</v>
      </c>
      <c r="Z59" s="58">
        <f t="shared" si="15"/>
        <v>-878.61935999999969</v>
      </c>
      <c r="AA59" s="58">
        <f t="shared" si="15"/>
        <v>-752.33560999999963</v>
      </c>
      <c r="AB59" s="58">
        <f t="shared" si="15"/>
        <v>-794.09623999999974</v>
      </c>
      <c r="AC59" s="62">
        <f t="shared" si="15"/>
        <v>-724.62469999999973</v>
      </c>
      <c r="AD59" s="58">
        <f t="shared" si="15"/>
        <v>-734.99650999999972</v>
      </c>
      <c r="AE59" s="58">
        <f t="shared" si="15"/>
        <v>-731.80717181818147</v>
      </c>
      <c r="AF59" s="58">
        <f t="shared" si="15"/>
        <v>-761.37071363636335</v>
      </c>
      <c r="AG59" s="58">
        <f t="shared" si="15"/>
        <v>-810.68142545454532</v>
      </c>
      <c r="AH59" s="58">
        <f t="shared" si="15"/>
        <v>-712.08131727272712</v>
      </c>
      <c r="AI59" s="58">
        <f t="shared" si="15"/>
        <v>-797.63134909090888</v>
      </c>
      <c r="AJ59" s="58">
        <f t="shared" si="15"/>
        <v>-780.70628090909065</v>
      </c>
      <c r="AK59" s="58">
        <f t="shared" si="15"/>
        <v>-841.24426272727248</v>
      </c>
      <c r="AL59" s="58">
        <f t="shared" si="15"/>
        <v>-752.90062454545432</v>
      </c>
      <c r="AM59" s="62">
        <f t="shared" si="15"/>
        <v>-763.22683636363615</v>
      </c>
    </row>
    <row r="60" spans="2:42" x14ac:dyDescent="0.2">
      <c r="B60" s="67" t="str">
        <f>+B57</f>
        <v>Net Working Capital, Reported</v>
      </c>
      <c r="C60" s="59"/>
      <c r="D60" s="59"/>
      <c r="E60" s="63">
        <f>SUM(E58:E59)</f>
        <v>413.63513</v>
      </c>
      <c r="F60" s="60">
        <f t="shared" ref="F60:AM60" si="16">SUM(F58:F59)</f>
        <v>368.99364999999989</v>
      </c>
      <c r="G60" s="60">
        <f t="shared" si="16"/>
        <v>580.89807999999994</v>
      </c>
      <c r="H60" s="60">
        <f t="shared" si="16"/>
        <v>656.6869899999997</v>
      </c>
      <c r="I60" s="60">
        <f t="shared" si="16"/>
        <v>672.96347999999989</v>
      </c>
      <c r="J60" s="60">
        <f t="shared" si="16"/>
        <v>641.70218999999997</v>
      </c>
      <c r="K60" s="60">
        <f t="shared" si="16"/>
        <v>529.68189999999993</v>
      </c>
      <c r="L60" s="60">
        <f t="shared" si="16"/>
        <v>612.28318999999988</v>
      </c>
      <c r="M60" s="60">
        <f t="shared" si="16"/>
        <v>632.22420999999986</v>
      </c>
      <c r="N60" s="60">
        <f t="shared" si="16"/>
        <v>605.52618999999981</v>
      </c>
      <c r="O60" s="60">
        <f t="shared" si="16"/>
        <v>630.35036999999988</v>
      </c>
      <c r="P60" s="60">
        <f t="shared" si="16"/>
        <v>630.84568000000013</v>
      </c>
      <c r="Q60" s="63">
        <f t="shared" si="16"/>
        <v>695.85273999999981</v>
      </c>
      <c r="R60" s="60">
        <f t="shared" si="16"/>
        <v>649.67600999999991</v>
      </c>
      <c r="S60" s="60">
        <f t="shared" si="16"/>
        <v>626.91056999999967</v>
      </c>
      <c r="T60" s="60">
        <f t="shared" si="16"/>
        <v>541.03994999999941</v>
      </c>
      <c r="U60" s="60">
        <f t="shared" si="16"/>
        <v>613.5893699999998</v>
      </c>
      <c r="V60" s="60">
        <f t="shared" si="16"/>
        <v>550.67152999999973</v>
      </c>
      <c r="W60" s="60">
        <f t="shared" si="16"/>
        <v>578.5333499999997</v>
      </c>
      <c r="X60" s="60">
        <f t="shared" si="16"/>
        <v>493.28120000000013</v>
      </c>
      <c r="Y60" s="60">
        <f t="shared" si="16"/>
        <v>585.57492000000002</v>
      </c>
      <c r="Z60" s="60">
        <f t="shared" si="16"/>
        <v>598.66455999999994</v>
      </c>
      <c r="AA60" s="60">
        <f t="shared" si="16"/>
        <v>497.42006000000015</v>
      </c>
      <c r="AB60" s="60">
        <f t="shared" si="16"/>
        <v>419.53815999999995</v>
      </c>
      <c r="AC60" s="63">
        <f t="shared" si="16"/>
        <v>546.74976000000004</v>
      </c>
      <c r="AD60" s="60">
        <f t="shared" si="16"/>
        <v>519.65933000000018</v>
      </c>
      <c r="AE60" s="60">
        <f t="shared" si="16"/>
        <v>545.91164818181835</v>
      </c>
      <c r="AF60" s="60">
        <f t="shared" si="16"/>
        <v>607.12454636363657</v>
      </c>
      <c r="AG60" s="60">
        <f t="shared" si="16"/>
        <v>585.46703454545479</v>
      </c>
      <c r="AH60" s="60">
        <f t="shared" si="16"/>
        <v>650.80568272727282</v>
      </c>
      <c r="AI60" s="60">
        <f t="shared" si="16"/>
        <v>744.59228090909107</v>
      </c>
      <c r="AJ60" s="60">
        <f t="shared" si="16"/>
        <v>818.53975909090934</v>
      </c>
      <c r="AK60" s="60">
        <f t="shared" si="16"/>
        <v>801.40358727272758</v>
      </c>
      <c r="AL60" s="60">
        <f t="shared" si="16"/>
        <v>964.66618545454548</v>
      </c>
      <c r="AM60" s="63">
        <f t="shared" si="16"/>
        <v>971.52842363636375</v>
      </c>
    </row>
    <row r="61" spans="2:42" ht="12" customHeight="1" collapsed="1" x14ac:dyDescent="0.2">
      <c r="B61" s="25"/>
      <c r="E61" s="16"/>
      <c r="Q61" s="16"/>
      <c r="AC61" s="16"/>
      <c r="AM61" s="16"/>
    </row>
    <row r="62" spans="2:42" hidden="1" outlineLevel="1" x14ac:dyDescent="0.2">
      <c r="B62" s="26" t="s">
        <v>114</v>
      </c>
      <c r="E62" s="16"/>
      <c r="Q62" s="16"/>
      <c r="AC62" s="16"/>
      <c r="AM62" s="16"/>
    </row>
    <row r="63" spans="2:42" hidden="1" outlineLevel="1" x14ac:dyDescent="0.2">
      <c r="B63" s="29" t="s">
        <v>80</v>
      </c>
      <c r="E63" s="16"/>
      <c r="Q63" s="16"/>
      <c r="AC63" s="16"/>
      <c r="AM63" s="16"/>
    </row>
    <row r="64" spans="2:42" hidden="1" outlineLevel="1" x14ac:dyDescent="0.2">
      <c r="B64" s="30" t="s">
        <v>67</v>
      </c>
      <c r="E64" s="61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57">
        <v>0</v>
      </c>
      <c r="O64" s="57">
        <v>0</v>
      </c>
      <c r="P64" s="57">
        <v>0</v>
      </c>
      <c r="Q64" s="61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61">
        <v>0</v>
      </c>
      <c r="AD64" s="57">
        <v>0</v>
      </c>
      <c r="AE64" s="57">
        <v>0</v>
      </c>
      <c r="AF64" s="57">
        <v>0</v>
      </c>
      <c r="AG64" s="57">
        <v>0</v>
      </c>
      <c r="AH64" s="57">
        <v>0</v>
      </c>
      <c r="AI64" s="57">
        <v>0</v>
      </c>
      <c r="AJ64" s="57">
        <v>0</v>
      </c>
      <c r="AK64" s="57">
        <v>0</v>
      </c>
      <c r="AL64" s="57">
        <v>0</v>
      </c>
      <c r="AM64" s="61">
        <v>0</v>
      </c>
    </row>
    <row r="65" spans="2:39" hidden="1" outlineLevel="1" x14ac:dyDescent="0.2">
      <c r="B65" s="30" t="s">
        <v>67</v>
      </c>
      <c r="E65" s="61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57">
        <v>0</v>
      </c>
      <c r="L65" s="57">
        <v>0</v>
      </c>
      <c r="M65" s="57">
        <v>0</v>
      </c>
      <c r="N65" s="57">
        <v>0</v>
      </c>
      <c r="O65" s="57">
        <v>0</v>
      </c>
      <c r="P65" s="57">
        <v>0</v>
      </c>
      <c r="Q65" s="61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61">
        <v>0</v>
      </c>
      <c r="AD65" s="57">
        <v>0</v>
      </c>
      <c r="AE65" s="57">
        <v>0</v>
      </c>
      <c r="AF65" s="57">
        <v>0</v>
      </c>
      <c r="AG65" s="57">
        <v>0</v>
      </c>
      <c r="AH65" s="57">
        <v>0</v>
      </c>
      <c r="AI65" s="57">
        <v>0</v>
      </c>
      <c r="AJ65" s="57">
        <v>0</v>
      </c>
      <c r="AK65" s="57">
        <v>0</v>
      </c>
      <c r="AL65" s="57">
        <v>0</v>
      </c>
      <c r="AM65" s="61">
        <v>0</v>
      </c>
    </row>
    <row r="66" spans="2:39" hidden="1" outlineLevel="1" x14ac:dyDescent="0.2">
      <c r="B66" s="30" t="s">
        <v>67</v>
      </c>
      <c r="E66" s="61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57">
        <v>0</v>
      </c>
      <c r="L66" s="57">
        <v>0</v>
      </c>
      <c r="M66" s="57">
        <v>0</v>
      </c>
      <c r="N66" s="57">
        <v>0</v>
      </c>
      <c r="O66" s="57">
        <v>0</v>
      </c>
      <c r="P66" s="57">
        <v>0</v>
      </c>
      <c r="Q66" s="61">
        <v>0</v>
      </c>
      <c r="R66" s="57">
        <v>0</v>
      </c>
      <c r="S66" s="57">
        <v>0</v>
      </c>
      <c r="T66" s="57">
        <v>0</v>
      </c>
      <c r="U66" s="57">
        <v>0</v>
      </c>
      <c r="V66" s="57">
        <v>0</v>
      </c>
      <c r="W66" s="57">
        <v>0</v>
      </c>
      <c r="X66" s="57">
        <v>0</v>
      </c>
      <c r="Y66" s="57">
        <v>0</v>
      </c>
      <c r="Z66" s="57">
        <v>0</v>
      </c>
      <c r="AA66" s="57">
        <v>0</v>
      </c>
      <c r="AB66" s="57">
        <v>0</v>
      </c>
      <c r="AC66" s="61">
        <v>0</v>
      </c>
      <c r="AD66" s="57">
        <v>0</v>
      </c>
      <c r="AE66" s="57">
        <v>0</v>
      </c>
      <c r="AF66" s="57">
        <v>0</v>
      </c>
      <c r="AG66" s="57">
        <v>0</v>
      </c>
      <c r="AH66" s="57">
        <v>0</v>
      </c>
      <c r="AI66" s="57">
        <v>0</v>
      </c>
      <c r="AJ66" s="57">
        <v>0</v>
      </c>
      <c r="AK66" s="57">
        <v>0</v>
      </c>
      <c r="AL66" s="57">
        <v>0</v>
      </c>
      <c r="AM66" s="61">
        <v>0</v>
      </c>
    </row>
    <row r="67" spans="2:39" hidden="1" outlineLevel="1" x14ac:dyDescent="0.2">
      <c r="B67" s="75" t="s">
        <v>67</v>
      </c>
      <c r="C67" s="11"/>
      <c r="D67" s="11"/>
      <c r="E67" s="62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62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  <c r="AC67" s="62">
        <v>0</v>
      </c>
      <c r="AD67" s="58">
        <v>0</v>
      </c>
      <c r="AE67" s="58">
        <v>0</v>
      </c>
      <c r="AF67" s="58">
        <v>0</v>
      </c>
      <c r="AG67" s="58">
        <v>0</v>
      </c>
      <c r="AH67" s="58">
        <v>0</v>
      </c>
      <c r="AI67" s="58">
        <v>0</v>
      </c>
      <c r="AJ67" s="58">
        <v>0</v>
      </c>
      <c r="AK67" s="58">
        <v>0</v>
      </c>
      <c r="AL67" s="58">
        <v>0</v>
      </c>
      <c r="AM67" s="62">
        <v>0</v>
      </c>
    </row>
    <row r="68" spans="2:39" collapsed="1" x14ac:dyDescent="0.2">
      <c r="B68" s="68" t="str">
        <f>+B62</f>
        <v>NWC, Adjusted</v>
      </c>
      <c r="C68" s="69"/>
      <c r="D68" s="69"/>
      <c r="E68" s="70">
        <f>+E60+SUM(E64:E67)</f>
        <v>413.63513</v>
      </c>
      <c r="F68" s="71">
        <f t="shared" ref="F68:AM68" si="17">+F60+SUM(F64:F67)</f>
        <v>368.99364999999989</v>
      </c>
      <c r="G68" s="71">
        <f t="shared" si="17"/>
        <v>580.89807999999994</v>
      </c>
      <c r="H68" s="71">
        <f t="shared" si="17"/>
        <v>656.6869899999997</v>
      </c>
      <c r="I68" s="71">
        <f t="shared" si="17"/>
        <v>672.96347999999989</v>
      </c>
      <c r="J68" s="71">
        <f t="shared" si="17"/>
        <v>641.70218999999997</v>
      </c>
      <c r="K68" s="71">
        <f t="shared" si="17"/>
        <v>529.68189999999993</v>
      </c>
      <c r="L68" s="71">
        <f t="shared" si="17"/>
        <v>612.28318999999988</v>
      </c>
      <c r="M68" s="71">
        <f t="shared" si="17"/>
        <v>632.22420999999986</v>
      </c>
      <c r="N68" s="71">
        <f t="shared" si="17"/>
        <v>605.52618999999981</v>
      </c>
      <c r="O68" s="71">
        <f t="shared" si="17"/>
        <v>630.35036999999988</v>
      </c>
      <c r="P68" s="71">
        <f t="shared" si="17"/>
        <v>630.84568000000013</v>
      </c>
      <c r="Q68" s="70">
        <f t="shared" si="17"/>
        <v>695.85273999999981</v>
      </c>
      <c r="R68" s="71">
        <f t="shared" si="17"/>
        <v>649.67600999999991</v>
      </c>
      <c r="S68" s="71">
        <f t="shared" si="17"/>
        <v>626.91056999999967</v>
      </c>
      <c r="T68" s="71">
        <f t="shared" si="17"/>
        <v>541.03994999999941</v>
      </c>
      <c r="U68" s="71">
        <f t="shared" si="17"/>
        <v>613.5893699999998</v>
      </c>
      <c r="V68" s="71">
        <f t="shared" si="17"/>
        <v>550.67152999999973</v>
      </c>
      <c r="W68" s="71">
        <f t="shared" si="17"/>
        <v>578.5333499999997</v>
      </c>
      <c r="X68" s="71">
        <f t="shared" si="17"/>
        <v>493.28120000000013</v>
      </c>
      <c r="Y68" s="71">
        <f t="shared" si="17"/>
        <v>585.57492000000002</v>
      </c>
      <c r="Z68" s="71">
        <f t="shared" si="17"/>
        <v>598.66455999999994</v>
      </c>
      <c r="AA68" s="71">
        <f t="shared" si="17"/>
        <v>497.42006000000015</v>
      </c>
      <c r="AB68" s="71">
        <f t="shared" si="17"/>
        <v>419.53815999999995</v>
      </c>
      <c r="AC68" s="70">
        <f t="shared" si="17"/>
        <v>546.74976000000004</v>
      </c>
      <c r="AD68" s="71">
        <f t="shared" si="17"/>
        <v>519.65933000000018</v>
      </c>
      <c r="AE68" s="71">
        <f t="shared" si="17"/>
        <v>545.91164818181835</v>
      </c>
      <c r="AF68" s="71">
        <f t="shared" si="17"/>
        <v>607.12454636363657</v>
      </c>
      <c r="AG68" s="71">
        <f t="shared" si="17"/>
        <v>585.46703454545479</v>
      </c>
      <c r="AH68" s="71">
        <f t="shared" si="17"/>
        <v>650.80568272727282</v>
      </c>
      <c r="AI68" s="71">
        <f t="shared" si="17"/>
        <v>744.59228090909107</v>
      </c>
      <c r="AJ68" s="71">
        <f t="shared" si="17"/>
        <v>818.53975909090934</v>
      </c>
      <c r="AK68" s="71">
        <f t="shared" si="17"/>
        <v>801.40358727272758</v>
      </c>
      <c r="AL68" s="71">
        <f t="shared" si="17"/>
        <v>964.66618545454548</v>
      </c>
      <c r="AM68" s="70">
        <f t="shared" si="17"/>
        <v>971.52842363636375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035B-8AE1-4EA4-904B-5A96F40DA629}">
  <dimension ref="A1:AS39"/>
  <sheetViews>
    <sheetView showGridLines="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5" sqref="B5"/>
    </sheetView>
  </sheetViews>
  <sheetFormatPr defaultRowHeight="12" outlineLevelRow="1" outlineLevelCol="1" x14ac:dyDescent="0.2"/>
  <cols>
    <col min="1" max="1" width="1.7109375" style="89" customWidth="1"/>
    <col min="2" max="2" width="21.42578125" style="89" customWidth="1"/>
    <col min="3" max="4" width="9.140625" style="89"/>
    <col min="5" max="16" width="7.7109375" style="91" hidden="1" customWidth="1" outlineLevel="1"/>
    <col min="17" max="17" width="7.7109375" style="91" customWidth="1" collapsed="1"/>
    <col min="18" max="29" width="7.7109375" style="91" hidden="1" customWidth="1" outlineLevel="1"/>
    <col min="30" max="30" width="7.7109375" style="91" customWidth="1" collapsed="1"/>
    <col min="31" max="40" width="7.7109375" style="91" customWidth="1" outlineLevel="1"/>
    <col min="41" max="42" width="7.7109375" style="91" customWidth="1"/>
    <col min="43" max="43" width="9.140625" style="91"/>
    <col min="44" max="44" width="0" style="91" hidden="1" customWidth="1" outlineLevel="1"/>
    <col min="45" max="45" width="9.140625" style="91" collapsed="1"/>
    <col min="46" max="16384" width="9.140625" style="91"/>
  </cols>
  <sheetData>
    <row r="1" spans="2:44" s="89" customFormat="1" x14ac:dyDescent="0.2"/>
    <row r="2" spans="2:44" s="89" customFormat="1" x14ac:dyDescent="0.2"/>
    <row r="3" spans="2:44" s="89" customFormat="1" ht="12.75" thickBot="1" x14ac:dyDescent="0.25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</row>
    <row r="4" spans="2:44" s="89" customFormat="1" x14ac:dyDescent="0.2"/>
    <row r="5" spans="2:44" s="89" customFormat="1" x14ac:dyDescent="0.2">
      <c r="B5" s="2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 t="s">
        <v>63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6" t="s">
        <v>63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6" t="s">
        <v>64</v>
      </c>
      <c r="AP5" s="36" t="s">
        <v>65</v>
      </c>
    </row>
    <row r="6" spans="2:44" s="89" customFormat="1" x14ac:dyDescent="0.2">
      <c r="B6" s="24" t="s">
        <v>68</v>
      </c>
      <c r="C6" s="5"/>
      <c r="D6" s="5"/>
      <c r="E6" s="7">
        <v>44957</v>
      </c>
      <c r="F6" s="7">
        <f>EOMONTH(E6,1)</f>
        <v>44985</v>
      </c>
      <c r="G6" s="7">
        <f t="shared" ref="G6:P6" si="0">EOMONTH(F6,1)</f>
        <v>45016</v>
      </c>
      <c r="H6" s="7">
        <f t="shared" si="0"/>
        <v>45046</v>
      </c>
      <c r="I6" s="7">
        <f t="shared" si="0"/>
        <v>45077</v>
      </c>
      <c r="J6" s="7">
        <f t="shared" si="0"/>
        <v>45107</v>
      </c>
      <c r="K6" s="7">
        <f t="shared" si="0"/>
        <v>45138</v>
      </c>
      <c r="L6" s="7">
        <f t="shared" si="0"/>
        <v>45169</v>
      </c>
      <c r="M6" s="7">
        <f t="shared" si="0"/>
        <v>45199</v>
      </c>
      <c r="N6" s="7">
        <f t="shared" si="0"/>
        <v>45230</v>
      </c>
      <c r="O6" s="7">
        <f t="shared" si="0"/>
        <v>45260</v>
      </c>
      <c r="P6" s="7">
        <f t="shared" si="0"/>
        <v>45291</v>
      </c>
      <c r="Q6" s="6">
        <f>YEAR(P6)</f>
        <v>2023</v>
      </c>
      <c r="R6" s="7">
        <f>EOMONTH(P6,1)</f>
        <v>45322</v>
      </c>
      <c r="S6" s="7">
        <f>EOMONTH(R6,1)</f>
        <v>45351</v>
      </c>
      <c r="T6" s="7">
        <f t="shared" ref="T6:AC6" si="1">EOMONTH(S6,1)</f>
        <v>45382</v>
      </c>
      <c r="U6" s="7">
        <f t="shared" si="1"/>
        <v>45412</v>
      </c>
      <c r="V6" s="7">
        <f t="shared" si="1"/>
        <v>45443</v>
      </c>
      <c r="W6" s="7">
        <f t="shared" si="1"/>
        <v>45473</v>
      </c>
      <c r="X6" s="7">
        <f t="shared" si="1"/>
        <v>45504</v>
      </c>
      <c r="Y6" s="7">
        <f t="shared" si="1"/>
        <v>45535</v>
      </c>
      <c r="Z6" s="7">
        <f t="shared" si="1"/>
        <v>45565</v>
      </c>
      <c r="AA6" s="7">
        <f t="shared" si="1"/>
        <v>45596</v>
      </c>
      <c r="AB6" s="7">
        <f t="shared" si="1"/>
        <v>45626</v>
      </c>
      <c r="AC6" s="7">
        <f t="shared" si="1"/>
        <v>45657</v>
      </c>
      <c r="AD6" s="6">
        <f>YEAR(AC6)</f>
        <v>2024</v>
      </c>
      <c r="AE6" s="7">
        <f>EOMONTH(AC6,1)</f>
        <v>45688</v>
      </c>
      <c r="AF6" s="7">
        <f>EOMONTH(AE6,1)</f>
        <v>45716</v>
      </c>
      <c r="AG6" s="7">
        <f t="shared" ref="AG6:AN6" si="2">EOMONTH(AF6,1)</f>
        <v>45747</v>
      </c>
      <c r="AH6" s="7">
        <f t="shared" si="2"/>
        <v>45777</v>
      </c>
      <c r="AI6" s="7">
        <f t="shared" si="2"/>
        <v>45808</v>
      </c>
      <c r="AJ6" s="7">
        <f t="shared" si="2"/>
        <v>45838</v>
      </c>
      <c r="AK6" s="7">
        <f t="shared" si="2"/>
        <v>45869</v>
      </c>
      <c r="AL6" s="7">
        <f t="shared" si="2"/>
        <v>45900</v>
      </c>
      <c r="AM6" s="7">
        <f t="shared" si="2"/>
        <v>45930</v>
      </c>
      <c r="AN6" s="7">
        <f t="shared" si="2"/>
        <v>45961</v>
      </c>
      <c r="AO6" s="8">
        <f>+AN6</f>
        <v>45961</v>
      </c>
      <c r="AP6" s="37">
        <f>+AO6</f>
        <v>45961</v>
      </c>
      <c r="AR6" s="89" t="s">
        <v>182</v>
      </c>
    </row>
    <row r="7" spans="2:44" s="89" customFormat="1" ht="5.0999999999999996" customHeight="1" x14ac:dyDescent="0.2">
      <c r="B7" s="101"/>
      <c r="Q7" s="97"/>
      <c r="AD7" s="97"/>
      <c r="AO7" s="97"/>
      <c r="AP7" s="97"/>
    </row>
    <row r="8" spans="2:44" s="89" customFormat="1" x14ac:dyDescent="0.2">
      <c r="B8" s="26" t="s">
        <v>179</v>
      </c>
      <c r="Q8" s="97"/>
      <c r="AD8" s="97"/>
      <c r="AO8" s="97"/>
      <c r="AP8" s="97"/>
    </row>
    <row r="9" spans="2:44" s="89" customFormat="1" x14ac:dyDescent="0.2">
      <c r="B9" s="87" t="s">
        <v>61</v>
      </c>
      <c r="E9" s="91">
        <f>+'1. Income Statement'!E107</f>
        <v>-40.854270000000014</v>
      </c>
      <c r="F9" s="91">
        <f>+'1. Income Statement'!F107</f>
        <v>215.71198999999999</v>
      </c>
      <c r="G9" s="91">
        <f>+'1. Income Statement'!G107</f>
        <v>79.583820000000017</v>
      </c>
      <c r="H9" s="91">
        <f>+'1. Income Statement'!H107</f>
        <v>20.072269999999968</v>
      </c>
      <c r="I9" s="91">
        <f>+'1. Income Statement'!I107</f>
        <v>-27.440590000000043</v>
      </c>
      <c r="J9" s="91">
        <f>+'1. Income Statement'!J107</f>
        <v>-108.19056999999997</v>
      </c>
      <c r="K9" s="91">
        <f>+'1. Income Statement'!K107</f>
        <v>86.381059999999991</v>
      </c>
      <c r="L9" s="91">
        <f>+'1. Income Statement'!L107</f>
        <v>23.767289999999967</v>
      </c>
      <c r="M9" s="91">
        <f>+'1. Income Statement'!M107</f>
        <v>-22.905290000000036</v>
      </c>
      <c r="N9" s="91">
        <f>+'1. Income Statement'!N107</f>
        <v>28.641609999999982</v>
      </c>
      <c r="O9" s="91">
        <f>+'1. Income Statement'!O107</f>
        <v>4.2637800000000059</v>
      </c>
      <c r="P9" s="91">
        <f>+'1. Income Statement'!P107</f>
        <v>20.309649999999941</v>
      </c>
      <c r="Q9" s="98">
        <f>SUM(E9:P9)</f>
        <v>279.34074999999973</v>
      </c>
      <c r="R9" s="91">
        <f>+'1. Income Statement'!R107</f>
        <v>-42.364779999999996</v>
      </c>
      <c r="S9" s="91">
        <f>+'1. Income Statement'!S107</f>
        <v>-18.96909000000003</v>
      </c>
      <c r="T9" s="91">
        <f>+'1. Income Statement'!T107</f>
        <v>-82.088270000000023</v>
      </c>
      <c r="U9" s="91">
        <f>+'1. Income Statement'!U107</f>
        <v>76.368650000000045</v>
      </c>
      <c r="V9" s="91">
        <f>+'1. Income Statement'!V107</f>
        <v>-59.143709999999984</v>
      </c>
      <c r="W9" s="91">
        <f>+'1. Income Statement'!W107</f>
        <v>31.669339999999988</v>
      </c>
      <c r="X9" s="91">
        <f>+'1. Income Statement'!X107</f>
        <v>-81.432159999999939</v>
      </c>
      <c r="Y9" s="91">
        <f>+'1. Income Statement'!Y107</f>
        <v>96.064380000000028</v>
      </c>
      <c r="Z9" s="91">
        <f>+'1. Income Statement'!Z107</f>
        <v>16.8658</v>
      </c>
      <c r="AA9" s="91">
        <f>+'1. Income Statement'!AA107</f>
        <v>-97.444390000000084</v>
      </c>
      <c r="AB9" s="91">
        <f>+'1. Income Statement'!AB107</f>
        <v>-74.074529999999953</v>
      </c>
      <c r="AC9" s="91">
        <f>+'1. Income Statement'!AC107</f>
        <v>78.126939999999976</v>
      </c>
      <c r="AD9" s="98">
        <f>SUM(R9:AC9)</f>
        <v>-156.42181999999997</v>
      </c>
      <c r="AE9" s="91">
        <f>+'1. Income Statement'!AE107</f>
        <v>-23.294669999999954</v>
      </c>
      <c r="AF9" s="91">
        <f>+'1. Income Statement'!AF107</f>
        <v>20.791189999999951</v>
      </c>
      <c r="AG9" s="91">
        <f>+'1. Income Statement'!AG107</f>
        <v>56.090549999999965</v>
      </c>
      <c r="AH9" s="91">
        <f>+'1. Income Statement'!AH107</f>
        <v>-25.551660000000062</v>
      </c>
      <c r="AI9" s="91">
        <f>+'1. Income Statement'!AI107</f>
        <v>61.628590000000045</v>
      </c>
      <c r="AJ9" s="91">
        <f>+'1. Income Statement'!AJ107</f>
        <v>90.131999999999906</v>
      </c>
      <c r="AK9" s="91">
        <f>+'1. Income Statement'!AK107</f>
        <v>68.915150000000011</v>
      </c>
      <c r="AL9" s="91">
        <f>+'1. Income Statement'!AL107</f>
        <v>-19.920499999999919</v>
      </c>
      <c r="AM9" s="91">
        <f>+'1. Income Statement'!AM107</f>
        <v>160.01436999999996</v>
      </c>
      <c r="AN9" s="91">
        <f>+'1. Income Statement'!AN107</f>
        <v>1.3341099999999999</v>
      </c>
      <c r="AO9" s="98">
        <f>SUM(AE9:AN9)</f>
        <v>390.13912999999991</v>
      </c>
      <c r="AP9" s="98">
        <f>SUM(AO9,AB9:AC9)</f>
        <v>394.19153999999992</v>
      </c>
    </row>
    <row r="10" spans="2:44" s="89" customFormat="1" ht="5.0999999999999996" customHeight="1" x14ac:dyDescent="0.2">
      <c r="B10" s="87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8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8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8"/>
      <c r="AP10" s="98"/>
    </row>
    <row r="11" spans="2:44" s="89" customFormat="1" x14ac:dyDescent="0.2">
      <c r="B11" s="102" t="s">
        <v>180</v>
      </c>
      <c r="Q11" s="97"/>
      <c r="AD11" s="97"/>
      <c r="AO11" s="97"/>
      <c r="AP11" s="97"/>
    </row>
    <row r="12" spans="2:44" s="89" customFormat="1" x14ac:dyDescent="0.2">
      <c r="B12" s="103" t="s">
        <v>55</v>
      </c>
      <c r="E12" s="91">
        <f>+'1. Income Statement'!E113</f>
        <v>3.21286</v>
      </c>
      <c r="F12" s="91">
        <f>+'1. Income Statement'!F113</f>
        <v>3.1923600000000003</v>
      </c>
      <c r="G12" s="91">
        <f>+'1. Income Statement'!G113</f>
        <v>3.2050799999999997</v>
      </c>
      <c r="H12" s="91">
        <f>+'1. Income Statement'!H113</f>
        <v>3.2042199999999998</v>
      </c>
      <c r="I12" s="91">
        <f>+'1. Income Statement'!I113</f>
        <v>3.1792899999999999</v>
      </c>
      <c r="J12" s="91">
        <f>+'1. Income Statement'!J113</f>
        <v>3.1701799999999998</v>
      </c>
      <c r="K12" s="91">
        <f>+'1. Income Statement'!K113</f>
        <v>3.2202899999999999</v>
      </c>
      <c r="L12" s="91">
        <f>+'1. Income Statement'!L113</f>
        <v>3.17381</v>
      </c>
      <c r="M12" s="91">
        <f>+'1. Income Statement'!M113</f>
        <v>3.2073700000000001</v>
      </c>
      <c r="N12" s="91">
        <f>+'1. Income Statement'!N113</f>
        <v>3.1826300000000001</v>
      </c>
      <c r="O12" s="91">
        <f>+'1. Income Statement'!O113</f>
        <v>3.2315200000000002</v>
      </c>
      <c r="P12" s="91">
        <f>+'1. Income Statement'!P113</f>
        <v>3.1739699999999997</v>
      </c>
      <c r="Q12" s="98">
        <f>SUM(E12:P12)</f>
        <v>38.353579999999994</v>
      </c>
      <c r="R12" s="91">
        <f>+'1. Income Statement'!R113</f>
        <v>3.1880600000000001</v>
      </c>
      <c r="S12" s="91">
        <f>+'1. Income Statement'!S113</f>
        <v>3.2036799999999999</v>
      </c>
      <c r="T12" s="91">
        <f>+'1. Income Statement'!T113</f>
        <v>3.2176399999999998</v>
      </c>
      <c r="U12" s="91">
        <f>+'1. Income Statement'!U113</f>
        <v>3.1807800000000004</v>
      </c>
      <c r="V12" s="91">
        <f>+'1. Income Statement'!V113</f>
        <v>3.2258599999999999</v>
      </c>
      <c r="W12" s="91">
        <f>+'1. Income Statement'!W113</f>
        <v>3.1925300000000001</v>
      </c>
      <c r="X12" s="91">
        <f>+'1. Income Statement'!X113</f>
        <v>3.1800100000000002</v>
      </c>
      <c r="Y12" s="91">
        <f>+'1. Income Statement'!Y113</f>
        <v>3.2293000000000003</v>
      </c>
      <c r="Z12" s="91">
        <f>+'1. Income Statement'!Z113</f>
        <v>3.2239</v>
      </c>
      <c r="AA12" s="91">
        <f>+'1. Income Statement'!AA113</f>
        <v>3.1999299999999997</v>
      </c>
      <c r="AB12" s="91">
        <f>+'1. Income Statement'!AB113</f>
        <v>3.1926199999999998</v>
      </c>
      <c r="AC12" s="91">
        <f>+'1. Income Statement'!AC113</f>
        <v>3.1934399999999998</v>
      </c>
      <c r="AD12" s="98">
        <f>SUM(R12:AC12)</f>
        <v>38.427750000000003</v>
      </c>
      <c r="AE12" s="91">
        <f>+'1. Income Statement'!AE113</f>
        <v>3.20418</v>
      </c>
      <c r="AF12" s="91">
        <f>+'1. Income Statement'!AF113</f>
        <v>3.1887099999999999</v>
      </c>
      <c r="AG12" s="91">
        <f>+'1. Income Statement'!AG113</f>
        <v>3.2064499999999998</v>
      </c>
      <c r="AH12" s="91">
        <f>+'1. Income Statement'!AH113</f>
        <v>3.1915399999999998</v>
      </c>
      <c r="AI12" s="91">
        <f>+'1. Income Statement'!AI113</f>
        <v>3.18709</v>
      </c>
      <c r="AJ12" s="91">
        <f>+'1. Income Statement'!AJ113</f>
        <v>3.18086</v>
      </c>
      <c r="AK12" s="91">
        <f>+'1. Income Statement'!AK113</f>
        <v>3.2305900000000003</v>
      </c>
      <c r="AL12" s="91">
        <f>+'1. Income Statement'!AL113</f>
        <v>3.1849499999999997</v>
      </c>
      <c r="AM12" s="91">
        <f>+'1. Income Statement'!AM113</f>
        <v>3.1779600000000001</v>
      </c>
      <c r="AN12" s="91">
        <f>+'1. Income Statement'!AN113</f>
        <v>3.2045300000000001</v>
      </c>
      <c r="AO12" s="98">
        <f>SUM(AE12:AN12)</f>
        <v>31.956859999999999</v>
      </c>
      <c r="AP12" s="98">
        <f>SUM(AO12,AB12:AC12)</f>
        <v>38.342919999999999</v>
      </c>
    </row>
    <row r="13" spans="2:44" s="89" customFormat="1" ht="12" customHeight="1" x14ac:dyDescent="0.2">
      <c r="B13" s="101"/>
      <c r="Q13" s="97"/>
      <c r="AD13" s="97"/>
      <c r="AO13" s="97"/>
      <c r="AP13" s="97"/>
    </row>
    <row r="14" spans="2:44" x14ac:dyDescent="0.2">
      <c r="B14" s="87" t="s">
        <v>181</v>
      </c>
      <c r="E14" s="91">
        <f>SUMIF('2. Balance Sheet'!$AP:$AP,'3. Cash Flow Statement'!$AR14,'2. Balance Sheet'!E:E)-SUMIF('2. Balance Sheet'!$AP:$AP,'3. Cash Flow Statement'!$AR14,'2. Balance Sheet'!F:F)</f>
        <v>-214.976</v>
      </c>
      <c r="F14" s="91">
        <f>SUMIF('2. Balance Sheet'!$AP:$AP,'3. Cash Flow Statement'!$AR14,'2. Balance Sheet'!F:F)-SUMIF('2. Balance Sheet'!$AP:$AP,'3. Cash Flow Statement'!$AR14,'2. Balance Sheet'!G:G)</f>
        <v>-114.11013000000003</v>
      </c>
      <c r="G14" s="91">
        <f>SUMIF('2. Balance Sheet'!$AP:$AP,'3. Cash Flow Statement'!$AR14,'2. Balance Sheet'!G:G)-SUMIF('2. Balance Sheet'!$AP:$AP,'3. Cash Flow Statement'!$AR14,'2. Balance Sheet'!H:H)</f>
        <v>-42.277949999999919</v>
      </c>
      <c r="H14" s="91">
        <f>SUMIF('2. Balance Sheet'!$AP:$AP,'3. Cash Flow Statement'!$AR14,'2. Balance Sheet'!H:H)-SUMIF('2. Balance Sheet'!$AP:$AP,'3. Cash Flow Statement'!$AR14,'2. Balance Sheet'!I:I)</f>
        <v>16.894249999999943</v>
      </c>
      <c r="I14" s="91">
        <f>SUMIF('2. Balance Sheet'!$AP:$AP,'3. Cash Flow Statement'!$AR14,'2. Balance Sheet'!I:I)-SUMIF('2. Balance Sheet'!$AP:$AP,'3. Cash Flow Statement'!$AR14,'2. Balance Sheet'!J:J)</f>
        <v>-99.388749999999959</v>
      </c>
      <c r="J14" s="91">
        <f>SUMIF('2. Balance Sheet'!$AP:$AP,'3. Cash Flow Statement'!$AR14,'2. Balance Sheet'!J:J)-SUMIF('2. Balance Sheet'!$AP:$AP,'3. Cash Flow Statement'!$AR14,'2. Balance Sheet'!K:K)</f>
        <v>-79.30147999999997</v>
      </c>
      <c r="K14" s="91">
        <f>SUMIF('2. Balance Sheet'!$AP:$AP,'3. Cash Flow Statement'!$AR14,'2. Balance Sheet'!K:K)-SUMIF('2. Balance Sheet'!$AP:$AP,'3. Cash Flow Statement'!$AR14,'2. Balance Sheet'!L:L)</f>
        <v>-25.867880000000014</v>
      </c>
      <c r="L14" s="91">
        <f>SUMIF('2. Balance Sheet'!$AP:$AP,'3. Cash Flow Statement'!$AR14,'2. Balance Sheet'!L:L)-SUMIF('2. Balance Sheet'!$AP:$AP,'3. Cash Flow Statement'!$AR14,'2. Balance Sheet'!M:M)</f>
        <v>197.37622999999996</v>
      </c>
      <c r="M14" s="91">
        <f>SUMIF('2. Balance Sheet'!$AP:$AP,'3. Cash Flow Statement'!$AR14,'2. Balance Sheet'!M:M)-SUMIF('2. Balance Sheet'!$AP:$AP,'3. Cash Flow Statement'!$AR14,'2. Balance Sheet'!N:N)</f>
        <v>-190.39436999999998</v>
      </c>
      <c r="N14" s="91">
        <f>SUMIF('2. Balance Sheet'!$AP:$AP,'3. Cash Flow Statement'!$AR14,'2. Balance Sheet'!N:N)-SUMIF('2. Balance Sheet'!$AP:$AP,'3. Cash Flow Statement'!$AR14,'2. Balance Sheet'!O:O)</f>
        <v>131.55628999999999</v>
      </c>
      <c r="O14" s="91">
        <f>SUMIF('2. Balance Sheet'!$AP:$AP,'3. Cash Flow Statement'!$AR14,'2. Balance Sheet'!O:O)-SUMIF('2. Balance Sheet'!$AP:$AP,'3. Cash Flow Statement'!$AR14,'2. Balance Sheet'!P:P)</f>
        <v>35.685490000000073</v>
      </c>
      <c r="P14" s="91">
        <f>SUMIF('2. Balance Sheet'!$AP:$AP,'3. Cash Flow Statement'!$AR14,'2. Balance Sheet'!P:P)-SUMIF('2. Balance Sheet'!$AP:$AP,'3. Cash Flow Statement'!$AR14,'2. Balance Sheet'!Q:Q)</f>
        <v>-94.546370000000024</v>
      </c>
      <c r="Q14" s="98">
        <f>SUM(E14:P14)</f>
        <v>-479.35066999999992</v>
      </c>
      <c r="R14" s="91">
        <f>SUMIF('2. Balance Sheet'!$AP:$AP,'3. Cash Flow Statement'!$AR14,'2. Balance Sheet'!Q:Q)-SUMIF('2. Balance Sheet'!$AP:$AP,'3. Cash Flow Statement'!$AR14,'2. Balance Sheet'!R:R)</f>
        <v>-8.6816700000000537</v>
      </c>
      <c r="S14" s="91">
        <f>SUMIF('2. Balance Sheet'!$AP:$AP,'3. Cash Flow Statement'!$AR14,'2. Balance Sheet'!R:R)-SUMIF('2. Balance Sheet'!$AP:$AP,'3. Cash Flow Statement'!$AR14,'2. Balance Sheet'!S:S)</f>
        <v>114.98924999999997</v>
      </c>
      <c r="T14" s="91">
        <f>SUMIF('2. Balance Sheet'!$AP:$AP,'3. Cash Flow Statement'!$AR14,'2. Balance Sheet'!S:S)-SUMIF('2. Balance Sheet'!$AP:$AP,'3. Cash Flow Statement'!$AR14,'2. Balance Sheet'!T:T)</f>
        <v>-65.79553999999996</v>
      </c>
      <c r="U14" s="91">
        <f>SUMIF('2. Balance Sheet'!$AP:$AP,'3. Cash Flow Statement'!$AR14,'2. Balance Sheet'!T:T)-SUMIF('2. Balance Sheet'!$AP:$AP,'3. Cash Flow Statement'!$AR14,'2. Balance Sheet'!U:U)</f>
        <v>-3.3312500000000682</v>
      </c>
      <c r="V14" s="91">
        <f>SUMIF('2. Balance Sheet'!$AP:$AP,'3. Cash Flow Statement'!$AR14,'2. Balance Sheet'!U:U)-SUMIF('2. Balance Sheet'!$AP:$AP,'3. Cash Flow Statement'!$AR14,'2. Balance Sheet'!V:V)</f>
        <v>-131.67800999999997</v>
      </c>
      <c r="W14" s="91">
        <f>SUMIF('2. Balance Sheet'!$AP:$AP,'3. Cash Flow Statement'!$AR14,'2. Balance Sheet'!V:V)-SUMIF('2. Balance Sheet'!$AP:$AP,'3. Cash Flow Statement'!$AR14,'2. Balance Sheet'!W:W)</f>
        <v>29.306780000000003</v>
      </c>
      <c r="X14" s="91">
        <f>SUMIF('2. Balance Sheet'!$AP:$AP,'3. Cash Flow Statement'!$AR14,'2. Balance Sheet'!W:W)-SUMIF('2. Balance Sheet'!$AP:$AP,'3. Cash Flow Statement'!$AR14,'2. Balance Sheet'!X:X)</f>
        <v>23.13463999999999</v>
      </c>
      <c r="Y14" s="91">
        <f>SUMIF('2. Balance Sheet'!$AP:$AP,'3. Cash Flow Statement'!$AR14,'2. Balance Sheet'!X:X)-SUMIF('2. Balance Sheet'!$AP:$AP,'3. Cash Flow Statement'!$AR14,'2. Balance Sheet'!Y:Y)</f>
        <v>-10.542739999999981</v>
      </c>
      <c r="Z14" s="91">
        <f>SUMIF('2. Balance Sheet'!$AP:$AP,'3. Cash Flow Statement'!$AR14,'2. Balance Sheet'!Y:Y)-SUMIF('2. Balance Sheet'!$AP:$AP,'3. Cash Flow Statement'!$AR14,'2. Balance Sheet'!Z:Z)</f>
        <v>-107.09596999999997</v>
      </c>
      <c r="AA14" s="91">
        <f>SUMIF('2. Balance Sheet'!$AP:$AP,'3. Cash Flow Statement'!$AR14,'2. Balance Sheet'!Z:Z)-SUMIF('2. Balance Sheet'!$AP:$AP,'3. Cash Flow Statement'!$AR14,'2. Balance Sheet'!AA:AA)</f>
        <v>66.819619999999986</v>
      </c>
      <c r="AB14" s="91">
        <f>SUMIF('2. Balance Sheet'!$AP:$AP,'3. Cash Flow Statement'!$AR14,'2. Balance Sheet'!AA:AA)-SUMIF('2. Balance Sheet'!$AP:$AP,'3. Cash Flow Statement'!$AR14,'2. Balance Sheet'!AB:AB)</f>
        <v>27.728540000000066</v>
      </c>
      <c r="AC14" s="91">
        <f>SUMIF('2. Balance Sheet'!$AP:$AP,'3. Cash Flow Statement'!$AR14,'2. Balance Sheet'!AB:AB)-SUMIF('2. Balance Sheet'!$AP:$AP,'3. Cash Flow Statement'!$AR14,'2. Balance Sheet'!AC:AC)</f>
        <v>91.027979999999957</v>
      </c>
      <c r="AD14" s="98">
        <f>SUM(R14:AC14)</f>
        <v>25.881629999999973</v>
      </c>
      <c r="AE14" s="91">
        <f>SUMIF('2. Balance Sheet'!$AP:$AP,'3. Cash Flow Statement'!$AR14,'2. Balance Sheet'!AC:AC)-SUMIF('2. Balance Sheet'!$AP:$AP,'3. Cash Flow Statement'!$AR14,'2. Balance Sheet'!AD:AD)</f>
        <v>70.814300000000003</v>
      </c>
      <c r="AF14" s="91">
        <f>SUMIF('2. Balance Sheet'!$AP:$AP,'3. Cash Flow Statement'!$AR14,'2. Balance Sheet'!AD:AD)-SUMIF('2. Balance Sheet'!$AP:$AP,'3. Cash Flow Statement'!$AR14,'2. Balance Sheet'!AE:AE)</f>
        <v>-93.204010000000039</v>
      </c>
      <c r="AG14" s="91">
        <f>SUMIF('2. Balance Sheet'!$AP:$AP,'3. Cash Flow Statement'!$AR14,'2. Balance Sheet'!AE:AE)-SUMIF('2. Balance Sheet'!$AP:$AP,'3. Cash Flow Statement'!$AR14,'2. Balance Sheet'!AF:AF)</f>
        <v>-78.852719999999977</v>
      </c>
      <c r="AH14" s="91">
        <f>SUMIF('2. Balance Sheet'!$AP:$AP,'3. Cash Flow Statement'!$AR14,'2. Balance Sheet'!AF:AF)-SUMIF('2. Balance Sheet'!$AP:$AP,'3. Cash Flow Statement'!$AR14,'2. Balance Sheet'!AG:AG)</f>
        <v>52.662140000000022</v>
      </c>
      <c r="AI14" s="91">
        <f>SUMIF('2. Balance Sheet'!$AP:$AP,'3. Cash Flow Statement'!$AR14,'2. Balance Sheet'!AG:AG)-SUMIF('2. Balance Sheet'!$AP:$AP,'3. Cash Flow Statement'!$AR14,'2. Balance Sheet'!AH:AH)</f>
        <v>28.010109999999941</v>
      </c>
      <c r="AJ14" s="91">
        <f>SUMIF('2. Balance Sheet'!$AP:$AP,'3. Cash Flow Statement'!$AR14,'2. Balance Sheet'!AH:AH)-SUMIF('2. Balance Sheet'!$AP:$AP,'3. Cash Flow Statement'!$AR14,'2. Balance Sheet'!AI:AI)</f>
        <v>-166.18459999999993</v>
      </c>
      <c r="AK14" s="91">
        <f>SUMIF('2. Balance Sheet'!$AP:$AP,'3. Cash Flow Statement'!$AR14,'2. Balance Sheet'!AI:AI)-SUMIF('2. Balance Sheet'!$AP:$AP,'3. Cash Flow Statement'!$AR14,'2. Balance Sheet'!AJ:AJ)</f>
        <v>85.429009999999835</v>
      </c>
      <c r="AL14" s="91">
        <f>SUMIF('2. Balance Sheet'!$AP:$AP,'3. Cash Flow Statement'!$AR14,'2. Balance Sheet'!AJ:AJ)-SUMIF('2. Balance Sheet'!$AP:$AP,'3. Cash Flow Statement'!$AR14,'2. Balance Sheet'!AK:AK)</f>
        <v>5.9055600000001505</v>
      </c>
      <c r="AM14" s="91">
        <f>SUMIF('2. Balance Sheet'!$AP:$AP,'3. Cash Flow Statement'!$AR14,'2. Balance Sheet'!AK:AK)-SUMIF('2. Balance Sheet'!$AP:$AP,'3. Cash Flow Statement'!$AR14,'2. Balance Sheet'!AL:AL)</f>
        <v>-24.761240000000043</v>
      </c>
      <c r="AN14" s="91">
        <f>SUMIF('2. Balance Sheet'!$AP:$AP,'3. Cash Flow Statement'!$AR14,'2. Balance Sheet'!AL:AL)-SUMIF('2. Balance Sheet'!$AP:$AP,'3. Cash Flow Statement'!$AR14,'2. Balance Sheet'!AM:AM)</f>
        <v>80.512879999999996</v>
      </c>
      <c r="AO14" s="98">
        <f>SUM(AE14:AN14)</f>
        <v>-39.668570000000045</v>
      </c>
      <c r="AP14" s="98">
        <f>SUM(AO14,AB14:AC14)</f>
        <v>79.087949999999978</v>
      </c>
      <c r="AR14" s="91" t="s">
        <v>183</v>
      </c>
    </row>
    <row r="15" spans="2:44" x14ac:dyDescent="0.2">
      <c r="B15" s="87" t="s">
        <v>187</v>
      </c>
      <c r="E15" s="91">
        <f>SUMIF('2. Balance Sheet'!$AP:$AP,'3. Cash Flow Statement'!$AR15,'2. Balance Sheet'!E:E)-SUMIF('2. Balance Sheet'!$AP:$AP,'3. Cash Flow Statement'!$AR15,'2. Balance Sheet'!F:F)</f>
        <v>-0.19449999999999079</v>
      </c>
      <c r="F15" s="91">
        <f>SUMIF('2. Balance Sheet'!$AP:$AP,'3. Cash Flow Statement'!$AR15,'2. Balance Sheet'!F:F)-SUMIF('2. Balance Sheet'!$AP:$AP,'3. Cash Flow Statement'!$AR15,'2. Balance Sheet'!G:G)</f>
        <v>-8.7899300000000125</v>
      </c>
      <c r="G15" s="91">
        <f>SUMIF('2. Balance Sheet'!$AP:$AP,'3. Cash Flow Statement'!$AR15,'2. Balance Sheet'!G:G)-SUMIF('2. Balance Sheet'!$AP:$AP,'3. Cash Flow Statement'!$AR15,'2. Balance Sheet'!H:H)</f>
        <v>8.7681299999999993</v>
      </c>
      <c r="H15" s="91">
        <f>SUMIF('2. Balance Sheet'!$AP:$AP,'3. Cash Flow Statement'!$AR15,'2. Balance Sheet'!H:H)-SUMIF('2. Balance Sheet'!$AP:$AP,'3. Cash Flow Statement'!$AR15,'2. Balance Sheet'!I:I)</f>
        <v>-11.683990000000009</v>
      </c>
      <c r="I15" s="91">
        <f>SUMIF('2. Balance Sheet'!$AP:$AP,'3. Cash Flow Statement'!$AR15,'2. Balance Sheet'!I:I)-SUMIF('2. Balance Sheet'!$AP:$AP,'3. Cash Flow Statement'!$AR15,'2. Balance Sheet'!J:J)</f>
        <v>12.010130000000018</v>
      </c>
      <c r="J15" s="91">
        <f>SUMIF('2. Balance Sheet'!$AP:$AP,'3. Cash Flow Statement'!$AR15,'2. Balance Sheet'!J:J)-SUMIF('2. Balance Sheet'!$AP:$AP,'3. Cash Flow Statement'!$AR15,'2. Balance Sheet'!K:K)</f>
        <v>-13.329840000000004</v>
      </c>
      <c r="K15" s="91">
        <f>SUMIF('2. Balance Sheet'!$AP:$AP,'3. Cash Flow Statement'!$AR15,'2. Balance Sheet'!K:K)-SUMIF('2. Balance Sheet'!$AP:$AP,'3. Cash Flow Statement'!$AR15,'2. Balance Sheet'!L:L)</f>
        <v>13.445569999999989</v>
      </c>
      <c r="L15" s="91">
        <f>SUMIF('2. Balance Sheet'!$AP:$AP,'3. Cash Flow Statement'!$AR15,'2. Balance Sheet'!L:L)-SUMIF('2. Balance Sheet'!$AP:$AP,'3. Cash Flow Statement'!$AR15,'2. Balance Sheet'!M:M)</f>
        <v>-3.551320000000004</v>
      </c>
      <c r="M15" s="91">
        <f>SUMIF('2. Balance Sheet'!$AP:$AP,'3. Cash Flow Statement'!$AR15,'2. Balance Sheet'!M:M)-SUMIF('2. Balance Sheet'!$AP:$AP,'3. Cash Flow Statement'!$AR15,'2. Balance Sheet'!N:N)</f>
        <v>-7.4040000000000106</v>
      </c>
      <c r="N15" s="91">
        <f>SUMIF('2. Balance Sheet'!$AP:$AP,'3. Cash Flow Statement'!$AR15,'2. Balance Sheet'!N:N)-SUMIF('2. Balance Sheet'!$AP:$AP,'3. Cash Flow Statement'!$AR15,'2. Balance Sheet'!O:O)</f>
        <v>4.0885199999999884</v>
      </c>
      <c r="O15" s="91">
        <f>SUMIF('2. Balance Sheet'!$AP:$AP,'3. Cash Flow Statement'!$AR15,'2. Balance Sheet'!O:O)-SUMIF('2. Balance Sheet'!$AP:$AP,'3. Cash Flow Statement'!$AR15,'2. Balance Sheet'!P:P)</f>
        <v>14.56559</v>
      </c>
      <c r="P15" s="91">
        <f>SUMIF('2. Balance Sheet'!$AP:$AP,'3. Cash Flow Statement'!$AR15,'2. Balance Sheet'!P:P)-SUMIF('2. Balance Sheet'!$AP:$AP,'3. Cash Flow Statement'!$AR15,'2. Balance Sheet'!Q:Q)</f>
        <v>-16.921980000000005</v>
      </c>
      <c r="Q15" s="98">
        <f>SUM(E15:P15)</f>
        <v>-8.9976200000000404</v>
      </c>
      <c r="R15" s="91">
        <f>SUMIF('2. Balance Sheet'!$AP:$AP,'3. Cash Flow Statement'!$AR15,'2. Balance Sheet'!Q:Q)-SUMIF('2. Balance Sheet'!$AP:$AP,'3. Cash Flow Statement'!$AR15,'2. Balance Sheet'!R:R)</f>
        <v>-7.1988199999999978</v>
      </c>
      <c r="S15" s="91">
        <f>SUMIF('2. Balance Sheet'!$AP:$AP,'3. Cash Flow Statement'!$AR15,'2. Balance Sheet'!R:R)-SUMIF('2. Balance Sheet'!$AP:$AP,'3. Cash Flow Statement'!$AR15,'2. Balance Sheet'!S:S)</f>
        <v>-0.67888000000000659</v>
      </c>
      <c r="T15" s="91">
        <f>SUMIF('2. Balance Sheet'!$AP:$AP,'3. Cash Flow Statement'!$AR15,'2. Balance Sheet'!S:S)-SUMIF('2. Balance Sheet'!$AP:$AP,'3. Cash Flow Statement'!$AR15,'2. Balance Sheet'!T:T)</f>
        <v>8.299430000000001</v>
      </c>
      <c r="U15" s="91">
        <f>SUMIF('2. Balance Sheet'!$AP:$AP,'3. Cash Flow Statement'!$AR15,'2. Balance Sheet'!T:T)-SUMIF('2. Balance Sheet'!$AP:$AP,'3. Cash Flow Statement'!$AR15,'2. Balance Sheet'!U:U)</f>
        <v>3.3482399999999899</v>
      </c>
      <c r="V15" s="91">
        <f>SUMIF('2. Balance Sheet'!$AP:$AP,'3. Cash Flow Statement'!$AR15,'2. Balance Sheet'!U:U)-SUMIF('2. Balance Sheet'!$AP:$AP,'3. Cash Flow Statement'!$AR15,'2. Balance Sheet'!V:V)</f>
        <v>-17.752020000000002</v>
      </c>
      <c r="W15" s="91">
        <f>SUMIF('2. Balance Sheet'!$AP:$AP,'3. Cash Flow Statement'!$AR15,'2. Balance Sheet'!V:V)-SUMIF('2. Balance Sheet'!$AP:$AP,'3. Cash Flow Statement'!$AR15,'2. Balance Sheet'!W:W)</f>
        <v>11.095219999999983</v>
      </c>
      <c r="X15" s="91">
        <f>SUMIF('2. Balance Sheet'!$AP:$AP,'3. Cash Flow Statement'!$AR15,'2. Balance Sheet'!W:W)-SUMIF('2. Balance Sheet'!$AP:$AP,'3. Cash Flow Statement'!$AR15,'2. Balance Sheet'!X:X)</f>
        <v>-4.0227699999999942</v>
      </c>
      <c r="Y15" s="91">
        <f>SUMIF('2. Balance Sheet'!$AP:$AP,'3. Cash Flow Statement'!$AR15,'2. Balance Sheet'!X:X)-SUMIF('2. Balance Sheet'!$AP:$AP,'3. Cash Flow Statement'!$AR15,'2. Balance Sheet'!Y:Y)</f>
        <v>20.251260000000002</v>
      </c>
      <c r="Z15" s="91">
        <f>SUMIF('2. Balance Sheet'!$AP:$AP,'3. Cash Flow Statement'!$AR15,'2. Balance Sheet'!Y:Y)-SUMIF('2. Balance Sheet'!$AP:$AP,'3. Cash Flow Statement'!$AR15,'2. Balance Sheet'!Z:Z)</f>
        <v>-30.931950000000015</v>
      </c>
      <c r="AA15" s="91">
        <f>SUMIF('2. Balance Sheet'!$AP:$AP,'3. Cash Flow Statement'!$AR15,'2. Balance Sheet'!Z:Z)-SUMIF('2. Balance Sheet'!$AP:$AP,'3. Cash Flow Statement'!$AR15,'2. Balance Sheet'!AA:AA)</f>
        <v>16.649649999999994</v>
      </c>
      <c r="AB15" s="91">
        <f>SUMIF('2. Balance Sheet'!$AP:$AP,'3. Cash Flow Statement'!$AR15,'2. Balance Sheet'!AA:AA)-SUMIF('2. Balance Sheet'!$AP:$AP,'3. Cash Flow Statement'!$AR15,'2. Balance Sheet'!AB:AB)</f>
        <v>-3.8727699999999885</v>
      </c>
      <c r="AC15" s="91">
        <f>SUMIF('2. Balance Sheet'!$AP:$AP,'3. Cash Flow Statement'!$AR15,'2. Balance Sheet'!AB:AB)-SUMIF('2. Balance Sheet'!$AP:$AP,'3. Cash Flow Statement'!$AR15,'2. Balance Sheet'!AC:AC)</f>
        <v>14.473010000000002</v>
      </c>
      <c r="AD15" s="98">
        <f>SUM(R15:AC15)</f>
        <v>9.6595999999999691</v>
      </c>
      <c r="AE15" s="91">
        <f>SUMIF('2. Balance Sheet'!$AP:$AP,'3. Cash Flow Statement'!$AR15,'2. Balance Sheet'!AC:AC)-SUMIF('2. Balance Sheet'!$AP:$AP,'3. Cash Flow Statement'!$AR15,'2. Balance Sheet'!AD:AD)</f>
        <v>-3.7605500000000092</v>
      </c>
      <c r="AF15" s="91">
        <f>SUMIF('2. Balance Sheet'!$AP:$AP,'3. Cash Flow Statement'!$AR15,'2. Balance Sheet'!AD:AD)-SUMIF('2. Balance Sheet'!$AP:$AP,'3. Cash Flow Statement'!$AR15,'2. Balance Sheet'!AE:AE)</f>
        <v>-12.042380000000009</v>
      </c>
      <c r="AG15" s="91">
        <f>SUMIF('2. Balance Sheet'!$AP:$AP,'3. Cash Flow Statement'!$AR15,'2. Balance Sheet'!AE:AE)-SUMIF('2. Balance Sheet'!$AP:$AP,'3. Cash Flow Statement'!$AR15,'2. Balance Sheet'!AF:AF)</f>
        <v>9.1097999999999928</v>
      </c>
      <c r="AH15" s="91">
        <f>SUMIF('2. Balance Sheet'!$AP:$AP,'3. Cash Flow Statement'!$AR15,'2. Balance Sheet'!AF:AF)-SUMIF('2. Balance Sheet'!$AP:$AP,'3. Cash Flow Statement'!$AR15,'2. Balance Sheet'!AG:AG)</f>
        <v>3.0716900000000038</v>
      </c>
      <c r="AI15" s="91">
        <f>SUMIF('2. Balance Sheet'!$AP:$AP,'3. Cash Flow Statement'!$AR15,'2. Balance Sheet'!AG:AG)-SUMIF('2. Balance Sheet'!$AP:$AP,'3. Cash Flow Statement'!$AR15,'2. Balance Sheet'!AH:AH)</f>
        <v>-5.6115400000000051</v>
      </c>
      <c r="AJ15" s="91">
        <f>SUMIF('2. Balance Sheet'!$AP:$AP,'3. Cash Flow Statement'!$AR15,'2. Balance Sheet'!AH:AH)-SUMIF('2. Balance Sheet'!$AP:$AP,'3. Cash Flow Statement'!$AR15,'2. Balance Sheet'!AI:AI)</f>
        <v>-10.981999999999999</v>
      </c>
      <c r="AK15" s="91">
        <f>SUMIF('2. Balance Sheet'!$AP:$AP,'3. Cash Flow Statement'!$AR15,'2. Balance Sheet'!AI:AI)-SUMIF('2. Balance Sheet'!$AP:$AP,'3. Cash Flow Statement'!$AR15,'2. Balance Sheet'!AJ:AJ)</f>
        <v>15.042599999999993</v>
      </c>
      <c r="AL15" s="91">
        <f>SUMIF('2. Balance Sheet'!$AP:$AP,'3. Cash Flow Statement'!$AR15,'2. Balance Sheet'!AJ:AJ)-SUMIF('2. Balance Sheet'!$AP:$AP,'3. Cash Flow Statement'!$AR15,'2. Balance Sheet'!AK:AK)</f>
        <v>-6.5656699999999972</v>
      </c>
      <c r="AM15" s="91">
        <f>SUMIF('2. Balance Sheet'!$AP:$AP,'3. Cash Flow Statement'!$AR15,'2. Balance Sheet'!AK:AK)-SUMIF('2. Balance Sheet'!$AP:$AP,'3. Cash Flow Statement'!$AR15,'2. Balance Sheet'!AL:AL)</f>
        <v>5.3153699999999873</v>
      </c>
      <c r="AN15" s="91">
        <f>SUMIF('2. Balance Sheet'!$AP:$AP,'3. Cash Flow Statement'!$AR15,'2. Balance Sheet'!AL:AL)-SUMIF('2. Balance Sheet'!$AP:$AP,'3. Cash Flow Statement'!$AR15,'2. Balance Sheet'!AM:AM)</f>
        <v>17.822620000000001</v>
      </c>
      <c r="AO15" s="98">
        <f>SUM(AE15:AN15)</f>
        <v>11.399939999999958</v>
      </c>
      <c r="AP15" s="98">
        <f>SUM(AO15,AB15:AC15)</f>
        <v>22.000179999999972</v>
      </c>
      <c r="AR15" s="91" t="s">
        <v>185</v>
      </c>
    </row>
    <row r="16" spans="2:44" x14ac:dyDescent="0.2">
      <c r="B16" s="87" t="s">
        <v>188</v>
      </c>
      <c r="E16" s="91">
        <f>SUMIF('2. Balance Sheet'!$AP:$AP,'3. Cash Flow Statement'!$AR16,'2. Balance Sheet'!E:E)-SUMIF('2. Balance Sheet'!$AP:$AP,'3. Cash Flow Statement'!$AR16,'2. Balance Sheet'!F:F)</f>
        <v>0</v>
      </c>
      <c r="F16" s="91">
        <f>SUMIF('2. Balance Sheet'!$AP:$AP,'3. Cash Flow Statement'!$AR16,'2. Balance Sheet'!F:F)-SUMIF('2. Balance Sheet'!$AP:$AP,'3. Cash Flow Statement'!$AR16,'2. Balance Sheet'!G:G)</f>
        <v>0</v>
      </c>
      <c r="G16" s="91">
        <f>SUMIF('2. Balance Sheet'!$AP:$AP,'3. Cash Flow Statement'!$AR16,'2. Balance Sheet'!G:G)-SUMIF('2. Balance Sheet'!$AP:$AP,'3. Cash Flow Statement'!$AR16,'2. Balance Sheet'!H:H)</f>
        <v>0</v>
      </c>
      <c r="H16" s="91">
        <f>SUMIF('2. Balance Sheet'!$AP:$AP,'3. Cash Flow Statement'!$AR16,'2. Balance Sheet'!H:H)-SUMIF('2. Balance Sheet'!$AP:$AP,'3. Cash Flow Statement'!$AR16,'2. Balance Sheet'!I:I)</f>
        <v>0</v>
      </c>
      <c r="I16" s="91">
        <f>SUMIF('2. Balance Sheet'!$AP:$AP,'3. Cash Flow Statement'!$AR16,'2. Balance Sheet'!I:I)-SUMIF('2. Balance Sheet'!$AP:$AP,'3. Cash Flow Statement'!$AR16,'2. Balance Sheet'!J:J)</f>
        <v>0</v>
      </c>
      <c r="J16" s="91">
        <f>SUMIF('2. Balance Sheet'!$AP:$AP,'3. Cash Flow Statement'!$AR16,'2. Balance Sheet'!J:J)-SUMIF('2. Balance Sheet'!$AP:$AP,'3. Cash Flow Statement'!$AR16,'2. Balance Sheet'!K:K)</f>
        <v>0</v>
      </c>
      <c r="K16" s="91">
        <f>SUMIF('2. Balance Sheet'!$AP:$AP,'3. Cash Flow Statement'!$AR16,'2. Balance Sheet'!K:K)-SUMIF('2. Balance Sheet'!$AP:$AP,'3. Cash Flow Statement'!$AR16,'2. Balance Sheet'!L:L)</f>
        <v>0</v>
      </c>
      <c r="L16" s="91">
        <f>SUMIF('2. Balance Sheet'!$AP:$AP,'3. Cash Flow Statement'!$AR16,'2. Balance Sheet'!L:L)-SUMIF('2. Balance Sheet'!$AP:$AP,'3. Cash Flow Statement'!$AR16,'2. Balance Sheet'!M:M)</f>
        <v>0</v>
      </c>
      <c r="M16" s="91">
        <f>SUMIF('2. Balance Sheet'!$AP:$AP,'3. Cash Flow Statement'!$AR16,'2. Balance Sheet'!M:M)-SUMIF('2. Balance Sheet'!$AP:$AP,'3. Cash Flow Statement'!$AR16,'2. Balance Sheet'!N:N)</f>
        <v>0</v>
      </c>
      <c r="N16" s="91">
        <f>SUMIF('2. Balance Sheet'!$AP:$AP,'3. Cash Flow Statement'!$AR16,'2. Balance Sheet'!N:N)-SUMIF('2. Balance Sheet'!$AP:$AP,'3. Cash Flow Statement'!$AR16,'2. Balance Sheet'!O:O)</f>
        <v>0</v>
      </c>
      <c r="O16" s="91">
        <f>SUMIF('2. Balance Sheet'!$AP:$AP,'3. Cash Flow Statement'!$AR16,'2. Balance Sheet'!O:O)-SUMIF('2. Balance Sheet'!$AP:$AP,'3. Cash Flow Statement'!$AR16,'2. Balance Sheet'!P:P)</f>
        <v>0</v>
      </c>
      <c r="P16" s="91">
        <f>SUMIF('2. Balance Sheet'!$AP:$AP,'3. Cash Flow Statement'!$AR16,'2. Balance Sheet'!P:P)-SUMIF('2. Balance Sheet'!$AP:$AP,'3. Cash Flow Statement'!$AR16,'2. Balance Sheet'!Q:Q)</f>
        <v>-48.523449999999997</v>
      </c>
      <c r="Q16" s="98">
        <f>SUM(E16:P16)</f>
        <v>-48.523449999999997</v>
      </c>
      <c r="R16" s="91">
        <f>SUMIF('2. Balance Sheet'!$AP:$AP,'3. Cash Flow Statement'!$AR16,'2. Balance Sheet'!Q:Q)-SUMIF('2. Balance Sheet'!$AP:$AP,'3. Cash Flow Statement'!$AR16,'2. Balance Sheet'!R:R)</f>
        <v>0</v>
      </c>
      <c r="S16" s="91">
        <f>SUMIF('2. Balance Sheet'!$AP:$AP,'3. Cash Flow Statement'!$AR16,'2. Balance Sheet'!R:R)-SUMIF('2. Balance Sheet'!$AP:$AP,'3. Cash Flow Statement'!$AR16,'2. Balance Sheet'!S:S)</f>
        <v>0</v>
      </c>
      <c r="T16" s="91">
        <f>SUMIF('2. Balance Sheet'!$AP:$AP,'3. Cash Flow Statement'!$AR16,'2. Balance Sheet'!S:S)-SUMIF('2. Balance Sheet'!$AP:$AP,'3. Cash Flow Statement'!$AR16,'2. Balance Sheet'!T:T)</f>
        <v>0</v>
      </c>
      <c r="U16" s="91">
        <f>SUMIF('2. Balance Sheet'!$AP:$AP,'3. Cash Flow Statement'!$AR16,'2. Balance Sheet'!T:T)-SUMIF('2. Balance Sheet'!$AP:$AP,'3. Cash Flow Statement'!$AR16,'2. Balance Sheet'!U:U)</f>
        <v>0</v>
      </c>
      <c r="V16" s="91">
        <f>SUMIF('2. Balance Sheet'!$AP:$AP,'3. Cash Flow Statement'!$AR16,'2. Balance Sheet'!U:U)-SUMIF('2. Balance Sheet'!$AP:$AP,'3. Cash Flow Statement'!$AR16,'2. Balance Sheet'!V:V)</f>
        <v>0</v>
      </c>
      <c r="W16" s="91">
        <f>SUMIF('2. Balance Sheet'!$AP:$AP,'3. Cash Flow Statement'!$AR16,'2. Balance Sheet'!V:V)-SUMIF('2. Balance Sheet'!$AP:$AP,'3. Cash Flow Statement'!$AR16,'2. Balance Sheet'!W:W)</f>
        <v>0</v>
      </c>
      <c r="X16" s="91">
        <f>SUMIF('2. Balance Sheet'!$AP:$AP,'3. Cash Flow Statement'!$AR16,'2. Balance Sheet'!W:W)-SUMIF('2. Balance Sheet'!$AP:$AP,'3. Cash Flow Statement'!$AR16,'2. Balance Sheet'!X:X)</f>
        <v>0</v>
      </c>
      <c r="Y16" s="91">
        <f>SUMIF('2. Balance Sheet'!$AP:$AP,'3. Cash Flow Statement'!$AR16,'2. Balance Sheet'!X:X)-SUMIF('2. Balance Sheet'!$AP:$AP,'3. Cash Flow Statement'!$AR16,'2. Balance Sheet'!Y:Y)</f>
        <v>0</v>
      </c>
      <c r="Z16" s="91">
        <f>SUMIF('2. Balance Sheet'!$AP:$AP,'3. Cash Flow Statement'!$AR16,'2. Balance Sheet'!Y:Y)-SUMIF('2. Balance Sheet'!$AP:$AP,'3. Cash Flow Statement'!$AR16,'2. Balance Sheet'!Z:Z)</f>
        <v>0</v>
      </c>
      <c r="AA16" s="91">
        <f>SUMIF('2. Balance Sheet'!$AP:$AP,'3. Cash Flow Statement'!$AR16,'2. Balance Sheet'!Z:Z)-SUMIF('2. Balance Sheet'!$AP:$AP,'3. Cash Flow Statement'!$AR16,'2. Balance Sheet'!AA:AA)</f>
        <v>0</v>
      </c>
      <c r="AB16" s="91">
        <f>SUMIF('2. Balance Sheet'!$AP:$AP,'3. Cash Flow Statement'!$AR16,'2. Balance Sheet'!AA:AA)-SUMIF('2. Balance Sheet'!$AP:$AP,'3. Cash Flow Statement'!$AR16,'2. Balance Sheet'!AB:AB)</f>
        <v>0</v>
      </c>
      <c r="AC16" s="91">
        <f>SUMIF('2. Balance Sheet'!$AP:$AP,'3. Cash Flow Statement'!$AR16,'2. Balance Sheet'!AB:AB)-SUMIF('2. Balance Sheet'!$AP:$AP,'3. Cash Flow Statement'!$AR16,'2. Balance Sheet'!AC:AC)</f>
        <v>-52.891229999999993</v>
      </c>
      <c r="AD16" s="98">
        <f>SUM(R16:AC16)</f>
        <v>-52.891229999999993</v>
      </c>
      <c r="AE16" s="91">
        <f>SUMIF('2. Balance Sheet'!$AP:$AP,'3. Cash Flow Statement'!$AR16,'2. Balance Sheet'!AC:AC)-SUMIF('2. Balance Sheet'!$AP:$AP,'3. Cash Flow Statement'!$AR16,'2. Balance Sheet'!AD:AD)</f>
        <v>0</v>
      </c>
      <c r="AF16" s="91">
        <f>SUMIF('2. Balance Sheet'!$AP:$AP,'3. Cash Flow Statement'!$AR16,'2. Balance Sheet'!AD:AD)-SUMIF('2. Balance Sheet'!$AP:$AP,'3. Cash Flow Statement'!$AR16,'2. Balance Sheet'!AE:AE)</f>
        <v>-9.4342000000000041</v>
      </c>
      <c r="AG16" s="91">
        <f>SUMIF('2. Balance Sheet'!$AP:$AP,'3. Cash Flow Statement'!$AR16,'2. Balance Sheet'!AE:AE)-SUMIF('2. Balance Sheet'!$AP:$AP,'3. Cash Flow Statement'!$AR16,'2. Balance Sheet'!AF:AF)</f>
        <v>-9.3461099999999959</v>
      </c>
      <c r="AH16" s="91">
        <f>SUMIF('2. Balance Sheet'!$AP:$AP,'3. Cash Flow Statement'!$AR16,'2. Balance Sheet'!AF:AF)-SUMIF('2. Balance Sheet'!$AP:$AP,'3. Cash Flow Statement'!$AR16,'2. Balance Sheet'!AG:AG)</f>
        <v>-8.0903700000000072</v>
      </c>
      <c r="AI16" s="91">
        <f>SUMIF('2. Balance Sheet'!$AP:$AP,'3. Cash Flow Statement'!$AR16,'2. Balance Sheet'!AG:AG)-SUMIF('2. Balance Sheet'!$AP:$AP,'3. Cash Flow Statement'!$AR16,'2. Balance Sheet'!AH:AH)</f>
        <v>-7.8027999999999906</v>
      </c>
      <c r="AJ16" s="91">
        <f>SUMIF('2. Balance Sheet'!$AP:$AP,'3. Cash Flow Statement'!$AR16,'2. Balance Sheet'!AH:AH)-SUMIF('2. Balance Sheet'!$AP:$AP,'3. Cash Flow Statement'!$AR16,'2. Balance Sheet'!AI:AI)</f>
        <v>-7.6539599999999837</v>
      </c>
      <c r="AK16" s="91">
        <f>SUMIF('2. Balance Sheet'!$AP:$AP,'3. Cash Flow Statement'!$AR16,'2. Balance Sheet'!AI:AI)-SUMIF('2. Balance Sheet'!$AP:$AP,'3. Cash Flow Statement'!$AR16,'2. Balance Sheet'!AJ:AJ)</f>
        <v>-9.0712599999999952</v>
      </c>
      <c r="AL16" s="91">
        <f>SUMIF('2. Balance Sheet'!$AP:$AP,'3. Cash Flow Statement'!$AR16,'2. Balance Sheet'!AJ:AJ)-SUMIF('2. Balance Sheet'!$AP:$AP,'3. Cash Flow Statement'!$AR16,'2. Balance Sheet'!AK:AK)</f>
        <v>-6.8061400000000276</v>
      </c>
      <c r="AM16" s="91">
        <f>SUMIF('2. Balance Sheet'!$AP:$AP,'3. Cash Flow Statement'!$AR16,'2. Balance Sheet'!AK:AK)-SUMIF('2. Balance Sheet'!$AP:$AP,'3. Cash Flow Statement'!$AR16,'2. Balance Sheet'!AL:AL)</f>
        <v>-7.2300400000000025</v>
      </c>
      <c r="AN16" s="91">
        <f>SUMIF('2. Balance Sheet'!$AP:$AP,'3. Cash Flow Statement'!$AR16,'2. Balance Sheet'!AL:AL)-SUMIF('2. Balance Sheet'!$AP:$AP,'3. Cash Flow Statement'!$AR16,'2. Balance Sheet'!AM:AM)</f>
        <v>-9.3943599999999776</v>
      </c>
      <c r="AO16" s="98">
        <f>SUM(AE16:AN16)</f>
        <v>-74.829239999999984</v>
      </c>
      <c r="AP16" s="98">
        <f>SUM(AO16,AB16:AC16)</f>
        <v>-127.72046999999998</v>
      </c>
      <c r="AR16" s="91" t="s">
        <v>186</v>
      </c>
    </row>
    <row r="17" spans="2:44" x14ac:dyDescent="0.2">
      <c r="B17" s="87" t="s">
        <v>189</v>
      </c>
      <c r="E17" s="91">
        <f>SUMIF('2. Balance Sheet'!$AP:$AP,'3. Cash Flow Statement'!$AR17,'2. Balance Sheet'!E:E)-SUMIF('2. Balance Sheet'!$AP:$AP,'3. Cash Flow Statement'!$AR17,'2. Balance Sheet'!F:F)</f>
        <v>0</v>
      </c>
      <c r="F17" s="91">
        <f>SUMIF('2. Balance Sheet'!$AP:$AP,'3. Cash Flow Statement'!$AR17,'2. Balance Sheet'!F:F)-SUMIF('2. Balance Sheet'!$AP:$AP,'3. Cash Flow Statement'!$AR17,'2. Balance Sheet'!G:G)</f>
        <v>0</v>
      </c>
      <c r="G17" s="91">
        <f>SUMIF('2. Balance Sheet'!$AP:$AP,'3. Cash Flow Statement'!$AR17,'2. Balance Sheet'!G:G)-SUMIF('2. Balance Sheet'!$AP:$AP,'3. Cash Flow Statement'!$AR17,'2. Balance Sheet'!H:H)</f>
        <v>0</v>
      </c>
      <c r="H17" s="91">
        <f>SUMIF('2. Balance Sheet'!$AP:$AP,'3. Cash Flow Statement'!$AR17,'2. Balance Sheet'!H:H)-SUMIF('2. Balance Sheet'!$AP:$AP,'3. Cash Flow Statement'!$AR17,'2. Balance Sheet'!I:I)</f>
        <v>0</v>
      </c>
      <c r="I17" s="91">
        <f>SUMIF('2. Balance Sheet'!$AP:$AP,'3. Cash Flow Statement'!$AR17,'2. Balance Sheet'!I:I)-SUMIF('2. Balance Sheet'!$AP:$AP,'3. Cash Flow Statement'!$AR17,'2. Balance Sheet'!J:J)</f>
        <v>0</v>
      </c>
      <c r="J17" s="91">
        <f>SUMIF('2. Balance Sheet'!$AP:$AP,'3. Cash Flow Statement'!$AR17,'2. Balance Sheet'!J:J)-SUMIF('2. Balance Sheet'!$AP:$AP,'3. Cash Flow Statement'!$AR17,'2. Balance Sheet'!K:K)</f>
        <v>0</v>
      </c>
      <c r="K17" s="91">
        <f>SUMIF('2. Balance Sheet'!$AP:$AP,'3. Cash Flow Statement'!$AR17,'2. Balance Sheet'!K:K)-SUMIF('2. Balance Sheet'!$AP:$AP,'3. Cash Flow Statement'!$AR17,'2. Balance Sheet'!L:L)</f>
        <v>0</v>
      </c>
      <c r="L17" s="91">
        <f>SUMIF('2. Balance Sheet'!$AP:$AP,'3. Cash Flow Statement'!$AR17,'2. Balance Sheet'!L:L)-SUMIF('2. Balance Sheet'!$AP:$AP,'3. Cash Flow Statement'!$AR17,'2. Balance Sheet'!M:M)</f>
        <v>0</v>
      </c>
      <c r="M17" s="91">
        <f>SUMIF('2. Balance Sheet'!$AP:$AP,'3. Cash Flow Statement'!$AR17,'2. Balance Sheet'!M:M)-SUMIF('2. Balance Sheet'!$AP:$AP,'3. Cash Flow Statement'!$AR17,'2. Balance Sheet'!N:N)</f>
        <v>0</v>
      </c>
      <c r="N17" s="91">
        <f>SUMIF('2. Balance Sheet'!$AP:$AP,'3. Cash Flow Statement'!$AR17,'2. Balance Sheet'!N:N)-SUMIF('2. Balance Sheet'!$AP:$AP,'3. Cash Flow Statement'!$AR17,'2. Balance Sheet'!O:O)</f>
        <v>0</v>
      </c>
      <c r="O17" s="91">
        <f>SUMIF('2. Balance Sheet'!$AP:$AP,'3. Cash Flow Statement'!$AR17,'2. Balance Sheet'!O:O)-SUMIF('2. Balance Sheet'!$AP:$AP,'3. Cash Flow Statement'!$AR17,'2. Balance Sheet'!P:P)</f>
        <v>0</v>
      </c>
      <c r="P17" s="91">
        <f>SUMIF('2. Balance Sheet'!$AP:$AP,'3. Cash Flow Statement'!$AR17,'2. Balance Sheet'!P:P)-SUMIF('2. Balance Sheet'!$AP:$AP,'3. Cash Flow Statement'!$AR17,'2. Balance Sheet'!Q:Q)</f>
        <v>0</v>
      </c>
      <c r="Q17" s="98">
        <f>SUM(E17:P17)</f>
        <v>0</v>
      </c>
      <c r="R17" s="91">
        <f>SUMIF('2. Balance Sheet'!$AP:$AP,'3. Cash Flow Statement'!$AR17,'2. Balance Sheet'!Q:Q)-SUMIF('2. Balance Sheet'!$AP:$AP,'3. Cash Flow Statement'!$AR17,'2. Balance Sheet'!R:R)</f>
        <v>0</v>
      </c>
      <c r="S17" s="91">
        <f>SUMIF('2. Balance Sheet'!$AP:$AP,'3. Cash Flow Statement'!$AR17,'2. Balance Sheet'!R:R)-SUMIF('2. Balance Sheet'!$AP:$AP,'3. Cash Flow Statement'!$AR17,'2. Balance Sheet'!S:S)</f>
        <v>0</v>
      </c>
      <c r="T17" s="91">
        <f>SUMIF('2. Balance Sheet'!$AP:$AP,'3. Cash Flow Statement'!$AR17,'2. Balance Sheet'!S:S)-SUMIF('2. Balance Sheet'!$AP:$AP,'3. Cash Flow Statement'!$AR17,'2. Balance Sheet'!T:T)</f>
        <v>0</v>
      </c>
      <c r="U17" s="91">
        <f>SUMIF('2. Balance Sheet'!$AP:$AP,'3. Cash Flow Statement'!$AR17,'2. Balance Sheet'!T:T)-SUMIF('2. Balance Sheet'!$AP:$AP,'3. Cash Flow Statement'!$AR17,'2. Balance Sheet'!U:U)</f>
        <v>0</v>
      </c>
      <c r="V17" s="91">
        <f>SUMIF('2. Balance Sheet'!$AP:$AP,'3. Cash Flow Statement'!$AR17,'2. Balance Sheet'!U:U)-SUMIF('2. Balance Sheet'!$AP:$AP,'3. Cash Flow Statement'!$AR17,'2. Balance Sheet'!V:V)</f>
        <v>0</v>
      </c>
      <c r="W17" s="91">
        <f>SUMIF('2. Balance Sheet'!$AP:$AP,'3. Cash Flow Statement'!$AR17,'2. Balance Sheet'!V:V)-SUMIF('2. Balance Sheet'!$AP:$AP,'3. Cash Flow Statement'!$AR17,'2. Balance Sheet'!W:W)</f>
        <v>0</v>
      </c>
      <c r="X17" s="91">
        <f>SUMIF('2. Balance Sheet'!$AP:$AP,'3. Cash Flow Statement'!$AR17,'2. Balance Sheet'!W:W)-SUMIF('2. Balance Sheet'!$AP:$AP,'3. Cash Flow Statement'!$AR17,'2. Balance Sheet'!X:X)</f>
        <v>0</v>
      </c>
      <c r="Y17" s="91">
        <f>SUMIF('2. Balance Sheet'!$AP:$AP,'3. Cash Flow Statement'!$AR17,'2. Balance Sheet'!X:X)-SUMIF('2. Balance Sheet'!$AP:$AP,'3. Cash Flow Statement'!$AR17,'2. Balance Sheet'!Y:Y)</f>
        <v>0</v>
      </c>
      <c r="Z17" s="91">
        <f>SUMIF('2. Balance Sheet'!$AP:$AP,'3. Cash Flow Statement'!$AR17,'2. Balance Sheet'!Y:Y)-SUMIF('2. Balance Sheet'!$AP:$AP,'3. Cash Flow Statement'!$AR17,'2. Balance Sheet'!Z:Z)</f>
        <v>0</v>
      </c>
      <c r="AA17" s="91">
        <f>SUMIF('2. Balance Sheet'!$AP:$AP,'3. Cash Flow Statement'!$AR17,'2. Balance Sheet'!Z:Z)-SUMIF('2. Balance Sheet'!$AP:$AP,'3. Cash Flow Statement'!$AR17,'2. Balance Sheet'!AA:AA)</f>
        <v>0</v>
      </c>
      <c r="AB17" s="91">
        <f>SUMIF('2. Balance Sheet'!$AP:$AP,'3. Cash Flow Statement'!$AR17,'2. Balance Sheet'!AA:AA)-SUMIF('2. Balance Sheet'!$AP:$AP,'3. Cash Flow Statement'!$AR17,'2. Balance Sheet'!AB:AB)</f>
        <v>0</v>
      </c>
      <c r="AC17" s="91">
        <f>SUMIF('2. Balance Sheet'!$AP:$AP,'3. Cash Flow Statement'!$AR17,'2. Balance Sheet'!AB:AB)-SUMIF('2. Balance Sheet'!$AP:$AP,'3. Cash Flow Statement'!$AR17,'2. Balance Sheet'!AC:AC)</f>
        <v>0</v>
      </c>
      <c r="AD17" s="98">
        <f>SUM(R17:AC17)</f>
        <v>0</v>
      </c>
      <c r="AE17" s="91">
        <f>SUMIF('2. Balance Sheet'!$AP:$AP,'3. Cash Flow Statement'!$AR17,'2. Balance Sheet'!AC:AC)-SUMIF('2. Balance Sheet'!$AP:$AP,'3. Cash Flow Statement'!$AR17,'2. Balance Sheet'!AD:AD)</f>
        <v>0</v>
      </c>
      <c r="AF17" s="91">
        <f>SUMIF('2. Balance Sheet'!$AP:$AP,'3. Cash Flow Statement'!$AR17,'2. Balance Sheet'!AD:AD)-SUMIF('2. Balance Sheet'!$AP:$AP,'3. Cash Flow Statement'!$AR17,'2. Balance Sheet'!AE:AE)</f>
        <v>0</v>
      </c>
      <c r="AG17" s="91">
        <f>SUMIF('2. Balance Sheet'!$AP:$AP,'3. Cash Flow Statement'!$AR17,'2. Balance Sheet'!AE:AE)-SUMIF('2. Balance Sheet'!$AP:$AP,'3. Cash Flow Statement'!$AR17,'2. Balance Sheet'!AF:AF)</f>
        <v>0</v>
      </c>
      <c r="AH17" s="91">
        <f>SUMIF('2. Balance Sheet'!$AP:$AP,'3. Cash Flow Statement'!$AR17,'2. Balance Sheet'!AF:AF)-SUMIF('2. Balance Sheet'!$AP:$AP,'3. Cash Flow Statement'!$AR17,'2. Balance Sheet'!AG:AG)</f>
        <v>0</v>
      </c>
      <c r="AI17" s="91">
        <f>SUMIF('2. Balance Sheet'!$AP:$AP,'3. Cash Flow Statement'!$AR17,'2. Balance Sheet'!AG:AG)-SUMIF('2. Balance Sheet'!$AP:$AP,'3. Cash Flow Statement'!$AR17,'2. Balance Sheet'!AH:AH)</f>
        <v>0</v>
      </c>
      <c r="AJ17" s="91">
        <f>SUMIF('2. Balance Sheet'!$AP:$AP,'3. Cash Flow Statement'!$AR17,'2. Balance Sheet'!AH:AH)-SUMIF('2. Balance Sheet'!$AP:$AP,'3. Cash Flow Statement'!$AR17,'2. Balance Sheet'!AI:AI)</f>
        <v>0</v>
      </c>
      <c r="AK17" s="91">
        <f>SUMIF('2. Balance Sheet'!$AP:$AP,'3. Cash Flow Statement'!$AR17,'2. Balance Sheet'!AI:AI)-SUMIF('2. Balance Sheet'!$AP:$AP,'3. Cash Flow Statement'!$AR17,'2. Balance Sheet'!AJ:AJ)</f>
        <v>0</v>
      </c>
      <c r="AL17" s="91">
        <f>SUMIF('2. Balance Sheet'!$AP:$AP,'3. Cash Flow Statement'!$AR17,'2. Balance Sheet'!AJ:AJ)-SUMIF('2. Balance Sheet'!$AP:$AP,'3. Cash Flow Statement'!$AR17,'2. Balance Sheet'!AK:AK)</f>
        <v>0</v>
      </c>
      <c r="AM17" s="91">
        <f>SUMIF('2. Balance Sheet'!$AP:$AP,'3. Cash Flow Statement'!$AR17,'2. Balance Sheet'!AK:AK)-SUMIF('2. Balance Sheet'!$AP:$AP,'3. Cash Flow Statement'!$AR17,'2. Balance Sheet'!AL:AL)</f>
        <v>0</v>
      </c>
      <c r="AN17" s="91">
        <f>SUMIF('2. Balance Sheet'!$AP:$AP,'3. Cash Flow Statement'!$AR17,'2. Balance Sheet'!AL:AL)-SUMIF('2. Balance Sheet'!$AP:$AP,'3. Cash Flow Statement'!$AR17,'2. Balance Sheet'!AM:AM)</f>
        <v>0</v>
      </c>
      <c r="AO17" s="98">
        <f>SUM(AE17:AN17)</f>
        <v>0</v>
      </c>
      <c r="AP17" s="98">
        <f>SUM(AO17,AB17:AC17)</f>
        <v>0</v>
      </c>
      <c r="AR17" s="91" t="s">
        <v>178</v>
      </c>
    </row>
    <row r="18" spans="2:44" x14ac:dyDescent="0.2">
      <c r="B18" s="87" t="s">
        <v>190</v>
      </c>
      <c r="E18" s="91">
        <f>SUMIF('2. Balance Sheet'!$AP:$AP,'3. Cash Flow Statement'!$AR18,'2. Balance Sheet'!F:F)-SUMIF('2. Balance Sheet'!$AP:$AP,'3. Cash Flow Statement'!$AR18,'2. Balance Sheet'!E:E)</f>
        <v>131.32106999999999</v>
      </c>
      <c r="F18" s="91">
        <f>SUMIF('2. Balance Sheet'!$AP:$AP,'3. Cash Flow Statement'!$AR18,'2. Balance Sheet'!G:G)-SUMIF('2. Balance Sheet'!$AP:$AP,'3. Cash Flow Statement'!$AR18,'2. Balance Sheet'!F:F)</f>
        <v>40.143789999999967</v>
      </c>
      <c r="G18" s="91">
        <f>SUMIF('2. Balance Sheet'!$AP:$AP,'3. Cash Flow Statement'!$AR18,'2. Balance Sheet'!H:H)-SUMIF('2. Balance Sheet'!$AP:$AP,'3. Cash Flow Statement'!$AR18,'2. Balance Sheet'!G:G)</f>
        <v>-64.240860000000055</v>
      </c>
      <c r="H18" s="91">
        <f>SUMIF('2. Balance Sheet'!$AP:$AP,'3. Cash Flow Statement'!$AR18,'2. Balance Sheet'!I:I)-SUMIF('2. Balance Sheet'!$AP:$AP,'3. Cash Flow Statement'!$AR18,'2. Balance Sheet'!H:H)</f>
        <v>25.063339999999982</v>
      </c>
      <c r="I18" s="91">
        <f>SUMIF('2. Balance Sheet'!$AP:$AP,'3. Cash Flow Statement'!$AR18,'2. Balance Sheet'!J:J)-SUMIF('2. Balance Sheet'!$AP:$AP,'3. Cash Flow Statement'!$AR18,'2. Balance Sheet'!I:I)</f>
        <v>-0.96256999999997106</v>
      </c>
      <c r="J18" s="91">
        <f>SUMIF('2. Balance Sheet'!$AP:$AP,'3. Cash Flow Statement'!$AR18,'2. Balance Sheet'!K:K)-SUMIF('2. Balance Sheet'!$AP:$AP,'3. Cash Flow Statement'!$AR18,'2. Balance Sheet'!J:J)</f>
        <v>110.61730999999997</v>
      </c>
      <c r="K18" s="91">
        <f>SUMIF('2. Balance Sheet'!$AP:$AP,'3. Cash Flow Statement'!$AR18,'2. Balance Sheet'!L:L)-SUMIF('2. Balance Sheet'!$AP:$AP,'3. Cash Flow Statement'!$AR18,'2. Balance Sheet'!K:K)</f>
        <v>-152.29003999999998</v>
      </c>
      <c r="L18" s="91">
        <f>SUMIF('2. Balance Sheet'!$AP:$AP,'3. Cash Flow Statement'!$AR18,'2. Balance Sheet'!M:M)-SUMIF('2. Balance Sheet'!$AP:$AP,'3. Cash Flow Statement'!$AR18,'2. Balance Sheet'!L:L)</f>
        <v>49.605349999999987</v>
      </c>
      <c r="M18" s="91">
        <f>SUMIF('2. Balance Sheet'!$AP:$AP,'3. Cash Flow Statement'!$AR18,'2. Balance Sheet'!N:N)-SUMIF('2. Balance Sheet'!$AP:$AP,'3. Cash Flow Statement'!$AR18,'2. Balance Sheet'!M:M)</f>
        <v>108.67479000000003</v>
      </c>
      <c r="N18" s="91">
        <f>SUMIF('2. Balance Sheet'!$AP:$AP,'3. Cash Flow Statement'!$AR18,'2. Balance Sheet'!O:O)-SUMIF('2. Balance Sheet'!$AP:$AP,'3. Cash Flow Statement'!$AR18,'2. Balance Sheet'!N:N)</f>
        <v>-167.85645</v>
      </c>
      <c r="O18" s="91">
        <f>SUMIF('2. Balance Sheet'!$AP:$AP,'3. Cash Flow Statement'!$AR18,'2. Balance Sheet'!P:P)-SUMIF('2. Balance Sheet'!$AP:$AP,'3. Cash Flow Statement'!$AR18,'2. Balance Sheet'!O:O)</f>
        <v>24.168810000000008</v>
      </c>
      <c r="P18" s="91">
        <f>SUMIF('2. Balance Sheet'!$AP:$AP,'3. Cash Flow Statement'!$AR18,'2. Balance Sheet'!Q:Q)-SUMIF('2. Balance Sheet'!$AP:$AP,'3. Cash Flow Statement'!$AR18,'2. Balance Sheet'!P:P)</f>
        <v>70.433030000000031</v>
      </c>
      <c r="Q18" s="98">
        <f>SUM(E18:P18)</f>
        <v>174.67756999999997</v>
      </c>
      <c r="R18" s="91">
        <f>SUMIF('2. Balance Sheet'!$AP:$AP,'3. Cash Flow Statement'!$AR18,'2. Balance Sheet'!R:R)-SUMIF('2. Balance Sheet'!$AP:$AP,'3. Cash Flow Statement'!$AR18,'2. Balance Sheet'!Q:Q)</f>
        <v>-27.114119999999957</v>
      </c>
      <c r="S18" s="91">
        <f>SUMIF('2. Balance Sheet'!$AP:$AP,'3. Cash Flow Statement'!$AR18,'2. Balance Sheet'!S:S)-SUMIF('2. Balance Sheet'!$AP:$AP,'3. Cash Flow Statement'!$AR18,'2. Balance Sheet'!R:R)</f>
        <v>24.009650000000022</v>
      </c>
      <c r="T18" s="91">
        <f>SUMIF('2. Balance Sheet'!$AP:$AP,'3. Cash Flow Statement'!$AR18,'2. Balance Sheet'!T:T)-SUMIF('2. Balance Sheet'!$AP:$AP,'3. Cash Flow Statement'!$AR18,'2. Balance Sheet'!S:S)</f>
        <v>95.883420000000001</v>
      </c>
      <c r="U18" s="91">
        <f>SUMIF('2. Balance Sheet'!$AP:$AP,'3. Cash Flow Statement'!$AR18,'2. Balance Sheet'!U:U)-SUMIF('2. Balance Sheet'!$AP:$AP,'3. Cash Flow Statement'!$AR18,'2. Balance Sheet'!T:T)</f>
        <v>-126.2768200000001</v>
      </c>
      <c r="V18" s="91">
        <f>SUMIF('2. Balance Sheet'!$AP:$AP,'3. Cash Flow Statement'!$AR18,'2. Balance Sheet'!V:V)-SUMIF('2. Balance Sheet'!$AP:$AP,'3. Cash Flow Statement'!$AR18,'2. Balance Sheet'!U:U)</f>
        <v>106.16230999999993</v>
      </c>
      <c r="W18" s="91">
        <f>SUMIF('2. Balance Sheet'!$AP:$AP,'3. Cash Flow Statement'!$AR18,'2. Balance Sheet'!W:W)-SUMIF('2. Balance Sheet'!$AP:$AP,'3. Cash Flow Statement'!$AR18,'2. Balance Sheet'!V:V)</f>
        <v>34.244609999999966</v>
      </c>
      <c r="X18" s="91">
        <f>SUMIF('2. Balance Sheet'!$AP:$AP,'3. Cash Flow Statement'!$AR18,'2. Balance Sheet'!X:X)-SUMIF('2. Balance Sheet'!$AP:$AP,'3. Cash Flow Statement'!$AR18,'2. Balance Sheet'!W:W)</f>
        <v>37.259299999999996</v>
      </c>
      <c r="Y18" s="91">
        <f>SUMIF('2. Balance Sheet'!$AP:$AP,'3. Cash Flow Statement'!$AR18,'2. Balance Sheet'!Y:Y)-SUMIF('2. Balance Sheet'!$AP:$AP,'3. Cash Flow Statement'!$AR18,'2. Balance Sheet'!X:X)</f>
        <v>-181.6386</v>
      </c>
      <c r="Z18" s="91">
        <f>SUMIF('2. Balance Sheet'!$AP:$AP,'3. Cash Flow Statement'!$AR18,'2. Balance Sheet'!Z:Z)-SUMIF('2. Balance Sheet'!$AP:$AP,'3. Cash Flow Statement'!$AR18,'2. Balance Sheet'!Y:Y)</f>
        <v>143.46179999999981</v>
      </c>
      <c r="AA18" s="91">
        <f>SUMIF('2. Balance Sheet'!$AP:$AP,'3. Cash Flow Statement'!$AR18,'2. Balance Sheet'!AA:AA)-SUMIF('2. Balance Sheet'!$AP:$AP,'3. Cash Flow Statement'!$AR18,'2. Balance Sheet'!Z:Z)</f>
        <v>-86.283749999999998</v>
      </c>
      <c r="AB18" s="91">
        <f>SUMIF('2. Balance Sheet'!$AP:$AP,'3. Cash Flow Statement'!$AR18,'2. Balance Sheet'!AB:AB)-SUMIF('2. Balance Sheet'!$AP:$AP,'3. Cash Flow Statement'!$AR18,'2. Balance Sheet'!AA:AA)</f>
        <v>41.760630000000049</v>
      </c>
      <c r="AC18" s="91">
        <f>SUMIF('2. Balance Sheet'!$AP:$AP,'3. Cash Flow Statement'!$AR18,'2. Balance Sheet'!AC:AC)-SUMIF('2. Balance Sheet'!$AP:$AP,'3. Cash Flow Statement'!$AR18,'2. Balance Sheet'!AB:AB)</f>
        <v>-105.69060000000002</v>
      </c>
      <c r="AD18" s="98">
        <f>SUM(R18:AC18)</f>
        <v>-44.22217000000029</v>
      </c>
      <c r="AE18" s="91">
        <f>SUMIF('2. Balance Sheet'!$AP:$AP,'3. Cash Flow Statement'!$AR18,'2. Balance Sheet'!AD:AD)-SUMIF('2. Balance Sheet'!$AP:$AP,'3. Cash Flow Statement'!$AR18,'2. Balance Sheet'!AC:AC)</f>
        <v>-6.3003599999999551</v>
      </c>
      <c r="AF18" s="91">
        <f>SUMIF('2. Balance Sheet'!$AP:$AP,'3. Cash Flow Statement'!$AR18,'2. Balance Sheet'!AE:AE)-SUMIF('2. Balance Sheet'!$AP:$AP,'3. Cash Flow Statement'!$AR18,'2. Balance Sheet'!AD:AD)</f>
        <v>43.518019999999979</v>
      </c>
      <c r="AG18" s="91">
        <f>SUMIF('2. Balance Sheet'!$AP:$AP,'3. Cash Flow Statement'!$AR18,'2. Balance Sheet'!AF:AF)-SUMIF('2. Balance Sheet'!$AP:$AP,'3. Cash Flow Statement'!$AR18,'2. Balance Sheet'!AE:AE)</f>
        <v>26.27090000000004</v>
      </c>
      <c r="AH18" s="91">
        <f>SUMIF('2. Balance Sheet'!$AP:$AP,'3. Cash Flow Statement'!$AR18,'2. Balance Sheet'!AG:AG)-SUMIF('2. Balance Sheet'!$AP:$AP,'3. Cash Flow Statement'!$AR18,'2. Balance Sheet'!AF:AF)</f>
        <v>46.01807000000008</v>
      </c>
      <c r="AI18" s="91">
        <f>SUMIF('2. Balance Sheet'!$AP:$AP,'3. Cash Flow Statement'!$AR18,'2. Balance Sheet'!AH:AH)-SUMIF('2. Balance Sheet'!$AP:$AP,'3. Cash Flow Statement'!$AR18,'2. Balance Sheet'!AG:AG)</f>
        <v>-131.89274999999992</v>
      </c>
      <c r="AJ18" s="91">
        <f>SUMIF('2. Balance Sheet'!$AP:$AP,'3. Cash Flow Statement'!$AR18,'2. Balance Sheet'!AI:AI)-SUMIF('2. Balance Sheet'!$AP:$AP,'3. Cash Flow Statement'!$AR18,'2. Balance Sheet'!AH:AH)</f>
        <v>82.257389999999873</v>
      </c>
      <c r="AK18" s="91">
        <f>SUMIF('2. Balance Sheet'!$AP:$AP,'3. Cash Flow Statement'!$AR18,'2. Balance Sheet'!AJ:AJ)-SUMIF('2. Balance Sheet'!$AP:$AP,'3. Cash Flow Statement'!$AR18,'2. Balance Sheet'!AI:AI)</f>
        <v>-20.217709999999954</v>
      </c>
      <c r="AL18" s="91">
        <f>SUMIF('2. Balance Sheet'!$AP:$AP,'3. Cash Flow Statement'!$AR18,'2. Balance Sheet'!AK:AK)-SUMIF('2. Balance Sheet'!$AP:$AP,'3. Cash Flow Statement'!$AR18,'2. Balance Sheet'!AJ:AJ)</f>
        <v>57.245339999999999</v>
      </c>
      <c r="AM18" s="91">
        <f>SUMIF('2. Balance Sheet'!$AP:$AP,'3. Cash Flow Statement'!$AR18,'2. Balance Sheet'!AL:AL)-SUMIF('2. Balance Sheet'!$AP:$AP,'3. Cash Flow Statement'!$AR18,'2. Balance Sheet'!AK:AK)</f>
        <v>-91.636279999999999</v>
      </c>
      <c r="AN18" s="91">
        <f>SUMIF('2. Balance Sheet'!$AP:$AP,'3. Cash Flow Statement'!$AR18,'2. Balance Sheet'!AM:AM)-SUMIF('2. Balance Sheet'!$AP:$AP,'3. Cash Flow Statement'!$AR18,'2. Balance Sheet'!AL:AL)</f>
        <v>7.0335699999999974</v>
      </c>
      <c r="AO18" s="98">
        <f>SUM(AE18:AN18)</f>
        <v>12.296190000000138</v>
      </c>
      <c r="AP18" s="98">
        <f>SUM(AO18,AB18:AC18)</f>
        <v>-51.633779999999831</v>
      </c>
      <c r="AR18" s="91" t="s">
        <v>191</v>
      </c>
    </row>
    <row r="19" spans="2:44" x14ac:dyDescent="0.2">
      <c r="B19" s="87" t="s">
        <v>194</v>
      </c>
      <c r="E19" s="91">
        <f>SUMIF('2. Balance Sheet'!$AP:$AP,'3. Cash Flow Statement'!$AR19,'2. Balance Sheet'!F:F)-SUMIF('2. Balance Sheet'!$AP:$AP,'3. Cash Flow Statement'!$AR19,'2. Balance Sheet'!E:E)</f>
        <v>25</v>
      </c>
      <c r="F19" s="91">
        <f>SUMIF('2. Balance Sheet'!$AP:$AP,'3. Cash Flow Statement'!$AR19,'2. Balance Sheet'!G:G)-SUMIF('2. Balance Sheet'!$AP:$AP,'3. Cash Flow Statement'!$AR19,'2. Balance Sheet'!F:F)</f>
        <v>0</v>
      </c>
      <c r="G19" s="91">
        <f>SUMIF('2. Balance Sheet'!$AP:$AP,'3. Cash Flow Statement'!$AR19,'2. Balance Sheet'!H:H)-SUMIF('2. Balance Sheet'!$AP:$AP,'3. Cash Flow Statement'!$AR19,'2. Balance Sheet'!G:G)</f>
        <v>0</v>
      </c>
      <c r="H19" s="91">
        <f>SUMIF('2. Balance Sheet'!$AP:$AP,'3. Cash Flow Statement'!$AR19,'2. Balance Sheet'!I:I)-SUMIF('2. Balance Sheet'!$AP:$AP,'3. Cash Flow Statement'!$AR19,'2. Balance Sheet'!H:H)</f>
        <v>0</v>
      </c>
      <c r="I19" s="91">
        <f>SUMIF('2. Balance Sheet'!$AP:$AP,'3. Cash Flow Statement'!$AR19,'2. Balance Sheet'!J:J)-SUMIF('2. Balance Sheet'!$AP:$AP,'3. Cash Flow Statement'!$AR19,'2. Balance Sheet'!I:I)</f>
        <v>0</v>
      </c>
      <c r="J19" s="91">
        <f>SUMIF('2. Balance Sheet'!$AP:$AP,'3. Cash Flow Statement'!$AR19,'2. Balance Sheet'!K:K)-SUMIF('2. Balance Sheet'!$AP:$AP,'3. Cash Flow Statement'!$AR19,'2. Balance Sheet'!J:J)</f>
        <v>0</v>
      </c>
      <c r="K19" s="91">
        <f>SUMIF('2. Balance Sheet'!$AP:$AP,'3. Cash Flow Statement'!$AR19,'2. Balance Sheet'!L:L)-SUMIF('2. Balance Sheet'!$AP:$AP,'3. Cash Flow Statement'!$AR19,'2. Balance Sheet'!K:K)</f>
        <v>0</v>
      </c>
      <c r="L19" s="91">
        <f>SUMIF('2. Balance Sheet'!$AP:$AP,'3. Cash Flow Statement'!$AR19,'2. Balance Sheet'!M:M)-SUMIF('2. Balance Sheet'!$AP:$AP,'3. Cash Flow Statement'!$AR19,'2. Balance Sheet'!L:L)</f>
        <v>0</v>
      </c>
      <c r="M19" s="91">
        <f>SUMIF('2. Balance Sheet'!$AP:$AP,'3. Cash Flow Statement'!$AR19,'2. Balance Sheet'!N:N)-SUMIF('2. Balance Sheet'!$AP:$AP,'3. Cash Flow Statement'!$AR19,'2. Balance Sheet'!M:M)</f>
        <v>0</v>
      </c>
      <c r="N19" s="91">
        <f>SUMIF('2. Balance Sheet'!$AP:$AP,'3. Cash Flow Statement'!$AR19,'2. Balance Sheet'!O:O)-SUMIF('2. Balance Sheet'!$AP:$AP,'3. Cash Flow Statement'!$AR19,'2. Balance Sheet'!N:N)</f>
        <v>0</v>
      </c>
      <c r="O19" s="91">
        <f>SUMIF('2. Balance Sheet'!$AP:$AP,'3. Cash Flow Statement'!$AR19,'2. Balance Sheet'!P:P)-SUMIF('2. Balance Sheet'!$AP:$AP,'3. Cash Flow Statement'!$AR19,'2. Balance Sheet'!O:O)</f>
        <v>0</v>
      </c>
      <c r="P19" s="91">
        <f>SUMIF('2. Balance Sheet'!$AP:$AP,'3. Cash Flow Statement'!$AR19,'2. Balance Sheet'!Q:Q)-SUMIF('2. Balance Sheet'!$AP:$AP,'3. Cash Flow Statement'!$AR19,'2. Balance Sheet'!P:P)</f>
        <v>0</v>
      </c>
      <c r="Q19" s="98">
        <f>SUM(E19:P19)</f>
        <v>25</v>
      </c>
      <c r="R19" s="91">
        <f>SUMIF('2. Balance Sheet'!$AP:$AP,'3. Cash Flow Statement'!$AR19,'2. Balance Sheet'!R:R)-SUMIF('2. Balance Sheet'!$AP:$AP,'3. Cash Flow Statement'!$AR19,'2. Balance Sheet'!Q:Q)</f>
        <v>48.523449999999997</v>
      </c>
      <c r="S19" s="91">
        <f>SUMIF('2. Balance Sheet'!$AP:$AP,'3. Cash Flow Statement'!$AR19,'2. Balance Sheet'!S:S)-SUMIF('2. Balance Sheet'!$AP:$AP,'3. Cash Flow Statement'!$AR19,'2. Balance Sheet'!R:R)</f>
        <v>0</v>
      </c>
      <c r="T19" s="91">
        <f>SUMIF('2. Balance Sheet'!$AP:$AP,'3. Cash Flow Statement'!$AR19,'2. Balance Sheet'!T:T)-SUMIF('2. Balance Sheet'!$AP:$AP,'3. Cash Flow Statement'!$AR19,'2. Balance Sheet'!S:S)</f>
        <v>0</v>
      </c>
      <c r="U19" s="91">
        <f>SUMIF('2. Balance Sheet'!$AP:$AP,'3. Cash Flow Statement'!$AR19,'2. Balance Sheet'!U:U)-SUMIF('2. Balance Sheet'!$AP:$AP,'3. Cash Flow Statement'!$AR19,'2. Balance Sheet'!T:T)</f>
        <v>0</v>
      </c>
      <c r="V19" s="91">
        <f>SUMIF('2. Balance Sheet'!$AP:$AP,'3. Cash Flow Statement'!$AR19,'2. Balance Sheet'!V:V)-SUMIF('2. Balance Sheet'!$AP:$AP,'3. Cash Flow Statement'!$AR19,'2. Balance Sheet'!U:U)</f>
        <v>0</v>
      </c>
      <c r="W19" s="91">
        <f>SUMIF('2. Balance Sheet'!$AP:$AP,'3. Cash Flow Statement'!$AR19,'2. Balance Sheet'!W:W)-SUMIF('2. Balance Sheet'!$AP:$AP,'3. Cash Flow Statement'!$AR19,'2. Balance Sheet'!V:V)</f>
        <v>0</v>
      </c>
      <c r="X19" s="91">
        <f>SUMIF('2. Balance Sheet'!$AP:$AP,'3. Cash Flow Statement'!$AR19,'2. Balance Sheet'!X:X)-SUMIF('2. Balance Sheet'!$AP:$AP,'3. Cash Flow Statement'!$AR19,'2. Balance Sheet'!W:W)</f>
        <v>0</v>
      </c>
      <c r="Y19" s="91">
        <f>SUMIF('2. Balance Sheet'!$AP:$AP,'3. Cash Flow Statement'!$AR19,'2. Balance Sheet'!Y:Y)-SUMIF('2. Balance Sheet'!$AP:$AP,'3. Cash Flow Statement'!$AR19,'2. Balance Sheet'!X:X)</f>
        <v>0</v>
      </c>
      <c r="Z19" s="91">
        <f>SUMIF('2. Balance Sheet'!$AP:$AP,'3. Cash Flow Statement'!$AR19,'2. Balance Sheet'!Z:Z)-SUMIF('2. Balance Sheet'!$AP:$AP,'3. Cash Flow Statement'!$AR19,'2. Balance Sheet'!Y:Y)</f>
        <v>0</v>
      </c>
      <c r="AA19" s="91">
        <f>SUMIF('2. Balance Sheet'!$AP:$AP,'3. Cash Flow Statement'!$AR19,'2. Balance Sheet'!AA:AA)-SUMIF('2. Balance Sheet'!$AP:$AP,'3. Cash Flow Statement'!$AR19,'2. Balance Sheet'!Z:Z)</f>
        <v>0</v>
      </c>
      <c r="AB19" s="91">
        <f>SUMIF('2. Balance Sheet'!$AP:$AP,'3. Cash Flow Statement'!$AR19,'2. Balance Sheet'!AB:AB)-SUMIF('2. Balance Sheet'!$AP:$AP,'3. Cash Flow Statement'!$AR19,'2. Balance Sheet'!AA:AA)</f>
        <v>0</v>
      </c>
      <c r="AC19" s="91">
        <f>SUMIF('2. Balance Sheet'!$AP:$AP,'3. Cash Flow Statement'!$AR19,'2. Balance Sheet'!AC:AC)-SUMIF('2. Balance Sheet'!$AP:$AP,'3. Cash Flow Statement'!$AR19,'2. Balance Sheet'!AB:AB)</f>
        <v>0</v>
      </c>
      <c r="AD19" s="98">
        <f>SUM(R19:AC19)</f>
        <v>48.523449999999997</v>
      </c>
      <c r="AE19" s="91">
        <f>SUMIF('2. Balance Sheet'!$AP:$AP,'3. Cash Flow Statement'!$AR19,'2. Balance Sheet'!AD:AD)-SUMIF('2. Balance Sheet'!$AP:$AP,'3. Cash Flow Statement'!$AR19,'2. Balance Sheet'!AC:AC)</f>
        <v>52.891229999999993</v>
      </c>
      <c r="AF19" s="91">
        <f>SUMIF('2. Balance Sheet'!$AP:$AP,'3. Cash Flow Statement'!$AR19,'2. Balance Sheet'!AE:AE)-SUMIF('2. Balance Sheet'!$AP:$AP,'3. Cash Flow Statement'!$AR19,'2. Balance Sheet'!AD:AD)</f>
        <v>0</v>
      </c>
      <c r="AG19" s="91">
        <f>SUMIF('2. Balance Sheet'!$AP:$AP,'3. Cash Flow Statement'!$AR19,'2. Balance Sheet'!AF:AF)-SUMIF('2. Balance Sheet'!$AP:$AP,'3. Cash Flow Statement'!$AR19,'2. Balance Sheet'!AE:AE)</f>
        <v>0</v>
      </c>
      <c r="AH19" s="91">
        <f>SUMIF('2. Balance Sheet'!$AP:$AP,'3. Cash Flow Statement'!$AR19,'2. Balance Sheet'!AG:AG)-SUMIF('2. Balance Sheet'!$AP:$AP,'3. Cash Flow Statement'!$AR19,'2. Balance Sheet'!AF:AF)</f>
        <v>0</v>
      </c>
      <c r="AI19" s="91">
        <f>SUMIF('2. Balance Sheet'!$AP:$AP,'3. Cash Flow Statement'!$AR19,'2. Balance Sheet'!AH:AH)-SUMIF('2. Balance Sheet'!$AP:$AP,'3. Cash Flow Statement'!$AR19,'2. Balance Sheet'!AG:AG)</f>
        <v>0</v>
      </c>
      <c r="AJ19" s="91">
        <f>SUMIF('2. Balance Sheet'!$AP:$AP,'3. Cash Flow Statement'!$AR19,'2. Balance Sheet'!AI:AI)-SUMIF('2. Balance Sheet'!$AP:$AP,'3. Cash Flow Statement'!$AR19,'2. Balance Sheet'!AH:AH)</f>
        <v>0</v>
      </c>
      <c r="AK19" s="91">
        <f>SUMIF('2. Balance Sheet'!$AP:$AP,'3. Cash Flow Statement'!$AR19,'2. Balance Sheet'!AJ:AJ)-SUMIF('2. Balance Sheet'!$AP:$AP,'3. Cash Flow Statement'!$AR19,'2. Balance Sheet'!AI:AI)</f>
        <v>0</v>
      </c>
      <c r="AL19" s="91">
        <f>SUMIF('2. Balance Sheet'!$AP:$AP,'3. Cash Flow Statement'!$AR19,'2. Balance Sheet'!AK:AK)-SUMIF('2. Balance Sheet'!$AP:$AP,'3. Cash Flow Statement'!$AR19,'2. Balance Sheet'!AJ:AJ)</f>
        <v>0</v>
      </c>
      <c r="AM19" s="91">
        <f>SUMIF('2. Balance Sheet'!$AP:$AP,'3. Cash Flow Statement'!$AR19,'2. Balance Sheet'!AL:AL)-SUMIF('2. Balance Sheet'!$AP:$AP,'3. Cash Flow Statement'!$AR19,'2. Balance Sheet'!AK:AK)</f>
        <v>0</v>
      </c>
      <c r="AN19" s="91">
        <f>SUMIF('2. Balance Sheet'!$AP:$AP,'3. Cash Flow Statement'!$AR19,'2. Balance Sheet'!AM:AM)-SUMIF('2. Balance Sheet'!$AP:$AP,'3. Cash Flow Statement'!$AR19,'2. Balance Sheet'!AL:AL)</f>
        <v>0</v>
      </c>
      <c r="AO19" s="98">
        <f>SUM(AE19:AN19)</f>
        <v>52.891229999999993</v>
      </c>
      <c r="AP19" s="98">
        <f>SUM(AO19,AB19:AC19)</f>
        <v>52.891229999999993</v>
      </c>
      <c r="AR19" s="91" t="s">
        <v>193</v>
      </c>
    </row>
    <row r="20" spans="2:44" x14ac:dyDescent="0.2">
      <c r="B20" s="87" t="s">
        <v>195</v>
      </c>
      <c r="E20" s="91">
        <f>SUMIF('2. Balance Sheet'!$AP:$AP,'3. Cash Flow Statement'!$AR20,'2. Balance Sheet'!F:F)-SUMIF('2. Balance Sheet'!$AP:$AP,'3. Cash Flow Statement'!$AR20,'2. Balance Sheet'!E:E)</f>
        <v>0</v>
      </c>
      <c r="F20" s="91">
        <f>SUMIF('2. Balance Sheet'!$AP:$AP,'3. Cash Flow Statement'!$AR20,'2. Balance Sheet'!G:G)-SUMIF('2. Balance Sheet'!$AP:$AP,'3. Cash Flow Statement'!$AR20,'2. Balance Sheet'!F:F)</f>
        <v>0</v>
      </c>
      <c r="G20" s="91">
        <f>SUMIF('2. Balance Sheet'!$AP:$AP,'3. Cash Flow Statement'!$AR20,'2. Balance Sheet'!H:H)-SUMIF('2. Balance Sheet'!$AP:$AP,'3. Cash Flow Statement'!$AR20,'2. Balance Sheet'!G:G)</f>
        <v>0</v>
      </c>
      <c r="H20" s="91">
        <f>SUMIF('2. Balance Sheet'!$AP:$AP,'3. Cash Flow Statement'!$AR20,'2. Balance Sheet'!I:I)-SUMIF('2. Balance Sheet'!$AP:$AP,'3. Cash Flow Statement'!$AR20,'2. Balance Sheet'!H:H)</f>
        <v>0</v>
      </c>
      <c r="I20" s="91">
        <f>SUMIF('2. Balance Sheet'!$AP:$AP,'3. Cash Flow Statement'!$AR20,'2. Balance Sheet'!J:J)-SUMIF('2. Balance Sheet'!$AP:$AP,'3. Cash Flow Statement'!$AR20,'2. Balance Sheet'!I:I)</f>
        <v>0</v>
      </c>
      <c r="J20" s="91">
        <f>SUMIF('2. Balance Sheet'!$AP:$AP,'3. Cash Flow Statement'!$AR20,'2. Balance Sheet'!K:K)-SUMIF('2. Balance Sheet'!$AP:$AP,'3. Cash Flow Statement'!$AR20,'2. Balance Sheet'!J:J)</f>
        <v>0</v>
      </c>
      <c r="K20" s="91">
        <f>SUMIF('2. Balance Sheet'!$AP:$AP,'3. Cash Flow Statement'!$AR20,'2. Balance Sheet'!L:L)-SUMIF('2. Balance Sheet'!$AP:$AP,'3. Cash Flow Statement'!$AR20,'2. Balance Sheet'!K:K)</f>
        <v>0</v>
      </c>
      <c r="L20" s="91">
        <f>SUMIF('2. Balance Sheet'!$AP:$AP,'3. Cash Flow Statement'!$AR20,'2. Balance Sheet'!M:M)-SUMIF('2. Balance Sheet'!$AP:$AP,'3. Cash Flow Statement'!$AR20,'2. Balance Sheet'!L:L)</f>
        <v>0</v>
      </c>
      <c r="M20" s="91">
        <f>SUMIF('2. Balance Sheet'!$AP:$AP,'3. Cash Flow Statement'!$AR20,'2. Balance Sheet'!N:N)-SUMIF('2. Balance Sheet'!$AP:$AP,'3. Cash Flow Statement'!$AR20,'2. Balance Sheet'!M:M)</f>
        <v>0</v>
      </c>
      <c r="N20" s="91">
        <f>SUMIF('2. Balance Sheet'!$AP:$AP,'3. Cash Flow Statement'!$AR20,'2. Balance Sheet'!O:O)-SUMIF('2. Balance Sheet'!$AP:$AP,'3. Cash Flow Statement'!$AR20,'2. Balance Sheet'!N:N)</f>
        <v>0</v>
      </c>
      <c r="O20" s="91">
        <f>SUMIF('2. Balance Sheet'!$AP:$AP,'3. Cash Flow Statement'!$AR20,'2. Balance Sheet'!P:P)-SUMIF('2. Balance Sheet'!$AP:$AP,'3. Cash Flow Statement'!$AR20,'2. Balance Sheet'!O:O)</f>
        <v>0</v>
      </c>
      <c r="P20" s="91">
        <f>SUMIF('2. Balance Sheet'!$AP:$AP,'3. Cash Flow Statement'!$AR20,'2. Balance Sheet'!Q:Q)-SUMIF('2. Balance Sheet'!$AP:$AP,'3. Cash Flow Statement'!$AR20,'2. Balance Sheet'!P:P)</f>
        <v>34.36487000000001</v>
      </c>
      <c r="Q20" s="98">
        <f>SUM(E20:P20)</f>
        <v>34.36487000000001</v>
      </c>
      <c r="R20" s="91">
        <f>SUMIF('2. Balance Sheet'!$AP:$AP,'3. Cash Flow Statement'!$AR20,'2. Balance Sheet'!R:R)-SUMIF('2. Balance Sheet'!$AP:$AP,'3. Cash Flow Statement'!$AR20,'2. Balance Sheet'!Q:Q)</f>
        <v>-34.36487000000001</v>
      </c>
      <c r="S20" s="91">
        <f>SUMIF('2. Balance Sheet'!$AP:$AP,'3. Cash Flow Statement'!$AR20,'2. Balance Sheet'!S:S)-SUMIF('2. Balance Sheet'!$AP:$AP,'3. Cash Flow Statement'!$AR20,'2. Balance Sheet'!R:R)</f>
        <v>0</v>
      </c>
      <c r="T20" s="91">
        <f>SUMIF('2. Balance Sheet'!$AP:$AP,'3. Cash Flow Statement'!$AR20,'2. Balance Sheet'!T:T)-SUMIF('2. Balance Sheet'!$AP:$AP,'3. Cash Flow Statement'!$AR20,'2. Balance Sheet'!S:S)</f>
        <v>0</v>
      </c>
      <c r="U20" s="91">
        <f>SUMIF('2. Balance Sheet'!$AP:$AP,'3. Cash Flow Statement'!$AR20,'2. Balance Sheet'!U:U)-SUMIF('2. Balance Sheet'!$AP:$AP,'3. Cash Flow Statement'!$AR20,'2. Balance Sheet'!T:T)</f>
        <v>0</v>
      </c>
      <c r="V20" s="91">
        <f>SUMIF('2. Balance Sheet'!$AP:$AP,'3. Cash Flow Statement'!$AR20,'2. Balance Sheet'!V:V)-SUMIF('2. Balance Sheet'!$AP:$AP,'3. Cash Flow Statement'!$AR20,'2. Balance Sheet'!U:U)</f>
        <v>0</v>
      </c>
      <c r="W20" s="91">
        <f>SUMIF('2. Balance Sheet'!$AP:$AP,'3. Cash Flow Statement'!$AR20,'2. Balance Sheet'!W:W)-SUMIF('2. Balance Sheet'!$AP:$AP,'3. Cash Flow Statement'!$AR20,'2. Balance Sheet'!V:V)</f>
        <v>0</v>
      </c>
      <c r="X20" s="91">
        <f>SUMIF('2. Balance Sheet'!$AP:$AP,'3. Cash Flow Statement'!$AR20,'2. Balance Sheet'!X:X)-SUMIF('2. Balance Sheet'!$AP:$AP,'3. Cash Flow Statement'!$AR20,'2. Balance Sheet'!W:W)</f>
        <v>0</v>
      </c>
      <c r="Y20" s="91">
        <f>SUMIF('2. Balance Sheet'!$AP:$AP,'3. Cash Flow Statement'!$AR20,'2. Balance Sheet'!Y:Y)-SUMIF('2. Balance Sheet'!$AP:$AP,'3. Cash Flow Statement'!$AR20,'2. Balance Sheet'!X:X)</f>
        <v>0</v>
      </c>
      <c r="Z20" s="91">
        <f>SUMIF('2. Balance Sheet'!$AP:$AP,'3. Cash Flow Statement'!$AR20,'2. Balance Sheet'!Z:Z)-SUMIF('2. Balance Sheet'!$AP:$AP,'3. Cash Flow Statement'!$AR20,'2. Balance Sheet'!Y:Y)</f>
        <v>0</v>
      </c>
      <c r="AA20" s="91">
        <f>SUMIF('2. Balance Sheet'!$AP:$AP,'3. Cash Flow Statement'!$AR20,'2. Balance Sheet'!AA:AA)-SUMIF('2. Balance Sheet'!$AP:$AP,'3. Cash Flow Statement'!$AR20,'2. Balance Sheet'!Z:Z)</f>
        <v>0</v>
      </c>
      <c r="AB20" s="91">
        <f>SUMIF('2. Balance Sheet'!$AP:$AP,'3. Cash Flow Statement'!$AR20,'2. Balance Sheet'!AB:AB)-SUMIF('2. Balance Sheet'!$AP:$AP,'3. Cash Flow Statement'!$AR20,'2. Balance Sheet'!AA:AA)</f>
        <v>0</v>
      </c>
      <c r="AC20" s="91">
        <f>SUMIF('2. Balance Sheet'!$AP:$AP,'3. Cash Flow Statement'!$AR20,'2. Balance Sheet'!AC:AC)-SUMIF('2. Balance Sheet'!$AP:$AP,'3. Cash Flow Statement'!$AR20,'2. Balance Sheet'!AB:AB)</f>
        <v>36.219059999999999</v>
      </c>
      <c r="AD20" s="98">
        <f>SUM(R20:AC20)</f>
        <v>1.8541899999999885</v>
      </c>
      <c r="AE20" s="91">
        <f>SUMIF('2. Balance Sheet'!$AP:$AP,'3. Cash Flow Statement'!$AR20,'2. Balance Sheet'!AD:AD)-SUMIF('2. Balance Sheet'!$AP:$AP,'3. Cash Flow Statement'!$AR20,'2. Balance Sheet'!AC:AC)</f>
        <v>-36.219059999999999</v>
      </c>
      <c r="AF20" s="91">
        <f>SUMIF('2. Balance Sheet'!$AP:$AP,'3. Cash Flow Statement'!$AR20,'2. Balance Sheet'!AE:AE)-SUMIF('2. Balance Sheet'!$AP:$AP,'3. Cash Flow Statement'!$AR20,'2. Balance Sheet'!AD:AD)</f>
        <v>3.2926418181818065</v>
      </c>
      <c r="AG20" s="91">
        <f>SUMIF('2. Balance Sheet'!$AP:$AP,'3. Cash Flow Statement'!$AR20,'2. Balance Sheet'!AF:AF)-SUMIF('2. Balance Sheet'!$AP:$AP,'3. Cash Flow Statement'!$AR20,'2. Balance Sheet'!AE:AE)</f>
        <v>3.2926418181818065</v>
      </c>
      <c r="AH20" s="91">
        <f>SUMIF('2. Balance Sheet'!$AP:$AP,'3. Cash Flow Statement'!$AR20,'2. Balance Sheet'!AG:AG)-SUMIF('2. Balance Sheet'!$AP:$AP,'3. Cash Flow Statement'!$AR20,'2. Balance Sheet'!AF:AF)</f>
        <v>3.2926418181818065</v>
      </c>
      <c r="AI20" s="91">
        <f>SUMIF('2. Balance Sheet'!$AP:$AP,'3. Cash Flow Statement'!$AR20,'2. Balance Sheet'!AH:AH)-SUMIF('2. Balance Sheet'!$AP:$AP,'3. Cash Flow Statement'!$AR20,'2. Balance Sheet'!AG:AG)</f>
        <v>3.2926418181818065</v>
      </c>
      <c r="AJ20" s="91">
        <f>SUMIF('2. Balance Sheet'!$AP:$AP,'3. Cash Flow Statement'!$AR20,'2. Balance Sheet'!AI:AI)-SUMIF('2. Balance Sheet'!$AP:$AP,'3. Cash Flow Statement'!$AR20,'2. Balance Sheet'!AH:AH)</f>
        <v>3.2926418181818065</v>
      </c>
      <c r="AK20" s="91">
        <f>SUMIF('2. Balance Sheet'!$AP:$AP,'3. Cash Flow Statement'!$AR20,'2. Balance Sheet'!AJ:AJ)-SUMIF('2. Balance Sheet'!$AP:$AP,'3. Cash Flow Statement'!$AR20,'2. Balance Sheet'!AI:AI)</f>
        <v>3.2926418181818065</v>
      </c>
      <c r="AL20" s="91">
        <f>SUMIF('2. Balance Sheet'!$AP:$AP,'3. Cash Flow Statement'!$AR20,'2. Balance Sheet'!AK:AK)-SUMIF('2. Balance Sheet'!$AP:$AP,'3. Cash Flow Statement'!$AR20,'2. Balance Sheet'!AJ:AJ)</f>
        <v>3.2926418181818065</v>
      </c>
      <c r="AM20" s="91">
        <f>SUMIF('2. Balance Sheet'!$AP:$AP,'3. Cash Flow Statement'!$AR20,'2. Balance Sheet'!AL:AL)-SUMIF('2. Balance Sheet'!$AP:$AP,'3. Cash Flow Statement'!$AR20,'2. Balance Sheet'!AK:AK)</f>
        <v>3.2926418181818207</v>
      </c>
      <c r="AN20" s="91">
        <f>SUMIF('2. Balance Sheet'!$AP:$AP,'3. Cash Flow Statement'!$AR20,'2. Balance Sheet'!AM:AM)-SUMIF('2. Balance Sheet'!$AP:$AP,'3. Cash Flow Statement'!$AR20,'2. Balance Sheet'!AL:AL)</f>
        <v>3.2926418181818065</v>
      </c>
      <c r="AO20" s="98">
        <f>SUM(AE20:AN20)</f>
        <v>-6.5852836363637266</v>
      </c>
      <c r="AP20" s="98">
        <f>SUM(AO20,AB20:AC20)</f>
        <v>29.633776363636272</v>
      </c>
      <c r="AR20" s="91" t="s">
        <v>192</v>
      </c>
    </row>
    <row r="21" spans="2:44" x14ac:dyDescent="0.2">
      <c r="B21" s="87" t="s">
        <v>196</v>
      </c>
      <c r="E21" s="91">
        <f>SUMIF('2. Balance Sheet'!$AP:$AP,'3. Cash Flow Statement'!$AR21,'2. Balance Sheet'!F:F)-SUMIF('2. Balance Sheet'!$AP:$AP,'3. Cash Flow Statement'!$AR21,'2. Balance Sheet'!E:E)</f>
        <v>0</v>
      </c>
      <c r="F21" s="91">
        <f>SUMIF('2. Balance Sheet'!$AP:$AP,'3. Cash Flow Statement'!$AR21,'2. Balance Sheet'!G:G)-SUMIF('2. Balance Sheet'!$AP:$AP,'3. Cash Flow Statement'!$AR21,'2. Balance Sheet'!F:F)</f>
        <v>0</v>
      </c>
      <c r="G21" s="91">
        <f>SUMIF('2. Balance Sheet'!$AP:$AP,'3. Cash Flow Statement'!$AR21,'2. Balance Sheet'!H:H)-SUMIF('2. Balance Sheet'!$AP:$AP,'3. Cash Flow Statement'!$AR21,'2. Balance Sheet'!G:G)</f>
        <v>0</v>
      </c>
      <c r="H21" s="91">
        <f>SUMIF('2. Balance Sheet'!$AP:$AP,'3. Cash Flow Statement'!$AR21,'2. Balance Sheet'!I:I)-SUMIF('2. Balance Sheet'!$AP:$AP,'3. Cash Flow Statement'!$AR21,'2. Balance Sheet'!H:H)</f>
        <v>0</v>
      </c>
      <c r="I21" s="91">
        <f>SUMIF('2. Balance Sheet'!$AP:$AP,'3. Cash Flow Statement'!$AR21,'2. Balance Sheet'!J:J)-SUMIF('2. Balance Sheet'!$AP:$AP,'3. Cash Flow Statement'!$AR21,'2. Balance Sheet'!I:I)</f>
        <v>0</v>
      </c>
      <c r="J21" s="91">
        <f>SUMIF('2. Balance Sheet'!$AP:$AP,'3. Cash Flow Statement'!$AR21,'2. Balance Sheet'!K:K)-SUMIF('2. Balance Sheet'!$AP:$AP,'3. Cash Flow Statement'!$AR21,'2. Balance Sheet'!J:J)</f>
        <v>100</v>
      </c>
      <c r="K21" s="91">
        <f>SUMIF('2. Balance Sheet'!$AP:$AP,'3. Cash Flow Statement'!$AR21,'2. Balance Sheet'!L:L)-SUMIF('2. Balance Sheet'!$AP:$AP,'3. Cash Flow Statement'!$AR21,'2. Balance Sheet'!K:K)</f>
        <v>0</v>
      </c>
      <c r="L21" s="91">
        <f>SUMIF('2. Balance Sheet'!$AP:$AP,'3. Cash Flow Statement'!$AR21,'2. Balance Sheet'!M:M)-SUMIF('2. Balance Sheet'!$AP:$AP,'3. Cash Flow Statement'!$AR21,'2. Balance Sheet'!L:L)</f>
        <v>0</v>
      </c>
      <c r="M21" s="91">
        <f>SUMIF('2. Balance Sheet'!$AP:$AP,'3. Cash Flow Statement'!$AR21,'2. Balance Sheet'!N:N)-SUMIF('2. Balance Sheet'!$AP:$AP,'3. Cash Flow Statement'!$AR21,'2. Balance Sheet'!M:M)</f>
        <v>0</v>
      </c>
      <c r="N21" s="91">
        <f>SUMIF('2. Balance Sheet'!$AP:$AP,'3. Cash Flow Statement'!$AR21,'2. Balance Sheet'!O:O)-SUMIF('2. Balance Sheet'!$AP:$AP,'3. Cash Flow Statement'!$AR21,'2. Balance Sheet'!N:N)</f>
        <v>0</v>
      </c>
      <c r="O21" s="91">
        <f>SUMIF('2. Balance Sheet'!$AP:$AP,'3. Cash Flow Statement'!$AR21,'2. Balance Sheet'!P:P)-SUMIF('2. Balance Sheet'!$AP:$AP,'3. Cash Flow Statement'!$AR21,'2. Balance Sheet'!O:O)</f>
        <v>0</v>
      </c>
      <c r="P21" s="91">
        <f>SUMIF('2. Balance Sheet'!$AP:$AP,'3. Cash Flow Statement'!$AR21,'2. Balance Sheet'!Q:Q)-SUMIF('2. Balance Sheet'!$AP:$AP,'3. Cash Flow Statement'!$AR21,'2. Balance Sheet'!P:P)</f>
        <v>0</v>
      </c>
      <c r="Q21" s="98">
        <f>SUM(E21:P21)</f>
        <v>100</v>
      </c>
      <c r="R21" s="91">
        <f>SUMIF('2. Balance Sheet'!$AP:$AP,'3. Cash Flow Statement'!$AR21,'2. Balance Sheet'!R:R)-SUMIF('2. Balance Sheet'!$AP:$AP,'3. Cash Flow Statement'!$AR21,'2. Balance Sheet'!Q:Q)</f>
        <v>0</v>
      </c>
      <c r="S21" s="91">
        <f>SUMIF('2. Balance Sheet'!$AP:$AP,'3. Cash Flow Statement'!$AR21,'2. Balance Sheet'!S:S)-SUMIF('2. Balance Sheet'!$AP:$AP,'3. Cash Flow Statement'!$AR21,'2. Balance Sheet'!R:R)</f>
        <v>-100</v>
      </c>
      <c r="T21" s="91">
        <f>SUMIF('2. Balance Sheet'!$AP:$AP,'3. Cash Flow Statement'!$AR21,'2. Balance Sheet'!T:T)-SUMIF('2. Balance Sheet'!$AP:$AP,'3. Cash Flow Statement'!$AR21,'2. Balance Sheet'!S:S)</f>
        <v>0</v>
      </c>
      <c r="U21" s="91">
        <f>SUMIF('2. Balance Sheet'!$AP:$AP,'3. Cash Flow Statement'!$AR21,'2. Balance Sheet'!U:U)-SUMIF('2. Balance Sheet'!$AP:$AP,'3. Cash Flow Statement'!$AR21,'2. Balance Sheet'!T:T)</f>
        <v>0</v>
      </c>
      <c r="V21" s="91">
        <f>SUMIF('2. Balance Sheet'!$AP:$AP,'3. Cash Flow Statement'!$AR21,'2. Balance Sheet'!V:V)-SUMIF('2. Balance Sheet'!$AP:$AP,'3. Cash Flow Statement'!$AR21,'2. Balance Sheet'!U:U)</f>
        <v>0</v>
      </c>
      <c r="W21" s="91">
        <f>SUMIF('2. Balance Sheet'!$AP:$AP,'3. Cash Flow Statement'!$AR21,'2. Balance Sheet'!W:W)-SUMIF('2. Balance Sheet'!$AP:$AP,'3. Cash Flow Statement'!$AR21,'2. Balance Sheet'!V:V)</f>
        <v>0</v>
      </c>
      <c r="X21" s="91">
        <f>SUMIF('2. Balance Sheet'!$AP:$AP,'3. Cash Flow Statement'!$AR21,'2. Balance Sheet'!X:X)-SUMIF('2. Balance Sheet'!$AP:$AP,'3. Cash Flow Statement'!$AR21,'2. Balance Sheet'!W:W)</f>
        <v>0</v>
      </c>
      <c r="Y21" s="91">
        <f>SUMIF('2. Balance Sheet'!$AP:$AP,'3. Cash Flow Statement'!$AR21,'2. Balance Sheet'!Y:Y)-SUMIF('2. Balance Sheet'!$AP:$AP,'3. Cash Flow Statement'!$AR21,'2. Balance Sheet'!X:X)</f>
        <v>0</v>
      </c>
      <c r="Z21" s="91">
        <f>SUMIF('2. Balance Sheet'!$AP:$AP,'3. Cash Flow Statement'!$AR21,'2. Balance Sheet'!Z:Z)-SUMIF('2. Balance Sheet'!$AP:$AP,'3. Cash Flow Statement'!$AR21,'2. Balance Sheet'!Y:Y)</f>
        <v>0</v>
      </c>
      <c r="AA21" s="91">
        <f>SUMIF('2. Balance Sheet'!$AP:$AP,'3. Cash Flow Statement'!$AR21,'2. Balance Sheet'!AA:AA)-SUMIF('2. Balance Sheet'!$AP:$AP,'3. Cash Flow Statement'!$AR21,'2. Balance Sheet'!Z:Z)</f>
        <v>0</v>
      </c>
      <c r="AB21" s="91">
        <f>SUMIF('2. Balance Sheet'!$AP:$AP,'3. Cash Flow Statement'!$AR21,'2. Balance Sheet'!AB:AB)-SUMIF('2. Balance Sheet'!$AP:$AP,'3. Cash Flow Statement'!$AR21,'2. Balance Sheet'!AA:AA)</f>
        <v>0</v>
      </c>
      <c r="AC21" s="91">
        <f>SUMIF('2. Balance Sheet'!$AP:$AP,'3. Cash Flow Statement'!$AR21,'2. Balance Sheet'!AC:AC)-SUMIF('2. Balance Sheet'!$AP:$AP,'3. Cash Flow Statement'!$AR21,'2. Balance Sheet'!AB:AB)</f>
        <v>0</v>
      </c>
      <c r="AD21" s="98">
        <f>SUM(R21:AC21)</f>
        <v>-100</v>
      </c>
      <c r="AE21" s="91">
        <f>SUMIF('2. Balance Sheet'!$AP:$AP,'3. Cash Flow Statement'!$AR21,'2. Balance Sheet'!AD:AD)-SUMIF('2. Balance Sheet'!$AP:$AP,'3. Cash Flow Statement'!$AR21,'2. Balance Sheet'!AC:AC)</f>
        <v>0</v>
      </c>
      <c r="AF21" s="91">
        <f>SUMIF('2. Balance Sheet'!$AP:$AP,'3. Cash Flow Statement'!$AR21,'2. Balance Sheet'!AE:AE)-SUMIF('2. Balance Sheet'!$AP:$AP,'3. Cash Flow Statement'!$AR21,'2. Balance Sheet'!AD:AD)</f>
        <v>0</v>
      </c>
      <c r="AG21" s="91">
        <f>SUMIF('2. Balance Sheet'!$AP:$AP,'3. Cash Flow Statement'!$AR21,'2. Balance Sheet'!AF:AF)-SUMIF('2. Balance Sheet'!$AP:$AP,'3. Cash Flow Statement'!$AR21,'2. Balance Sheet'!AE:AE)</f>
        <v>0</v>
      </c>
      <c r="AH21" s="91">
        <f>SUMIF('2. Balance Sheet'!$AP:$AP,'3. Cash Flow Statement'!$AR21,'2. Balance Sheet'!AG:AG)-SUMIF('2. Balance Sheet'!$AP:$AP,'3. Cash Flow Statement'!$AR21,'2. Balance Sheet'!AF:AF)</f>
        <v>0</v>
      </c>
      <c r="AI21" s="91">
        <f>SUMIF('2. Balance Sheet'!$AP:$AP,'3. Cash Flow Statement'!$AR21,'2. Balance Sheet'!AH:AH)-SUMIF('2. Balance Sheet'!$AP:$AP,'3. Cash Flow Statement'!$AR21,'2. Balance Sheet'!AG:AG)</f>
        <v>0</v>
      </c>
      <c r="AJ21" s="91">
        <f>SUMIF('2. Balance Sheet'!$AP:$AP,'3. Cash Flow Statement'!$AR21,'2. Balance Sheet'!AI:AI)-SUMIF('2. Balance Sheet'!$AP:$AP,'3. Cash Flow Statement'!$AR21,'2. Balance Sheet'!AH:AH)</f>
        <v>0</v>
      </c>
      <c r="AK21" s="91">
        <f>SUMIF('2. Balance Sheet'!$AP:$AP,'3. Cash Flow Statement'!$AR21,'2. Balance Sheet'!AJ:AJ)-SUMIF('2. Balance Sheet'!$AP:$AP,'3. Cash Flow Statement'!$AR21,'2. Balance Sheet'!AI:AI)</f>
        <v>0</v>
      </c>
      <c r="AL21" s="91">
        <f>SUMIF('2. Balance Sheet'!$AP:$AP,'3. Cash Flow Statement'!$AR21,'2. Balance Sheet'!AK:AK)-SUMIF('2. Balance Sheet'!$AP:$AP,'3. Cash Flow Statement'!$AR21,'2. Balance Sheet'!AJ:AJ)</f>
        <v>0</v>
      </c>
      <c r="AM21" s="91">
        <f>SUMIF('2. Balance Sheet'!$AP:$AP,'3. Cash Flow Statement'!$AR21,'2. Balance Sheet'!AL:AL)-SUMIF('2. Balance Sheet'!$AP:$AP,'3. Cash Flow Statement'!$AR21,'2. Balance Sheet'!AK:AK)</f>
        <v>0</v>
      </c>
      <c r="AN21" s="91">
        <f>SUMIF('2. Balance Sheet'!$AP:$AP,'3. Cash Flow Statement'!$AR21,'2. Balance Sheet'!AM:AM)-SUMIF('2. Balance Sheet'!$AP:$AP,'3. Cash Flow Statement'!$AR21,'2. Balance Sheet'!AL:AL)</f>
        <v>0</v>
      </c>
      <c r="AO21" s="98">
        <f>SUM(AE21:AN21)</f>
        <v>0</v>
      </c>
      <c r="AP21" s="98">
        <f>SUM(AO21,AB21:AC21)</f>
        <v>0</v>
      </c>
      <c r="AR21" s="91" t="s">
        <v>170</v>
      </c>
    </row>
    <row r="22" spans="2:44" x14ac:dyDescent="0.2">
      <c r="B22" s="12" t="s">
        <v>197</v>
      </c>
      <c r="C22" s="44"/>
      <c r="D22" s="44"/>
      <c r="E22" s="94">
        <f>SUM(E9:E21)</f>
        <v>-96.49084000000002</v>
      </c>
      <c r="F22" s="94">
        <f t="shared" ref="F22:AP22" si="3">SUM(F9:F21)</f>
        <v>136.14807999999994</v>
      </c>
      <c r="G22" s="94">
        <f t="shared" si="3"/>
        <v>-14.961779999999962</v>
      </c>
      <c r="H22" s="94">
        <f t="shared" si="3"/>
        <v>53.550089999999884</v>
      </c>
      <c r="I22" s="94">
        <f t="shared" si="3"/>
        <v>-112.60248999999995</v>
      </c>
      <c r="J22" s="94">
        <f t="shared" si="3"/>
        <v>12.965600000000052</v>
      </c>
      <c r="K22" s="94">
        <f t="shared" si="3"/>
        <v>-75.111000000000004</v>
      </c>
      <c r="L22" s="94">
        <f t="shared" si="3"/>
        <v>270.37135999999992</v>
      </c>
      <c r="M22" s="94">
        <f t="shared" si="3"/>
        <v>-108.82150000000001</v>
      </c>
      <c r="N22" s="94">
        <f t="shared" si="3"/>
        <v>-0.38740000000004216</v>
      </c>
      <c r="O22" s="94">
        <f t="shared" si="3"/>
        <v>81.915190000000081</v>
      </c>
      <c r="P22" s="94">
        <f t="shared" si="3"/>
        <v>-31.710280000000054</v>
      </c>
      <c r="Q22" s="99">
        <f t="shared" si="3"/>
        <v>114.86502999999972</v>
      </c>
      <c r="R22" s="94">
        <f t="shared" si="3"/>
        <v>-68.012750000000025</v>
      </c>
      <c r="S22" s="94">
        <f t="shared" si="3"/>
        <v>22.554609999999954</v>
      </c>
      <c r="T22" s="94">
        <f t="shared" si="3"/>
        <v>-40.483319999999964</v>
      </c>
      <c r="U22" s="94">
        <f t="shared" si="3"/>
        <v>-46.710400000000135</v>
      </c>
      <c r="V22" s="94">
        <f t="shared" si="3"/>
        <v>-99.185570000000041</v>
      </c>
      <c r="W22" s="94">
        <f t="shared" si="3"/>
        <v>109.50847999999993</v>
      </c>
      <c r="X22" s="94">
        <f t="shared" si="3"/>
        <v>-21.880979999999951</v>
      </c>
      <c r="Y22" s="94">
        <f t="shared" si="3"/>
        <v>-72.636399999999952</v>
      </c>
      <c r="Z22" s="94">
        <f t="shared" si="3"/>
        <v>25.523579999999825</v>
      </c>
      <c r="AA22" s="94">
        <f t="shared" si="3"/>
        <v>-97.058940000000106</v>
      </c>
      <c r="AB22" s="94">
        <f t="shared" si="3"/>
        <v>-5.2655099999998214</v>
      </c>
      <c r="AC22" s="94">
        <f t="shared" si="3"/>
        <v>64.458599999999919</v>
      </c>
      <c r="AD22" s="99">
        <f t="shared" si="3"/>
        <v>-229.18860000000032</v>
      </c>
      <c r="AE22" s="94">
        <f t="shared" si="3"/>
        <v>57.335070000000073</v>
      </c>
      <c r="AF22" s="94">
        <f t="shared" si="3"/>
        <v>-43.890028181818309</v>
      </c>
      <c r="AG22" s="94">
        <f t="shared" si="3"/>
        <v>9.7715118181818283</v>
      </c>
      <c r="AH22" s="94">
        <f t="shared" si="3"/>
        <v>74.594051818181839</v>
      </c>
      <c r="AI22" s="94">
        <f t="shared" si="3"/>
        <v>-49.188658181818127</v>
      </c>
      <c r="AJ22" s="94">
        <f t="shared" si="3"/>
        <v>-5.9576681818183346</v>
      </c>
      <c r="AK22" s="94">
        <f t="shared" si="3"/>
        <v>146.6210218181817</v>
      </c>
      <c r="AL22" s="94">
        <f t="shared" si="3"/>
        <v>36.336181818182013</v>
      </c>
      <c r="AM22" s="94">
        <f t="shared" si="3"/>
        <v>48.172781818181718</v>
      </c>
      <c r="AN22" s="94">
        <f t="shared" si="3"/>
        <v>103.80599181818182</v>
      </c>
      <c r="AO22" s="99">
        <f t="shared" si="3"/>
        <v>377.60025636363628</v>
      </c>
      <c r="AP22" s="99">
        <f t="shared" si="3"/>
        <v>436.79334636363632</v>
      </c>
    </row>
    <row r="23" spans="2:44" x14ac:dyDescent="0.2">
      <c r="B23" s="101"/>
      <c r="Q23" s="100"/>
      <c r="AD23" s="100"/>
      <c r="AO23" s="100"/>
      <c r="AP23" s="100"/>
    </row>
    <row r="24" spans="2:44" x14ac:dyDescent="0.2">
      <c r="B24" s="26" t="s">
        <v>198</v>
      </c>
      <c r="Q24" s="100"/>
      <c r="AD24" s="100"/>
      <c r="AO24" s="100"/>
      <c r="AP24" s="100"/>
    </row>
    <row r="25" spans="2:44" x14ac:dyDescent="0.2">
      <c r="B25" s="87" t="s">
        <v>199</v>
      </c>
      <c r="E25" s="91">
        <f>SUMIF('2. Balance Sheet'!$AP:$AP,'3. Cash Flow Statement'!$AR25,'2. Balance Sheet'!E:E)-SUMIF('2. Balance Sheet'!$AP:$AP,'3. Cash Flow Statement'!$AR25,'2. Balance Sheet'!F:F)-E12</f>
        <v>-2.2204460492503131E-14</v>
      </c>
      <c r="F25" s="91">
        <f>SUMIF('2. Balance Sheet'!$AP:$AP,'3. Cash Flow Statement'!$AR25,'2. Balance Sheet'!F:F)-SUMIF('2. Balance Sheet'!$AP:$AP,'3. Cash Flow Statement'!$AR25,'2. Balance Sheet'!G:G)-F12</f>
        <v>7.5495165674510645E-15</v>
      </c>
      <c r="G25" s="91">
        <f>SUMIF('2. Balance Sheet'!$AP:$AP,'3. Cash Flow Statement'!$AR25,'2. Balance Sheet'!G:G)-SUMIF('2. Balance Sheet'!$AP:$AP,'3. Cash Flow Statement'!$AR25,'2. Balance Sheet'!H:H)-G12</f>
        <v>-4.7073456244106637E-14</v>
      </c>
      <c r="H25" s="91">
        <f>SUMIF('2. Balance Sheet'!$AP:$AP,'3. Cash Flow Statement'!$AR25,'2. Balance Sheet'!H:H)-SUMIF('2. Balance Sheet'!$AP:$AP,'3. Cash Flow Statement'!$AR25,'2. Balance Sheet'!I:I)-H12</f>
        <v>2.0872192862952943E-14</v>
      </c>
      <c r="I25" s="91">
        <f>SUMIF('2. Balance Sheet'!$AP:$AP,'3. Cash Flow Statement'!$AR25,'2. Balance Sheet'!I:I)-SUMIF('2. Balance Sheet'!$AP:$AP,'3. Cash Flow Statement'!$AR25,'2. Balance Sheet'!J:J)-I12</f>
        <v>-1.9539925233402755E-14</v>
      </c>
      <c r="J25" s="91">
        <f>SUMIF('2. Balance Sheet'!$AP:$AP,'3. Cash Flow Statement'!$AR25,'2. Balance Sheet'!J:J)-SUMIF('2. Balance Sheet'!$AP:$AP,'3. Cash Flow Statement'!$AR25,'2. Balance Sheet'!K:K)-J12</f>
        <v>1.6431300764452317E-14</v>
      </c>
      <c r="K25" s="91">
        <f>SUMIF('2. Balance Sheet'!$AP:$AP,'3. Cash Flow Statement'!$AR25,'2. Balance Sheet'!K:K)-SUMIF('2. Balance Sheet'!$AP:$AP,'3. Cash Flow Statement'!$AR25,'2. Balance Sheet'!L:L)-K12</f>
        <v>3.4194869158454821E-14</v>
      </c>
      <c r="L25" s="91">
        <f>SUMIF('2. Balance Sheet'!$AP:$AP,'3. Cash Flow Statement'!$AR25,'2. Balance Sheet'!L:L)-SUMIF('2. Balance Sheet'!$AP:$AP,'3. Cash Flow Statement'!$AR25,'2. Balance Sheet'!M:M)-L12</f>
        <v>0</v>
      </c>
      <c r="M25" s="91">
        <f>SUMIF('2. Balance Sheet'!$AP:$AP,'3. Cash Flow Statement'!$AR25,'2. Balance Sheet'!M:M)-SUMIF('2. Balance Sheet'!$AP:$AP,'3. Cash Flow Statement'!$AR25,'2. Balance Sheet'!N:N)-M12</f>
        <v>-3.1086244689504383E-14</v>
      </c>
      <c r="N25" s="91">
        <f>SUMIF('2. Balance Sheet'!$AP:$AP,'3. Cash Flow Statement'!$AR25,'2. Balance Sheet'!N:N)-SUMIF('2. Balance Sheet'!$AP:$AP,'3. Cash Flow Statement'!$AR25,'2. Balance Sheet'!O:O)-N12</f>
        <v>1.7319479184152442E-14</v>
      </c>
      <c r="O25" s="91">
        <f>SUMIF('2. Balance Sheet'!$AP:$AP,'3. Cash Flow Statement'!$AR25,'2. Balance Sheet'!O:O)-SUMIF('2. Balance Sheet'!$AP:$AP,'3. Cash Flow Statement'!$AR25,'2. Balance Sheet'!P:P)-O12</f>
        <v>-1.1102230246251565E-14</v>
      </c>
      <c r="P25" s="91">
        <f>SUMIF('2. Balance Sheet'!$AP:$AP,'3. Cash Flow Statement'!$AR25,'2. Balance Sheet'!P:P)-SUMIF('2. Balance Sheet'!$AP:$AP,'3. Cash Flow Statement'!$AR25,'2. Balance Sheet'!Q:Q)-P12</f>
        <v>0</v>
      </c>
      <c r="Q25" s="98">
        <f>SUM(E25:P25)</f>
        <v>-3.4638958368304884E-14</v>
      </c>
      <c r="R25" s="91">
        <f>SUMIF('2. Balance Sheet'!$AP:$AP,'3. Cash Flow Statement'!$AR25,'2. Balance Sheet'!Q:Q)-SUMIF('2. Balance Sheet'!$AP:$AP,'3. Cash Flow Statement'!$AR25,'2. Balance Sheet'!R:R)-R12</f>
        <v>-4.9737991503207013E-14</v>
      </c>
      <c r="S25" s="91">
        <f>SUMIF('2. Balance Sheet'!$AP:$AP,'3. Cash Flow Statement'!$AR25,'2. Balance Sheet'!R:R)-SUMIF('2. Balance Sheet'!$AP:$AP,'3. Cash Flow Statement'!$AR25,'2. Balance Sheet'!S:S)-S12</f>
        <v>1.9984014443252818E-14</v>
      </c>
      <c r="T25" s="91">
        <f>SUMIF('2. Balance Sheet'!$AP:$AP,'3. Cash Flow Statement'!$AR25,'2. Balance Sheet'!S:S)-SUMIF('2. Balance Sheet'!$AP:$AP,'3. Cash Flow Statement'!$AR25,'2. Balance Sheet'!T:T)-T12</f>
        <v>1.7319479184152442E-14</v>
      </c>
      <c r="U25" s="91">
        <f>SUMIF('2. Balance Sheet'!$AP:$AP,'3. Cash Flow Statement'!$AR25,'2. Balance Sheet'!T:T)-SUMIF('2. Balance Sheet'!$AP:$AP,'3. Cash Flow Statement'!$AR25,'2. Balance Sheet'!U:U)-U12</f>
        <v>2.6645352591003757E-14</v>
      </c>
      <c r="V25" s="91">
        <f>SUMIF('2. Balance Sheet'!$AP:$AP,'3. Cash Flow Statement'!$AR25,'2. Balance Sheet'!U:U)-SUMIF('2. Balance Sheet'!$AP:$AP,'3. Cash Flow Statement'!$AR25,'2. Balance Sheet'!V:V)-V12</f>
        <v>-4.5297099404706387E-14</v>
      </c>
      <c r="W25" s="91">
        <f>SUMIF('2. Balance Sheet'!$AP:$AP,'3. Cash Flow Statement'!$AR25,'2. Balance Sheet'!V:V)-SUMIF('2. Balance Sheet'!$AP:$AP,'3. Cash Flow Statement'!$AR25,'2. Balance Sheet'!W:W)-W12</f>
        <v>-2.3536728122053319E-14</v>
      </c>
      <c r="X25" s="91">
        <f>SUMIF('2. Balance Sheet'!$AP:$AP,'3. Cash Flow Statement'!$AR25,'2. Balance Sheet'!W:W)-SUMIF('2. Balance Sheet'!$AP:$AP,'3. Cash Flow Statement'!$AR25,'2. Balance Sheet'!X:X)-X12</f>
        <v>3.8191672047105385E-14</v>
      </c>
      <c r="Y25" s="91">
        <f>SUMIF('2. Balance Sheet'!$AP:$AP,'3. Cash Flow Statement'!$AR25,'2. Balance Sheet'!X:X)-SUMIF('2. Balance Sheet'!$AP:$AP,'3. Cash Flow Statement'!$AR25,'2. Balance Sheet'!Y:Y)-Y12</f>
        <v>-3.3750779948604759E-14</v>
      </c>
      <c r="Z25" s="91">
        <f>SUMIF('2. Balance Sheet'!$AP:$AP,'3. Cash Flow Statement'!$AR25,'2. Balance Sheet'!Y:Y)-SUMIF('2. Balance Sheet'!$AP:$AP,'3. Cash Flow Statement'!$AR25,'2. Balance Sheet'!Z:Z)-Z12</f>
        <v>1.4654943925052066E-14</v>
      </c>
      <c r="AA25" s="91">
        <f>SUMIF('2. Balance Sheet'!$AP:$AP,'3. Cash Flow Statement'!$AR25,'2. Balance Sheet'!Z:Z)-SUMIF('2. Balance Sheet'!$AP:$AP,'3. Cash Flow Statement'!$AR25,'2. Balance Sheet'!AA:AA)-AA12</f>
        <v>-4.8849813083506888E-15</v>
      </c>
      <c r="AB25" s="91">
        <f>SUMIF('2. Balance Sheet'!$AP:$AP,'3. Cash Flow Statement'!$AR25,'2. Balance Sheet'!AA:AA)-SUMIF('2. Balance Sheet'!$AP:$AP,'3. Cash Flow Statement'!$AR25,'2. Balance Sheet'!AB:AB)-AB12</f>
        <v>-2.3092638912203256E-14</v>
      </c>
      <c r="AC25" s="91">
        <f>SUMIF('2. Balance Sheet'!$AP:$AP,'3. Cash Flow Statement'!$AR25,'2. Balance Sheet'!AB:AB)-SUMIF('2. Balance Sheet'!$AP:$AP,'3. Cash Flow Statement'!$AR25,'2. Balance Sheet'!AC:AC)-AC12</f>
        <v>9.7699626167013776E-15</v>
      </c>
      <c r="AD25" s="98">
        <f>SUM(R25:AC25)</f>
        <v>-5.3734794391857577E-14</v>
      </c>
      <c r="AE25" s="91">
        <f>SUMIF('2. Balance Sheet'!$AP:$AP,'3. Cash Flow Statement'!$AR25,'2. Balance Sheet'!AC:AC)-SUMIF('2. Balance Sheet'!$AP:$AP,'3. Cash Flow Statement'!$AR25,'2. Balance Sheet'!AD:AD)-AE12</f>
        <v>7.9936057773011271E-15</v>
      </c>
      <c r="AF25" s="91">
        <f>SUMIF('2. Balance Sheet'!$AP:$AP,'3. Cash Flow Statement'!$AR25,'2. Balance Sheet'!AD:AD)-SUMIF('2. Balance Sheet'!$AP:$AP,'3. Cash Flow Statement'!$AR25,'2. Balance Sheet'!AE:AE)-AF12</f>
        <v>1.4654943925052066E-14</v>
      </c>
      <c r="AG25" s="91">
        <f>SUMIF('2. Balance Sheet'!$AP:$AP,'3. Cash Flow Statement'!$AR25,'2. Balance Sheet'!AE:AE)-SUMIF('2. Balance Sheet'!$AP:$AP,'3. Cash Flow Statement'!$AR25,'2. Balance Sheet'!AF:AF)-AG12</f>
        <v>1.8207657603852567E-14</v>
      </c>
      <c r="AH25" s="91">
        <f>SUMIF('2. Balance Sheet'!$AP:$AP,'3. Cash Flow Statement'!$AR25,'2. Balance Sheet'!AF:AF)-SUMIF('2. Balance Sheet'!$AP:$AP,'3. Cash Flow Statement'!$AR25,'2. Balance Sheet'!AG:AG)-AH12</f>
        <v>-2.4868995751603507E-14</v>
      </c>
      <c r="AI25" s="91">
        <f>SUMIF('2. Balance Sheet'!$AP:$AP,'3. Cash Flow Statement'!$AR25,'2. Balance Sheet'!AG:AG)-SUMIF('2. Balance Sheet'!$AP:$AP,'3. Cash Flow Statement'!$AR25,'2. Balance Sheet'!AH:AH)-AI12</f>
        <v>1.1990408665951691E-14</v>
      </c>
      <c r="AJ25" s="91">
        <f>SUMIF('2. Balance Sheet'!$AP:$AP,'3. Cash Flow Statement'!$AR25,'2. Balance Sheet'!AH:AH)-SUMIF('2. Balance Sheet'!$AP:$AP,'3. Cash Flow Statement'!$AR25,'2. Balance Sheet'!AI:AI)-AJ12</f>
        <v>-4.4408920985006262E-15</v>
      </c>
      <c r="AK25" s="91">
        <f>SUMIF('2. Balance Sheet'!$AP:$AP,'3. Cash Flow Statement'!$AR25,'2. Balance Sheet'!AI:AI)-SUMIF('2. Balance Sheet'!$AP:$AP,'3. Cash Flow Statement'!$AR25,'2. Balance Sheet'!AJ:AJ)-AK12</f>
        <v>6.2172489379008766E-15</v>
      </c>
      <c r="AL25" s="91">
        <f>SUMIF('2. Balance Sheet'!$AP:$AP,'3. Cash Flow Statement'!$AR25,'2. Balance Sheet'!AJ:AJ)-SUMIF('2. Balance Sheet'!$AP:$AP,'3. Cash Flow Statement'!$AR25,'2. Balance Sheet'!AK:AK)-AL12</f>
        <v>1.5099033134902129E-14</v>
      </c>
      <c r="AM25" s="91">
        <f>SUMIF('2. Balance Sheet'!$AP:$AP,'3. Cash Flow Statement'!$AR25,'2. Balance Sheet'!AK:AK)-SUMIF('2. Balance Sheet'!$AP:$AP,'3. Cash Flow Statement'!$AR25,'2. Balance Sheet'!AL:AL)-AM12</f>
        <v>4.1300296516055823E-14</v>
      </c>
      <c r="AN25" s="91">
        <f>SUMIF('2. Balance Sheet'!$AP:$AP,'3. Cash Flow Statement'!$AR25,'2. Balance Sheet'!AL:AL)-SUMIF('2. Balance Sheet'!$AP:$AP,'3. Cash Flow Statement'!$AR25,'2. Balance Sheet'!AM:AM)-AN12</f>
        <v>-2.3092638912203256E-14</v>
      </c>
      <c r="AO25" s="98">
        <f>SUM(AE25:AN25)</f>
        <v>6.3060667798708891E-14</v>
      </c>
      <c r="AP25" s="98">
        <f>SUM(AO25,AB25:AC25)</f>
        <v>4.9737991503207013E-14</v>
      </c>
      <c r="AR25" s="91" t="s">
        <v>200</v>
      </c>
    </row>
    <row r="26" spans="2:44" x14ac:dyDescent="0.2">
      <c r="B26" s="12" t="s">
        <v>201</v>
      </c>
      <c r="C26" s="44"/>
      <c r="D26" s="44"/>
      <c r="E26" s="94">
        <f>+E25</f>
        <v>-2.2204460492503131E-14</v>
      </c>
      <c r="F26" s="94">
        <f t="shared" ref="F26:AP26" si="4">+F25</f>
        <v>7.5495165674510645E-15</v>
      </c>
      <c r="G26" s="94">
        <f t="shared" si="4"/>
        <v>-4.7073456244106637E-14</v>
      </c>
      <c r="H26" s="94">
        <f t="shared" si="4"/>
        <v>2.0872192862952943E-14</v>
      </c>
      <c r="I26" s="94">
        <f t="shared" si="4"/>
        <v>-1.9539925233402755E-14</v>
      </c>
      <c r="J26" s="94">
        <f t="shared" si="4"/>
        <v>1.6431300764452317E-14</v>
      </c>
      <c r="K26" s="94">
        <f t="shared" si="4"/>
        <v>3.4194869158454821E-14</v>
      </c>
      <c r="L26" s="94">
        <f t="shared" si="4"/>
        <v>0</v>
      </c>
      <c r="M26" s="94">
        <f t="shared" si="4"/>
        <v>-3.1086244689504383E-14</v>
      </c>
      <c r="N26" s="94">
        <f t="shared" si="4"/>
        <v>1.7319479184152442E-14</v>
      </c>
      <c r="O26" s="94">
        <f t="shared" si="4"/>
        <v>-1.1102230246251565E-14</v>
      </c>
      <c r="P26" s="94">
        <f t="shared" si="4"/>
        <v>0</v>
      </c>
      <c r="Q26" s="99">
        <f t="shared" si="4"/>
        <v>-3.4638958368304884E-14</v>
      </c>
      <c r="R26" s="94">
        <f t="shared" si="4"/>
        <v>-4.9737991503207013E-14</v>
      </c>
      <c r="S26" s="94">
        <f t="shared" si="4"/>
        <v>1.9984014443252818E-14</v>
      </c>
      <c r="T26" s="94">
        <f t="shared" si="4"/>
        <v>1.7319479184152442E-14</v>
      </c>
      <c r="U26" s="94">
        <f t="shared" si="4"/>
        <v>2.6645352591003757E-14</v>
      </c>
      <c r="V26" s="94">
        <f t="shared" si="4"/>
        <v>-4.5297099404706387E-14</v>
      </c>
      <c r="W26" s="94">
        <f t="shared" si="4"/>
        <v>-2.3536728122053319E-14</v>
      </c>
      <c r="X26" s="94">
        <f t="shared" si="4"/>
        <v>3.8191672047105385E-14</v>
      </c>
      <c r="Y26" s="94">
        <f t="shared" si="4"/>
        <v>-3.3750779948604759E-14</v>
      </c>
      <c r="Z26" s="94">
        <f t="shared" si="4"/>
        <v>1.4654943925052066E-14</v>
      </c>
      <c r="AA26" s="94">
        <f t="shared" si="4"/>
        <v>-4.8849813083506888E-15</v>
      </c>
      <c r="AB26" s="94">
        <f t="shared" si="4"/>
        <v>-2.3092638912203256E-14</v>
      </c>
      <c r="AC26" s="94">
        <f t="shared" si="4"/>
        <v>9.7699626167013776E-15</v>
      </c>
      <c r="AD26" s="99">
        <f t="shared" si="4"/>
        <v>-5.3734794391857577E-14</v>
      </c>
      <c r="AE26" s="94">
        <f t="shared" si="4"/>
        <v>7.9936057773011271E-15</v>
      </c>
      <c r="AF26" s="94">
        <f t="shared" si="4"/>
        <v>1.4654943925052066E-14</v>
      </c>
      <c r="AG26" s="94">
        <f t="shared" si="4"/>
        <v>1.8207657603852567E-14</v>
      </c>
      <c r="AH26" s="94">
        <f t="shared" si="4"/>
        <v>-2.4868995751603507E-14</v>
      </c>
      <c r="AI26" s="94">
        <f t="shared" si="4"/>
        <v>1.1990408665951691E-14</v>
      </c>
      <c r="AJ26" s="94">
        <f t="shared" si="4"/>
        <v>-4.4408920985006262E-15</v>
      </c>
      <c r="AK26" s="94">
        <f t="shared" si="4"/>
        <v>6.2172489379008766E-15</v>
      </c>
      <c r="AL26" s="94">
        <f t="shared" si="4"/>
        <v>1.5099033134902129E-14</v>
      </c>
      <c r="AM26" s="94">
        <f t="shared" si="4"/>
        <v>4.1300296516055823E-14</v>
      </c>
      <c r="AN26" s="94">
        <f t="shared" si="4"/>
        <v>-2.3092638912203256E-14</v>
      </c>
      <c r="AO26" s="99">
        <f t="shared" si="4"/>
        <v>6.3060667798708891E-14</v>
      </c>
      <c r="AP26" s="99">
        <f t="shared" si="4"/>
        <v>4.9737991503207013E-14</v>
      </c>
    </row>
    <row r="27" spans="2:44" x14ac:dyDescent="0.2">
      <c r="B27" s="101"/>
      <c r="Q27" s="100"/>
      <c r="AD27" s="100"/>
      <c r="AO27" s="100"/>
      <c r="AP27" s="100"/>
    </row>
    <row r="28" spans="2:44" x14ac:dyDescent="0.2">
      <c r="B28" s="26" t="s">
        <v>202</v>
      </c>
      <c r="Q28" s="100"/>
      <c r="AD28" s="100"/>
      <c r="AO28" s="100"/>
      <c r="AP28" s="100"/>
    </row>
    <row r="29" spans="2:44" x14ac:dyDescent="0.2">
      <c r="B29" s="87" t="s">
        <v>203</v>
      </c>
      <c r="E29" s="91">
        <f>SUMIF('2. Balance Sheet'!$AP:$AP,'3. Cash Flow Statement'!$AR29,'2. Balance Sheet'!F:F)-SUMIF('2. Balance Sheet'!$AP:$AP,'3. Cash Flow Statement'!$AR29,'2. Balance Sheet'!E:E)</f>
        <v>0</v>
      </c>
      <c r="F29" s="91">
        <f>SUMIF('2. Balance Sheet'!$AP:$AP,'3. Cash Flow Statement'!$AR29,'2. Balance Sheet'!G:G)-SUMIF('2. Balance Sheet'!$AP:$AP,'3. Cash Flow Statement'!$AR29,'2. Balance Sheet'!F:F)</f>
        <v>0</v>
      </c>
      <c r="G29" s="91">
        <f>SUMIF('2. Balance Sheet'!$AP:$AP,'3. Cash Flow Statement'!$AR29,'2. Balance Sheet'!H:H)-SUMIF('2. Balance Sheet'!$AP:$AP,'3. Cash Flow Statement'!$AR29,'2. Balance Sheet'!G:G)</f>
        <v>50</v>
      </c>
      <c r="H29" s="91">
        <f>SUMIF('2. Balance Sheet'!$AP:$AP,'3. Cash Flow Statement'!$AR29,'2. Balance Sheet'!I:I)-SUMIF('2. Balance Sheet'!$AP:$AP,'3. Cash Flow Statement'!$AR29,'2. Balance Sheet'!H:H)</f>
        <v>0</v>
      </c>
      <c r="I29" s="91">
        <f>SUMIF('2. Balance Sheet'!$AP:$AP,'3. Cash Flow Statement'!$AR29,'2. Balance Sheet'!J:J)-SUMIF('2. Balance Sheet'!$AP:$AP,'3. Cash Flow Statement'!$AR29,'2. Balance Sheet'!I:I)</f>
        <v>0</v>
      </c>
      <c r="J29" s="91">
        <f>SUMIF('2. Balance Sheet'!$AP:$AP,'3. Cash Flow Statement'!$AR29,'2. Balance Sheet'!K:K)-SUMIF('2. Balance Sheet'!$AP:$AP,'3. Cash Flow Statement'!$AR29,'2. Balance Sheet'!J:J)</f>
        <v>-30</v>
      </c>
      <c r="K29" s="91">
        <f>SUMIF('2. Balance Sheet'!$AP:$AP,'3. Cash Flow Statement'!$AR29,'2. Balance Sheet'!L:L)-SUMIF('2. Balance Sheet'!$AP:$AP,'3. Cash Flow Statement'!$AR29,'2. Balance Sheet'!K:K)</f>
        <v>0</v>
      </c>
      <c r="L29" s="91">
        <f>SUMIF('2. Balance Sheet'!$AP:$AP,'3. Cash Flow Statement'!$AR29,'2. Balance Sheet'!M:M)-SUMIF('2. Balance Sheet'!$AP:$AP,'3. Cash Flow Statement'!$AR29,'2. Balance Sheet'!L:L)</f>
        <v>0</v>
      </c>
      <c r="M29" s="91">
        <f>SUMIF('2. Balance Sheet'!$AP:$AP,'3. Cash Flow Statement'!$AR29,'2. Balance Sheet'!N:N)-SUMIF('2. Balance Sheet'!$AP:$AP,'3. Cash Flow Statement'!$AR29,'2. Balance Sheet'!M:M)</f>
        <v>40</v>
      </c>
      <c r="N29" s="91">
        <f>SUMIF('2. Balance Sheet'!$AP:$AP,'3. Cash Flow Statement'!$AR29,'2. Balance Sheet'!O:O)-SUMIF('2. Balance Sheet'!$AP:$AP,'3. Cash Flow Statement'!$AR29,'2. Balance Sheet'!N:N)</f>
        <v>0</v>
      </c>
      <c r="O29" s="91">
        <f>SUMIF('2. Balance Sheet'!$AP:$AP,'3. Cash Flow Statement'!$AR29,'2. Balance Sheet'!P:P)-SUMIF('2. Balance Sheet'!$AP:$AP,'3. Cash Flow Statement'!$AR29,'2. Balance Sheet'!O:O)</f>
        <v>0</v>
      </c>
      <c r="P29" s="91">
        <f>SUMIF('2. Balance Sheet'!$AP:$AP,'3. Cash Flow Statement'!$AR29,'2. Balance Sheet'!Q:Q)-SUMIF('2. Balance Sheet'!$AP:$AP,'3. Cash Flow Statement'!$AR29,'2. Balance Sheet'!P:P)</f>
        <v>0</v>
      </c>
      <c r="Q29" s="98">
        <f>SUM(E29:P29)</f>
        <v>60</v>
      </c>
      <c r="R29" s="91">
        <f>SUMIF('2. Balance Sheet'!$AP:$AP,'3. Cash Flow Statement'!$AR29,'2. Balance Sheet'!R:R)-SUMIF('2. Balance Sheet'!$AP:$AP,'3. Cash Flow Statement'!$AR29,'2. Balance Sheet'!Q:Q)</f>
        <v>-25</v>
      </c>
      <c r="S29" s="91">
        <f>SUMIF('2. Balance Sheet'!$AP:$AP,'3. Cash Flow Statement'!$AR29,'2. Balance Sheet'!S:S)-SUMIF('2. Balance Sheet'!$AP:$AP,'3. Cash Flow Statement'!$AR29,'2. Balance Sheet'!R:R)</f>
        <v>0</v>
      </c>
      <c r="T29" s="91">
        <f>SUMIF('2. Balance Sheet'!$AP:$AP,'3. Cash Flow Statement'!$AR29,'2. Balance Sheet'!T:T)-SUMIF('2. Balance Sheet'!$AP:$AP,'3. Cash Flow Statement'!$AR29,'2. Balance Sheet'!S:S)</f>
        <v>0</v>
      </c>
      <c r="U29" s="91">
        <f>SUMIF('2. Balance Sheet'!$AP:$AP,'3. Cash Flow Statement'!$AR29,'2. Balance Sheet'!U:U)-SUMIF('2. Balance Sheet'!$AP:$AP,'3. Cash Flow Statement'!$AR29,'2. Balance Sheet'!T:T)</f>
        <v>-35</v>
      </c>
      <c r="V29" s="91">
        <f>SUMIF('2. Balance Sheet'!$AP:$AP,'3. Cash Flow Statement'!$AR29,'2. Balance Sheet'!V:V)-SUMIF('2. Balance Sheet'!$AP:$AP,'3. Cash Flow Statement'!$AR29,'2. Balance Sheet'!U:U)</f>
        <v>0</v>
      </c>
      <c r="W29" s="91">
        <f>SUMIF('2. Balance Sheet'!$AP:$AP,'3. Cash Flow Statement'!$AR29,'2. Balance Sheet'!W:W)-SUMIF('2. Balance Sheet'!$AP:$AP,'3. Cash Flow Statement'!$AR29,'2. Balance Sheet'!V:V)</f>
        <v>0</v>
      </c>
      <c r="X29" s="91">
        <f>SUMIF('2. Balance Sheet'!$AP:$AP,'3. Cash Flow Statement'!$AR29,'2. Balance Sheet'!X:X)-SUMIF('2. Balance Sheet'!$AP:$AP,'3. Cash Flow Statement'!$AR29,'2. Balance Sheet'!W:W)</f>
        <v>60</v>
      </c>
      <c r="Y29" s="91">
        <f>SUMIF('2. Balance Sheet'!$AP:$AP,'3. Cash Flow Statement'!$AR29,'2. Balance Sheet'!Y:Y)-SUMIF('2. Balance Sheet'!$AP:$AP,'3. Cash Flow Statement'!$AR29,'2. Balance Sheet'!X:X)</f>
        <v>0</v>
      </c>
      <c r="Z29" s="91">
        <f>SUMIF('2. Balance Sheet'!$AP:$AP,'3. Cash Flow Statement'!$AR29,'2. Balance Sheet'!Z:Z)-SUMIF('2. Balance Sheet'!$AP:$AP,'3. Cash Flow Statement'!$AR29,'2. Balance Sheet'!Y:Y)</f>
        <v>0</v>
      </c>
      <c r="AA29" s="91">
        <f>SUMIF('2. Balance Sheet'!$AP:$AP,'3. Cash Flow Statement'!$AR29,'2. Balance Sheet'!AA:AA)-SUMIF('2. Balance Sheet'!$AP:$AP,'3. Cash Flow Statement'!$AR29,'2. Balance Sheet'!Z:Z)</f>
        <v>-40</v>
      </c>
      <c r="AB29" s="91">
        <f>SUMIF('2. Balance Sheet'!$AP:$AP,'3. Cash Flow Statement'!$AR29,'2. Balance Sheet'!AB:AB)-SUMIF('2. Balance Sheet'!$AP:$AP,'3. Cash Flow Statement'!$AR29,'2. Balance Sheet'!AA:AA)</f>
        <v>0</v>
      </c>
      <c r="AC29" s="91">
        <f>SUMIF('2. Balance Sheet'!$AP:$AP,'3. Cash Flow Statement'!$AR29,'2. Balance Sheet'!AC:AC)-SUMIF('2. Balance Sheet'!$AP:$AP,'3. Cash Flow Statement'!$AR29,'2. Balance Sheet'!AB:AB)</f>
        <v>0</v>
      </c>
      <c r="AD29" s="98">
        <f>SUM(R29:AC29)</f>
        <v>-40</v>
      </c>
      <c r="AE29" s="91">
        <f>SUMIF('2. Balance Sheet'!$AP:$AP,'3. Cash Flow Statement'!$AR29,'2. Balance Sheet'!AD:AD)-SUMIF('2. Balance Sheet'!$AP:$AP,'3. Cash Flow Statement'!$AR29,'2. Balance Sheet'!AC:AC)</f>
        <v>0</v>
      </c>
      <c r="AF29" s="91">
        <f>SUMIF('2. Balance Sheet'!$AP:$AP,'3. Cash Flow Statement'!$AR29,'2. Balance Sheet'!AE:AE)-SUMIF('2. Balance Sheet'!$AP:$AP,'3. Cash Flow Statement'!$AR29,'2. Balance Sheet'!AD:AD)</f>
        <v>-50</v>
      </c>
      <c r="AG29" s="91">
        <f>SUMIF('2. Balance Sheet'!$AP:$AP,'3. Cash Flow Statement'!$AR29,'2. Balance Sheet'!AF:AF)-SUMIF('2. Balance Sheet'!$AP:$AP,'3. Cash Flow Statement'!$AR29,'2. Balance Sheet'!AE:AE)</f>
        <v>0</v>
      </c>
      <c r="AH29" s="91">
        <f>SUMIF('2. Balance Sheet'!$AP:$AP,'3. Cash Flow Statement'!$AR29,'2. Balance Sheet'!AG:AG)-SUMIF('2. Balance Sheet'!$AP:$AP,'3. Cash Flow Statement'!$AR29,'2. Balance Sheet'!AF:AF)</f>
        <v>0</v>
      </c>
      <c r="AI29" s="91">
        <f>SUMIF('2. Balance Sheet'!$AP:$AP,'3. Cash Flow Statement'!$AR29,'2. Balance Sheet'!AH:AH)-SUMIF('2. Balance Sheet'!$AP:$AP,'3. Cash Flow Statement'!$AR29,'2. Balance Sheet'!AG:AG)</f>
        <v>30</v>
      </c>
      <c r="AJ29" s="91">
        <f>SUMIF('2. Balance Sheet'!$AP:$AP,'3. Cash Flow Statement'!$AR29,'2. Balance Sheet'!AI:AI)-SUMIF('2. Balance Sheet'!$AP:$AP,'3. Cash Flow Statement'!$AR29,'2. Balance Sheet'!AH:AH)</f>
        <v>0</v>
      </c>
      <c r="AK29" s="91">
        <f>SUMIF('2. Balance Sheet'!$AP:$AP,'3. Cash Flow Statement'!$AR29,'2. Balance Sheet'!AJ:AJ)-SUMIF('2. Balance Sheet'!$AP:$AP,'3. Cash Flow Statement'!$AR29,'2. Balance Sheet'!AI:AI)</f>
        <v>0</v>
      </c>
      <c r="AL29" s="91">
        <f>SUMIF('2. Balance Sheet'!$AP:$AP,'3. Cash Flow Statement'!$AR29,'2. Balance Sheet'!AK:AK)-SUMIF('2. Balance Sheet'!$AP:$AP,'3. Cash Flow Statement'!$AR29,'2. Balance Sheet'!AJ:AJ)</f>
        <v>0</v>
      </c>
      <c r="AM29" s="91">
        <f>SUMIF('2. Balance Sheet'!$AP:$AP,'3. Cash Flow Statement'!$AR29,'2. Balance Sheet'!AL:AL)-SUMIF('2. Balance Sheet'!$AP:$AP,'3. Cash Flow Statement'!$AR29,'2. Balance Sheet'!AK:AK)</f>
        <v>0</v>
      </c>
      <c r="AN29" s="91">
        <f>SUMIF('2. Balance Sheet'!$AP:$AP,'3. Cash Flow Statement'!$AR29,'2. Balance Sheet'!AM:AM)-SUMIF('2. Balance Sheet'!$AP:$AP,'3. Cash Flow Statement'!$AR29,'2. Balance Sheet'!AL:AL)</f>
        <v>0</v>
      </c>
      <c r="AO29" s="98">
        <f>SUM(AE29:AN29)</f>
        <v>-20</v>
      </c>
      <c r="AP29" s="98">
        <f>SUM(AO29,AB29:AC29)</f>
        <v>-20</v>
      </c>
      <c r="AR29" s="91" t="s">
        <v>207</v>
      </c>
    </row>
    <row r="30" spans="2:44" x14ac:dyDescent="0.2">
      <c r="B30" s="87" t="s">
        <v>205</v>
      </c>
      <c r="E30" s="91">
        <f>SUMIF('2. Balance Sheet'!$AP:$AP,'3. Cash Flow Statement'!$AR30,'2. Balance Sheet'!F:F)-SUMIF('2. Balance Sheet'!$AP:$AP,'3. Cash Flow Statement'!$AR30,'2. Balance Sheet'!E:E)</f>
        <v>-4.5</v>
      </c>
      <c r="F30" s="91">
        <f>SUMIF('2. Balance Sheet'!$AP:$AP,'3. Cash Flow Statement'!$AR30,'2. Balance Sheet'!G:G)-SUMIF('2. Balance Sheet'!$AP:$AP,'3. Cash Flow Statement'!$AR30,'2. Balance Sheet'!F:F)</f>
        <v>-4.5</v>
      </c>
      <c r="G30" s="91">
        <f>SUMIF('2. Balance Sheet'!$AP:$AP,'3. Cash Flow Statement'!$AR30,'2. Balance Sheet'!H:H)-SUMIF('2. Balance Sheet'!$AP:$AP,'3. Cash Flow Statement'!$AR30,'2. Balance Sheet'!G:G)</f>
        <v>-4.5</v>
      </c>
      <c r="H30" s="91">
        <f>SUMIF('2. Balance Sheet'!$AP:$AP,'3. Cash Flow Statement'!$AR30,'2. Balance Sheet'!I:I)-SUMIF('2. Balance Sheet'!$AP:$AP,'3. Cash Flow Statement'!$AR30,'2. Balance Sheet'!H:H)</f>
        <v>-4.5</v>
      </c>
      <c r="I30" s="91">
        <f>SUMIF('2. Balance Sheet'!$AP:$AP,'3. Cash Flow Statement'!$AR30,'2. Balance Sheet'!J:J)-SUMIF('2. Balance Sheet'!$AP:$AP,'3. Cash Flow Statement'!$AR30,'2. Balance Sheet'!I:I)</f>
        <v>-4.5</v>
      </c>
      <c r="J30" s="91">
        <f>SUMIF('2. Balance Sheet'!$AP:$AP,'3. Cash Flow Statement'!$AR30,'2. Balance Sheet'!K:K)-SUMIF('2. Balance Sheet'!$AP:$AP,'3. Cash Flow Statement'!$AR30,'2. Balance Sheet'!J:J)</f>
        <v>-4.5</v>
      </c>
      <c r="K30" s="91">
        <f>SUMIF('2. Balance Sheet'!$AP:$AP,'3. Cash Flow Statement'!$AR30,'2. Balance Sheet'!L:L)-SUMIF('2. Balance Sheet'!$AP:$AP,'3. Cash Flow Statement'!$AR30,'2. Balance Sheet'!K:K)</f>
        <v>-4.5</v>
      </c>
      <c r="L30" s="91">
        <f>SUMIF('2. Balance Sheet'!$AP:$AP,'3. Cash Flow Statement'!$AR30,'2. Balance Sheet'!M:M)-SUMIF('2. Balance Sheet'!$AP:$AP,'3. Cash Flow Statement'!$AR30,'2. Balance Sheet'!L:L)</f>
        <v>-4.5</v>
      </c>
      <c r="M30" s="91">
        <f>SUMIF('2. Balance Sheet'!$AP:$AP,'3. Cash Flow Statement'!$AR30,'2. Balance Sheet'!N:N)-SUMIF('2. Balance Sheet'!$AP:$AP,'3. Cash Flow Statement'!$AR30,'2. Balance Sheet'!M:M)</f>
        <v>-4.5</v>
      </c>
      <c r="N30" s="91">
        <f>SUMIF('2. Balance Sheet'!$AP:$AP,'3. Cash Flow Statement'!$AR30,'2. Balance Sheet'!O:O)-SUMIF('2. Balance Sheet'!$AP:$AP,'3. Cash Flow Statement'!$AR30,'2. Balance Sheet'!N:N)</f>
        <v>-4.5</v>
      </c>
      <c r="O30" s="91">
        <f>SUMIF('2. Balance Sheet'!$AP:$AP,'3. Cash Flow Statement'!$AR30,'2. Balance Sheet'!P:P)-SUMIF('2. Balance Sheet'!$AP:$AP,'3. Cash Flow Statement'!$AR30,'2. Balance Sheet'!O:O)</f>
        <v>-4.5</v>
      </c>
      <c r="P30" s="91">
        <f>SUMIF('2. Balance Sheet'!$AP:$AP,'3. Cash Flow Statement'!$AR30,'2. Balance Sheet'!Q:Q)-SUMIF('2. Balance Sheet'!$AP:$AP,'3. Cash Flow Statement'!$AR30,'2. Balance Sheet'!P:P)</f>
        <v>-4.5</v>
      </c>
      <c r="Q30" s="98">
        <f>SUM(E30:P30)</f>
        <v>-54</v>
      </c>
      <c r="R30" s="91">
        <f>SUMIF('2. Balance Sheet'!$AP:$AP,'3. Cash Flow Statement'!$AR30,'2. Balance Sheet'!R:R)-SUMIF('2. Balance Sheet'!$AP:$AP,'3. Cash Flow Statement'!$AR30,'2. Balance Sheet'!Q:Q)</f>
        <v>-4.5</v>
      </c>
      <c r="S30" s="91">
        <f>SUMIF('2. Balance Sheet'!$AP:$AP,'3. Cash Flow Statement'!$AR30,'2. Balance Sheet'!S:S)-SUMIF('2. Balance Sheet'!$AP:$AP,'3. Cash Flow Statement'!$AR30,'2. Balance Sheet'!R:R)</f>
        <v>-4.5</v>
      </c>
      <c r="T30" s="91">
        <f>SUMIF('2. Balance Sheet'!$AP:$AP,'3. Cash Flow Statement'!$AR30,'2. Balance Sheet'!T:T)-SUMIF('2. Balance Sheet'!$AP:$AP,'3. Cash Flow Statement'!$AR30,'2. Balance Sheet'!S:S)</f>
        <v>-4.5</v>
      </c>
      <c r="U30" s="91">
        <f>SUMIF('2. Balance Sheet'!$AP:$AP,'3. Cash Flow Statement'!$AR30,'2. Balance Sheet'!U:U)-SUMIF('2. Balance Sheet'!$AP:$AP,'3. Cash Flow Statement'!$AR30,'2. Balance Sheet'!T:T)</f>
        <v>-4.5</v>
      </c>
      <c r="V30" s="91">
        <f>SUMIF('2. Balance Sheet'!$AP:$AP,'3. Cash Flow Statement'!$AR30,'2. Balance Sheet'!V:V)-SUMIF('2. Balance Sheet'!$AP:$AP,'3. Cash Flow Statement'!$AR30,'2. Balance Sheet'!U:U)</f>
        <v>-4.5</v>
      </c>
      <c r="W30" s="91">
        <f>SUMIF('2. Balance Sheet'!$AP:$AP,'3. Cash Flow Statement'!$AR30,'2. Balance Sheet'!W:W)-SUMIF('2. Balance Sheet'!$AP:$AP,'3. Cash Flow Statement'!$AR30,'2. Balance Sheet'!V:V)</f>
        <v>-4.5</v>
      </c>
      <c r="X30" s="91">
        <f>SUMIF('2. Balance Sheet'!$AP:$AP,'3. Cash Flow Statement'!$AR30,'2. Balance Sheet'!X:X)-SUMIF('2. Balance Sheet'!$AP:$AP,'3. Cash Flow Statement'!$AR30,'2. Balance Sheet'!W:W)</f>
        <v>-4.5</v>
      </c>
      <c r="Y30" s="91">
        <f>SUMIF('2. Balance Sheet'!$AP:$AP,'3. Cash Flow Statement'!$AR30,'2. Balance Sheet'!Y:Y)-SUMIF('2. Balance Sheet'!$AP:$AP,'3. Cash Flow Statement'!$AR30,'2. Balance Sheet'!X:X)</f>
        <v>-4.5</v>
      </c>
      <c r="Z30" s="91">
        <f>SUMIF('2. Balance Sheet'!$AP:$AP,'3. Cash Flow Statement'!$AR30,'2. Balance Sheet'!Z:Z)-SUMIF('2. Balance Sheet'!$AP:$AP,'3. Cash Flow Statement'!$AR30,'2. Balance Sheet'!Y:Y)</f>
        <v>-4.5</v>
      </c>
      <c r="AA30" s="91">
        <f>SUMIF('2. Balance Sheet'!$AP:$AP,'3. Cash Flow Statement'!$AR30,'2. Balance Sheet'!AA:AA)-SUMIF('2. Balance Sheet'!$AP:$AP,'3. Cash Flow Statement'!$AR30,'2. Balance Sheet'!Z:Z)</f>
        <v>-4.5</v>
      </c>
      <c r="AB30" s="91">
        <f>SUMIF('2. Balance Sheet'!$AP:$AP,'3. Cash Flow Statement'!$AR30,'2. Balance Sheet'!AB:AB)-SUMIF('2. Balance Sheet'!$AP:$AP,'3. Cash Flow Statement'!$AR30,'2. Balance Sheet'!AA:AA)</f>
        <v>-4.5</v>
      </c>
      <c r="AC30" s="91">
        <f>SUMIF('2. Balance Sheet'!$AP:$AP,'3. Cash Flow Statement'!$AR30,'2. Balance Sheet'!AC:AC)-SUMIF('2. Balance Sheet'!$AP:$AP,'3. Cash Flow Statement'!$AR30,'2. Balance Sheet'!AB:AB)</f>
        <v>-4.5</v>
      </c>
      <c r="AD30" s="98">
        <f>SUM(R30:AC30)</f>
        <v>-54</v>
      </c>
      <c r="AE30" s="91">
        <f>SUMIF('2. Balance Sheet'!$AP:$AP,'3. Cash Flow Statement'!$AR30,'2. Balance Sheet'!AD:AD)-SUMIF('2. Balance Sheet'!$AP:$AP,'3. Cash Flow Statement'!$AR30,'2. Balance Sheet'!AC:AC)</f>
        <v>-4.5</v>
      </c>
      <c r="AF30" s="91">
        <f>SUMIF('2. Balance Sheet'!$AP:$AP,'3. Cash Flow Statement'!$AR30,'2. Balance Sheet'!AE:AE)-SUMIF('2. Balance Sheet'!$AP:$AP,'3. Cash Flow Statement'!$AR30,'2. Balance Sheet'!AD:AD)</f>
        <v>-4.5</v>
      </c>
      <c r="AG30" s="91">
        <f>SUMIF('2. Balance Sheet'!$AP:$AP,'3. Cash Flow Statement'!$AR30,'2. Balance Sheet'!AF:AF)-SUMIF('2. Balance Sheet'!$AP:$AP,'3. Cash Flow Statement'!$AR30,'2. Balance Sheet'!AE:AE)</f>
        <v>-4.5</v>
      </c>
      <c r="AH30" s="91">
        <f>SUMIF('2. Balance Sheet'!$AP:$AP,'3. Cash Flow Statement'!$AR30,'2. Balance Sheet'!AG:AG)-SUMIF('2. Balance Sheet'!$AP:$AP,'3. Cash Flow Statement'!$AR30,'2. Balance Sheet'!AF:AF)</f>
        <v>-4.5</v>
      </c>
      <c r="AI30" s="91">
        <f>SUMIF('2. Balance Sheet'!$AP:$AP,'3. Cash Flow Statement'!$AR30,'2. Balance Sheet'!AH:AH)-SUMIF('2. Balance Sheet'!$AP:$AP,'3. Cash Flow Statement'!$AR30,'2. Balance Sheet'!AG:AG)</f>
        <v>-4.5</v>
      </c>
      <c r="AJ30" s="91">
        <f>SUMIF('2. Balance Sheet'!$AP:$AP,'3. Cash Flow Statement'!$AR30,'2. Balance Sheet'!AI:AI)-SUMIF('2. Balance Sheet'!$AP:$AP,'3. Cash Flow Statement'!$AR30,'2. Balance Sheet'!AH:AH)</f>
        <v>-4.5</v>
      </c>
      <c r="AK30" s="91">
        <f>SUMIF('2. Balance Sheet'!$AP:$AP,'3. Cash Flow Statement'!$AR30,'2. Balance Sheet'!AJ:AJ)-SUMIF('2. Balance Sheet'!$AP:$AP,'3. Cash Flow Statement'!$AR30,'2. Balance Sheet'!AI:AI)</f>
        <v>-4.5</v>
      </c>
      <c r="AL30" s="91">
        <f>SUMIF('2. Balance Sheet'!$AP:$AP,'3. Cash Flow Statement'!$AR30,'2. Balance Sheet'!AK:AK)-SUMIF('2. Balance Sheet'!$AP:$AP,'3. Cash Flow Statement'!$AR30,'2. Balance Sheet'!AJ:AJ)</f>
        <v>-4.5</v>
      </c>
      <c r="AM30" s="91">
        <f>SUMIF('2. Balance Sheet'!$AP:$AP,'3. Cash Flow Statement'!$AR30,'2. Balance Sheet'!AL:AL)-SUMIF('2. Balance Sheet'!$AP:$AP,'3. Cash Flow Statement'!$AR30,'2. Balance Sheet'!AK:AK)</f>
        <v>-4.5</v>
      </c>
      <c r="AN30" s="91">
        <f>SUMIF('2. Balance Sheet'!$AP:$AP,'3. Cash Flow Statement'!$AR30,'2. Balance Sheet'!AM:AM)-SUMIF('2. Balance Sheet'!$AP:$AP,'3. Cash Flow Statement'!$AR30,'2. Balance Sheet'!AL:AL)</f>
        <v>-4.5</v>
      </c>
      <c r="AO30" s="98">
        <f>SUM(AE30:AN30)</f>
        <v>-45</v>
      </c>
      <c r="AP30" s="98">
        <f>SUM(AO30,AB30:AC30)</f>
        <v>-54</v>
      </c>
      <c r="AR30" s="91" t="s">
        <v>173</v>
      </c>
    </row>
    <row r="31" spans="2:44" x14ac:dyDescent="0.2">
      <c r="B31" s="87" t="s">
        <v>204</v>
      </c>
      <c r="E31" s="91">
        <f>SUMIF('2. Balance Sheet'!$AP:$AP,'3. Cash Flow Statement'!$AR31,'2. Balance Sheet'!F:F)-SUMIF('2. Balance Sheet'!$AP:$AP,'3. Cash Flow Statement'!$AR31,'2. Balance Sheet'!E:E)</f>
        <v>-2.5</v>
      </c>
      <c r="F31" s="91">
        <f>SUMIF('2. Balance Sheet'!$AP:$AP,'3. Cash Flow Statement'!$AR31,'2. Balance Sheet'!G:G)-SUMIF('2. Balance Sheet'!$AP:$AP,'3. Cash Flow Statement'!$AR31,'2. Balance Sheet'!F:F)</f>
        <v>-2.5</v>
      </c>
      <c r="G31" s="91">
        <f>SUMIF('2. Balance Sheet'!$AP:$AP,'3. Cash Flow Statement'!$AR31,'2. Balance Sheet'!H:H)-SUMIF('2. Balance Sheet'!$AP:$AP,'3. Cash Flow Statement'!$AR31,'2. Balance Sheet'!G:G)</f>
        <v>-2.5</v>
      </c>
      <c r="H31" s="91">
        <f>SUMIF('2. Balance Sheet'!$AP:$AP,'3. Cash Flow Statement'!$AR31,'2. Balance Sheet'!I:I)-SUMIF('2. Balance Sheet'!$AP:$AP,'3. Cash Flow Statement'!$AR31,'2. Balance Sheet'!H:H)</f>
        <v>-2.5</v>
      </c>
      <c r="I31" s="91">
        <f>SUMIF('2. Balance Sheet'!$AP:$AP,'3. Cash Flow Statement'!$AR31,'2. Balance Sheet'!J:J)-SUMIF('2. Balance Sheet'!$AP:$AP,'3. Cash Flow Statement'!$AR31,'2. Balance Sheet'!I:I)</f>
        <v>-2.5</v>
      </c>
      <c r="J31" s="91">
        <f>SUMIF('2. Balance Sheet'!$AP:$AP,'3. Cash Flow Statement'!$AR31,'2. Balance Sheet'!K:K)-SUMIF('2. Balance Sheet'!$AP:$AP,'3. Cash Flow Statement'!$AR31,'2. Balance Sheet'!J:J)</f>
        <v>-2.5</v>
      </c>
      <c r="K31" s="91">
        <f>SUMIF('2. Balance Sheet'!$AP:$AP,'3. Cash Flow Statement'!$AR31,'2. Balance Sheet'!L:L)-SUMIF('2. Balance Sheet'!$AP:$AP,'3. Cash Flow Statement'!$AR31,'2. Balance Sheet'!K:K)</f>
        <v>-2.5</v>
      </c>
      <c r="L31" s="91">
        <f>SUMIF('2. Balance Sheet'!$AP:$AP,'3. Cash Flow Statement'!$AR31,'2. Balance Sheet'!M:M)-SUMIF('2. Balance Sheet'!$AP:$AP,'3. Cash Flow Statement'!$AR31,'2. Balance Sheet'!L:L)</f>
        <v>-2.5</v>
      </c>
      <c r="M31" s="91">
        <f>SUMIF('2. Balance Sheet'!$AP:$AP,'3. Cash Flow Statement'!$AR31,'2. Balance Sheet'!N:N)-SUMIF('2. Balance Sheet'!$AP:$AP,'3. Cash Flow Statement'!$AR31,'2. Balance Sheet'!M:M)</f>
        <v>-2.5</v>
      </c>
      <c r="N31" s="91">
        <f>SUMIF('2. Balance Sheet'!$AP:$AP,'3. Cash Flow Statement'!$AR31,'2. Balance Sheet'!O:O)-SUMIF('2. Balance Sheet'!$AP:$AP,'3. Cash Flow Statement'!$AR31,'2. Balance Sheet'!N:N)</f>
        <v>-2.5</v>
      </c>
      <c r="O31" s="91">
        <f>SUMIF('2. Balance Sheet'!$AP:$AP,'3. Cash Flow Statement'!$AR31,'2. Balance Sheet'!P:P)-SUMIF('2. Balance Sheet'!$AP:$AP,'3. Cash Flow Statement'!$AR31,'2. Balance Sheet'!O:O)</f>
        <v>-2.5</v>
      </c>
      <c r="P31" s="91">
        <f>SUMIF('2. Balance Sheet'!$AP:$AP,'3. Cash Flow Statement'!$AR31,'2. Balance Sheet'!Q:Q)-SUMIF('2. Balance Sheet'!$AP:$AP,'3. Cash Flow Statement'!$AR31,'2. Balance Sheet'!P:P)</f>
        <v>-2.5</v>
      </c>
      <c r="Q31" s="98">
        <f>SUM(E31:P31)</f>
        <v>-30</v>
      </c>
      <c r="R31" s="91">
        <f>SUMIF('2. Balance Sheet'!$AP:$AP,'3. Cash Flow Statement'!$AR31,'2. Balance Sheet'!R:R)-SUMIF('2. Balance Sheet'!$AP:$AP,'3. Cash Flow Statement'!$AR31,'2. Balance Sheet'!Q:Q)</f>
        <v>-2.5</v>
      </c>
      <c r="S31" s="91">
        <f>SUMIF('2. Balance Sheet'!$AP:$AP,'3. Cash Flow Statement'!$AR31,'2. Balance Sheet'!S:S)-SUMIF('2. Balance Sheet'!$AP:$AP,'3. Cash Flow Statement'!$AR31,'2. Balance Sheet'!R:R)</f>
        <v>-2.5</v>
      </c>
      <c r="T31" s="91">
        <f>SUMIF('2. Balance Sheet'!$AP:$AP,'3. Cash Flow Statement'!$AR31,'2. Balance Sheet'!T:T)-SUMIF('2. Balance Sheet'!$AP:$AP,'3. Cash Flow Statement'!$AR31,'2. Balance Sheet'!S:S)</f>
        <v>-2.5</v>
      </c>
      <c r="U31" s="91">
        <f>SUMIF('2. Balance Sheet'!$AP:$AP,'3. Cash Flow Statement'!$AR31,'2. Balance Sheet'!U:U)-SUMIF('2. Balance Sheet'!$AP:$AP,'3. Cash Flow Statement'!$AR31,'2. Balance Sheet'!T:T)</f>
        <v>-2.5</v>
      </c>
      <c r="V31" s="91">
        <f>SUMIF('2. Balance Sheet'!$AP:$AP,'3. Cash Flow Statement'!$AR31,'2. Balance Sheet'!V:V)-SUMIF('2. Balance Sheet'!$AP:$AP,'3. Cash Flow Statement'!$AR31,'2. Balance Sheet'!U:U)</f>
        <v>-2.5</v>
      </c>
      <c r="W31" s="91">
        <f>SUMIF('2. Balance Sheet'!$AP:$AP,'3. Cash Flow Statement'!$AR31,'2. Balance Sheet'!W:W)-SUMIF('2. Balance Sheet'!$AP:$AP,'3. Cash Flow Statement'!$AR31,'2. Balance Sheet'!V:V)</f>
        <v>-2.5</v>
      </c>
      <c r="X31" s="91">
        <f>SUMIF('2. Balance Sheet'!$AP:$AP,'3. Cash Flow Statement'!$AR31,'2. Balance Sheet'!X:X)-SUMIF('2. Balance Sheet'!$AP:$AP,'3. Cash Flow Statement'!$AR31,'2. Balance Sheet'!W:W)</f>
        <v>-2.5</v>
      </c>
      <c r="Y31" s="91">
        <f>SUMIF('2. Balance Sheet'!$AP:$AP,'3. Cash Flow Statement'!$AR31,'2. Balance Sheet'!Y:Y)-SUMIF('2. Balance Sheet'!$AP:$AP,'3. Cash Flow Statement'!$AR31,'2. Balance Sheet'!X:X)</f>
        <v>-2.5</v>
      </c>
      <c r="Z31" s="91">
        <f>SUMIF('2. Balance Sheet'!$AP:$AP,'3. Cash Flow Statement'!$AR31,'2. Balance Sheet'!Z:Z)-SUMIF('2. Balance Sheet'!$AP:$AP,'3. Cash Flow Statement'!$AR31,'2. Balance Sheet'!Y:Y)</f>
        <v>-2.5</v>
      </c>
      <c r="AA31" s="91">
        <f>SUMIF('2. Balance Sheet'!$AP:$AP,'3. Cash Flow Statement'!$AR31,'2. Balance Sheet'!AA:AA)-SUMIF('2. Balance Sheet'!$AP:$AP,'3. Cash Flow Statement'!$AR31,'2. Balance Sheet'!Z:Z)</f>
        <v>-2.5</v>
      </c>
      <c r="AB31" s="91">
        <f>SUMIF('2. Balance Sheet'!$AP:$AP,'3. Cash Flow Statement'!$AR31,'2. Balance Sheet'!AB:AB)-SUMIF('2. Balance Sheet'!$AP:$AP,'3. Cash Flow Statement'!$AR31,'2. Balance Sheet'!AA:AA)</f>
        <v>-2.5</v>
      </c>
      <c r="AC31" s="91">
        <f>SUMIF('2. Balance Sheet'!$AP:$AP,'3. Cash Flow Statement'!$AR31,'2. Balance Sheet'!AC:AC)-SUMIF('2. Balance Sheet'!$AP:$AP,'3. Cash Flow Statement'!$AR31,'2. Balance Sheet'!AB:AB)</f>
        <v>-2.5</v>
      </c>
      <c r="AD31" s="98">
        <f>SUM(R31:AC31)</f>
        <v>-30</v>
      </c>
      <c r="AE31" s="91">
        <f>SUMIF('2. Balance Sheet'!$AP:$AP,'3. Cash Flow Statement'!$AR31,'2. Balance Sheet'!AD:AD)-SUMIF('2. Balance Sheet'!$AP:$AP,'3. Cash Flow Statement'!$AR31,'2. Balance Sheet'!AC:AC)</f>
        <v>-2.5</v>
      </c>
      <c r="AF31" s="91">
        <f>SUMIF('2. Balance Sheet'!$AP:$AP,'3. Cash Flow Statement'!$AR31,'2. Balance Sheet'!AE:AE)-SUMIF('2. Balance Sheet'!$AP:$AP,'3. Cash Flow Statement'!$AR31,'2. Balance Sheet'!AD:AD)</f>
        <v>-2.5</v>
      </c>
      <c r="AG31" s="91">
        <f>SUMIF('2. Balance Sheet'!$AP:$AP,'3. Cash Flow Statement'!$AR31,'2. Balance Sheet'!AF:AF)-SUMIF('2. Balance Sheet'!$AP:$AP,'3. Cash Flow Statement'!$AR31,'2. Balance Sheet'!AE:AE)</f>
        <v>-2.5</v>
      </c>
      <c r="AH31" s="91">
        <f>SUMIF('2. Balance Sheet'!$AP:$AP,'3. Cash Flow Statement'!$AR31,'2. Balance Sheet'!AG:AG)-SUMIF('2. Balance Sheet'!$AP:$AP,'3. Cash Flow Statement'!$AR31,'2. Balance Sheet'!AF:AF)</f>
        <v>-2.5</v>
      </c>
      <c r="AI31" s="91">
        <f>SUMIF('2. Balance Sheet'!$AP:$AP,'3. Cash Flow Statement'!$AR31,'2. Balance Sheet'!AH:AH)-SUMIF('2. Balance Sheet'!$AP:$AP,'3. Cash Flow Statement'!$AR31,'2. Balance Sheet'!AG:AG)</f>
        <v>-2.5</v>
      </c>
      <c r="AJ31" s="91">
        <f>SUMIF('2. Balance Sheet'!$AP:$AP,'3. Cash Flow Statement'!$AR31,'2. Balance Sheet'!AI:AI)-SUMIF('2. Balance Sheet'!$AP:$AP,'3. Cash Flow Statement'!$AR31,'2. Balance Sheet'!AH:AH)</f>
        <v>-2.5</v>
      </c>
      <c r="AK31" s="91">
        <f>SUMIF('2. Balance Sheet'!$AP:$AP,'3. Cash Flow Statement'!$AR31,'2. Balance Sheet'!AJ:AJ)-SUMIF('2. Balance Sheet'!$AP:$AP,'3. Cash Flow Statement'!$AR31,'2. Balance Sheet'!AI:AI)</f>
        <v>-2.5</v>
      </c>
      <c r="AL31" s="91">
        <f>SUMIF('2. Balance Sheet'!$AP:$AP,'3. Cash Flow Statement'!$AR31,'2. Balance Sheet'!AK:AK)-SUMIF('2. Balance Sheet'!$AP:$AP,'3. Cash Flow Statement'!$AR31,'2. Balance Sheet'!AJ:AJ)</f>
        <v>-2.5</v>
      </c>
      <c r="AM31" s="91">
        <f>SUMIF('2. Balance Sheet'!$AP:$AP,'3. Cash Flow Statement'!$AR31,'2. Balance Sheet'!AL:AL)-SUMIF('2. Balance Sheet'!$AP:$AP,'3. Cash Flow Statement'!$AR31,'2. Balance Sheet'!AK:AK)</f>
        <v>-2.5</v>
      </c>
      <c r="AN31" s="91">
        <f>SUMIF('2. Balance Sheet'!$AP:$AP,'3. Cash Flow Statement'!$AR31,'2. Balance Sheet'!AM:AM)-SUMIF('2. Balance Sheet'!$AP:$AP,'3. Cash Flow Statement'!$AR31,'2. Balance Sheet'!AL:AL)</f>
        <v>-2.5</v>
      </c>
      <c r="AO31" s="98">
        <f>SUM(AE31:AN31)</f>
        <v>-25</v>
      </c>
      <c r="AP31" s="98">
        <f>SUM(AO31,AB31:AC31)</f>
        <v>-30</v>
      </c>
      <c r="AR31" s="91" t="s">
        <v>175</v>
      </c>
    </row>
    <row r="32" spans="2:44" x14ac:dyDescent="0.2">
      <c r="B32" s="87" t="s">
        <v>206</v>
      </c>
      <c r="E32" s="91">
        <f>SUMIF('2. Balance Sheet'!$AP:$AP,'3. Cash Flow Statement'!$AR32,'2. Balance Sheet'!F:F)-SUMIF('2. Balance Sheet'!$AP:$AP,'3. Cash Flow Statement'!$AR32,'2. Balance Sheet'!E:E)-E9</f>
        <v>-1.9999999977926564E-5</v>
      </c>
      <c r="F32" s="91">
        <f>SUMIF('2. Balance Sheet'!$AP:$AP,'3. Cash Flow Statement'!$AR32,'2. Balance Sheet'!G:G)-SUMIF('2. Balance Sheet'!$AP:$AP,'3. Cash Flow Statement'!$AR32,'2. Balance Sheet'!F:F)-F9</f>
        <v>2.9999999952678991E-5</v>
      </c>
      <c r="G32" s="91">
        <f>SUMIF('2. Balance Sheet'!$AP:$AP,'3. Cash Flow Statement'!$AR32,'2. Balance Sheet'!H:H)-SUMIF('2. Balance Sheet'!$AP:$AP,'3. Cash Flow Statement'!$AR32,'2. Balance Sheet'!G:G)-G9</f>
        <v>0</v>
      </c>
      <c r="H32" s="91">
        <f>SUMIF('2. Balance Sheet'!$AP:$AP,'3. Cash Flow Statement'!$AR32,'2. Balance Sheet'!I:I)-SUMIF('2. Balance Sheet'!$AP:$AP,'3. Cash Flow Statement'!$AR32,'2. Balance Sheet'!H:H)-H9</f>
        <v>3.5527136788005009E-14</v>
      </c>
      <c r="I32" s="91">
        <f>SUMIF('2. Balance Sheet'!$AP:$AP,'3. Cash Flow Statement'!$AR32,'2. Balance Sheet'!J:J)-SUMIF('2. Balance Sheet'!$AP:$AP,'3. Cash Flow Statement'!$AR32,'2. Balance Sheet'!I:I)-I9</f>
        <v>-9.9999999747524271E-6</v>
      </c>
      <c r="J32" s="91">
        <f>SUMIF('2. Balance Sheet'!$AP:$AP,'3. Cash Flow Statement'!$AR32,'2. Balance Sheet'!K:K)-SUMIF('2. Balance Sheet'!$AP:$AP,'3. Cash Flow Statement'!$AR32,'2. Balance Sheet'!J:J)-J9</f>
        <v>9.9999999605415724E-6</v>
      </c>
      <c r="K32" s="91">
        <f>SUMIF('2. Balance Sheet'!$AP:$AP,'3. Cash Flow Statement'!$AR32,'2. Balance Sheet'!L:L)-SUMIF('2. Balance Sheet'!$AP:$AP,'3. Cash Flow Statement'!$AR32,'2. Balance Sheet'!K:K)-K9</f>
        <v>2.0000000006348273E-5</v>
      </c>
      <c r="L32" s="91">
        <f>SUMIF('2. Balance Sheet'!$AP:$AP,'3. Cash Flow Statement'!$AR32,'2. Balance Sheet'!M:M)-SUMIF('2. Balance Sheet'!$AP:$AP,'3. Cash Flow Statement'!$AR32,'2. Balance Sheet'!L:L)-L9</f>
        <v>-1.9999999913977717E-5</v>
      </c>
      <c r="M32" s="91">
        <f>SUMIF('2. Balance Sheet'!$AP:$AP,'3. Cash Flow Statement'!$AR32,'2. Balance Sheet'!N:N)-SUMIF('2. Balance Sheet'!$AP:$AP,'3. Cash Flow Statement'!$AR32,'2. Balance Sheet'!M:M)-M9</f>
        <v>4.0000000012696546E-5</v>
      </c>
      <c r="N32" s="91">
        <f>SUMIF('2. Balance Sheet'!$AP:$AP,'3. Cash Flow Statement'!$AR32,'2. Balance Sheet'!O:O)-SUMIF('2. Balance Sheet'!$AP:$AP,'3. Cash Flow Statement'!$AR32,'2. Balance Sheet'!N:N)-N9</f>
        <v>1.000000000672685E-5</v>
      </c>
      <c r="O32" s="91">
        <f>SUMIF('2. Balance Sheet'!$AP:$AP,'3. Cash Flow Statement'!$AR32,'2. Balance Sheet'!P:P)-SUMIF('2. Balance Sheet'!$AP:$AP,'3. Cash Flow Statement'!$AR32,'2. Balance Sheet'!O:O)-O9</f>
        <v>9.9999999658706429E-6</v>
      </c>
      <c r="P32" s="91">
        <f>SUMIF('2. Balance Sheet'!$AP:$AP,'3. Cash Flow Statement'!$AR32,'2. Balance Sheet'!Q:Q)-SUMIF('2. Balance Sheet'!$AP:$AP,'3. Cash Flow Statement'!$AR32,'2. Balance Sheet'!P:P)-P9</f>
        <v>48.523470000000295</v>
      </c>
      <c r="Q32" s="98">
        <f>SUM(E32:P32)</f>
        <v>48.523540000000366</v>
      </c>
      <c r="R32" s="91">
        <f>SUMIF('2. Balance Sheet'!$AP:$AP,'3. Cash Flow Statement'!$AR32,'2. Balance Sheet'!R:R)-SUMIF('2. Balance Sheet'!$AP:$AP,'3. Cash Flow Statement'!$AR32,'2. Balance Sheet'!Q:Q)-R9</f>
        <v>0</v>
      </c>
      <c r="S32" s="91">
        <f>SUMIF('2. Balance Sheet'!$AP:$AP,'3. Cash Flow Statement'!$AR32,'2. Balance Sheet'!S:S)-SUMIF('2. Balance Sheet'!$AP:$AP,'3. Cash Flow Statement'!$AR32,'2. Balance Sheet'!R:R)-S9</f>
        <v>0</v>
      </c>
      <c r="T32" s="91">
        <f>SUMIF('2. Balance Sheet'!$AP:$AP,'3. Cash Flow Statement'!$AR32,'2. Balance Sheet'!T:T)-SUMIF('2. Balance Sheet'!$AP:$AP,'3. Cash Flow Statement'!$AR32,'2. Balance Sheet'!S:S)-T9</f>
        <v>0</v>
      </c>
      <c r="U32" s="91">
        <f>SUMIF('2. Balance Sheet'!$AP:$AP,'3. Cash Flow Statement'!$AR32,'2. Balance Sheet'!U:U)-SUMIF('2. Balance Sheet'!$AP:$AP,'3. Cash Flow Statement'!$AR32,'2. Balance Sheet'!T:T)-U9</f>
        <v>-1.9999999992137418E-5</v>
      </c>
      <c r="V32" s="91">
        <f>SUMIF('2. Balance Sheet'!$AP:$AP,'3. Cash Flow Statement'!$AR32,'2. Balance Sheet'!V:V)-SUMIF('2. Balance Sheet'!$AP:$AP,'3. Cash Flow Statement'!$AR32,'2. Balance Sheet'!U:U)-V9</f>
        <v>1.9999999992137418E-5</v>
      </c>
      <c r="W32" s="91">
        <f>SUMIF('2. Balance Sheet'!$AP:$AP,'3. Cash Flow Statement'!$AR32,'2. Balance Sheet'!W:W)-SUMIF('2. Balance Sheet'!$AP:$AP,'3. Cash Flow Statement'!$AR32,'2. Balance Sheet'!V:V)-W9</f>
        <v>3.9999999945194986E-5</v>
      </c>
      <c r="X32" s="91">
        <f>SUMIF('2. Balance Sheet'!$AP:$AP,'3. Cash Flow Statement'!$AR32,'2. Balance Sheet'!X:X)-SUMIF('2. Balance Sheet'!$AP:$AP,'3. Cash Flow Statement'!$AR32,'2. Balance Sheet'!W:W)-X9</f>
        <v>0</v>
      </c>
      <c r="Y32" s="91">
        <f>SUMIF('2. Balance Sheet'!$AP:$AP,'3. Cash Flow Statement'!$AR32,'2. Balance Sheet'!Y:Y)-SUMIF('2. Balance Sheet'!$AP:$AP,'3. Cash Flow Statement'!$AR32,'2. Balance Sheet'!X:X)-Y9</f>
        <v>-2.0000000063191692E-5</v>
      </c>
      <c r="Z32" s="91">
        <f>SUMIF('2. Balance Sheet'!$AP:$AP,'3. Cash Flow Statement'!$AR32,'2. Balance Sheet'!Z:Z)-SUMIF('2. Balance Sheet'!$AP:$AP,'3. Cash Flow Statement'!$AR32,'2. Balance Sheet'!Y:Y)-Z9</f>
        <v>1.9999999985031991E-5</v>
      </c>
      <c r="AA32" s="91">
        <f>SUMIF('2. Balance Sheet'!$AP:$AP,'3. Cash Flow Statement'!$AR32,'2. Balance Sheet'!AA:AA)-SUMIF('2. Balance Sheet'!$AP:$AP,'3. Cash Flow Statement'!$AR32,'2. Balance Sheet'!Z:Z)-AA9</f>
        <v>1.0000000060017555E-5</v>
      </c>
      <c r="AB32" s="91">
        <f>SUMIF('2. Balance Sheet'!$AP:$AP,'3. Cash Flow Statement'!$AR32,'2. Balance Sheet'!AB:AB)-SUMIF('2. Balance Sheet'!$AP:$AP,'3. Cash Flow Statement'!$AR32,'2. Balance Sheet'!AA:AA)-AB9</f>
        <v>9.9999999463307176E-6</v>
      </c>
      <c r="AC32" s="91">
        <f>SUMIF('2. Balance Sheet'!$AP:$AP,'3. Cash Flow Statement'!$AR32,'2. Balance Sheet'!AC:AC)-SUMIF('2. Balance Sheet'!$AP:$AP,'3. Cash Flow Statement'!$AR32,'2. Balance Sheet'!AB:AB)-AC9</f>
        <v>52.891030000000129</v>
      </c>
      <c r="AD32" s="98">
        <f>SUM(R32:AC32)</f>
        <v>52.891090000000005</v>
      </c>
      <c r="AE32" s="91">
        <f>SUMIF('2. Balance Sheet'!$AP:$AP,'3. Cash Flow Statement'!$AR32,'2. Balance Sheet'!AD:AD)-SUMIF('2. Balance Sheet'!$AP:$AP,'3. Cash Flow Statement'!$AR32,'2. Balance Sheet'!AC:AC)-AE9</f>
        <v>9.9999998184330252E-6</v>
      </c>
      <c r="AF32" s="91">
        <f>SUMIF('2. Balance Sheet'!$AP:$AP,'3. Cash Flow Statement'!$AR32,'2. Balance Sheet'!AE:AE)-SUMIF('2. Balance Sheet'!$AP:$AP,'3. Cash Flow Statement'!$AR32,'2. Balance Sheet'!AD:AD)-AF9</f>
        <v>9.272468181818077</v>
      </c>
      <c r="AG32" s="91">
        <f>SUMIF('2. Balance Sheet'!$AP:$AP,'3. Cash Flow Statement'!$AR32,'2. Balance Sheet'!AF:AF)-SUMIF('2. Balance Sheet'!$AP:$AP,'3. Cash Flow Statement'!$AR32,'2. Balance Sheet'!AE:AE)-AG9</f>
        <v>8.9159081818182102</v>
      </c>
      <c r="AH32" s="91">
        <f>SUMIF('2. Balance Sheet'!$AP:$AP,'3. Cash Flow Statement'!$AR32,'2. Balance Sheet'!AG:AG)-SUMIF('2. Balance Sheet'!$AP:$AP,'3. Cash Flow Statement'!$AR32,'2. Balance Sheet'!AF:AF)-AH9</f>
        <v>7.7025981818183951</v>
      </c>
      <c r="AI32" s="91">
        <f>SUMIF('2. Balance Sheet'!$AP:$AP,'3. Cash Flow Statement'!$AR32,'2. Balance Sheet'!AH:AH)-SUMIF('2. Balance Sheet'!$AP:$AP,'3. Cash Flow Statement'!$AR32,'2. Balance Sheet'!AG:AG)-AI9</f>
        <v>7.5228881818178337</v>
      </c>
      <c r="AJ32" s="91">
        <f>SUMIF('2. Balance Sheet'!$AP:$AP,'3. Cash Flow Statement'!$AR32,'2. Balance Sheet'!AI:AI)-SUMIF('2. Balance Sheet'!$AP:$AP,'3. Cash Flow Statement'!$AR32,'2. Balance Sheet'!AH:AH)-AJ9</f>
        <v>7.4736981818185058</v>
      </c>
      <c r="AK32" s="91">
        <f>SUMIF('2. Balance Sheet'!$AP:$AP,'3. Cash Flow Statement'!$AR32,'2. Balance Sheet'!AJ:AJ)-SUMIF('2. Balance Sheet'!$AP:$AP,'3. Cash Flow Statement'!$AR32,'2. Balance Sheet'!AI:AI)-AK9</f>
        <v>8.8016681818183145</v>
      </c>
      <c r="AL32" s="91">
        <f>SUMIF('2. Balance Sheet'!$AP:$AP,'3. Cash Flow Statement'!$AR32,'2. Balance Sheet'!AK:AK)-SUMIF('2. Balance Sheet'!$AP:$AP,'3. Cash Flow Statement'!$AR32,'2. Balance Sheet'!AJ:AJ)-AL9</f>
        <v>6.5993081818180315</v>
      </c>
      <c r="AM32" s="91">
        <f>SUMIF('2. Balance Sheet'!$AP:$AP,'3. Cash Flow Statement'!$AR32,'2. Balance Sheet'!AL:AL)-SUMIF('2. Balance Sheet'!$AP:$AP,'3. Cash Flow Statement'!$AR32,'2. Balance Sheet'!AK:AK)-AM9</f>
        <v>7.0702681818178519</v>
      </c>
      <c r="AN32" s="91">
        <f>SUMIF('2. Balance Sheet'!$AP:$AP,'3. Cash Flow Statement'!$AR32,'2. Balance Sheet'!AM:AM)-SUMIF('2. Balance Sheet'!$AP:$AP,'3. Cash Flow Statement'!$AR32,'2. Balance Sheet'!AL:AL)-AN9</f>
        <v>9.3235381818185594</v>
      </c>
      <c r="AO32" s="98">
        <f>SUM(AE32:AN32)</f>
        <v>72.682353636363601</v>
      </c>
      <c r="AP32" s="98">
        <f>SUM(AO32,AB32:AC32)</f>
        <v>125.57339363636368</v>
      </c>
      <c r="AR32" s="91" t="s">
        <v>110</v>
      </c>
    </row>
    <row r="33" spans="1:44" x14ac:dyDescent="0.2">
      <c r="B33" s="12" t="s">
        <v>443</v>
      </c>
      <c r="C33" s="44"/>
      <c r="D33" s="44"/>
      <c r="E33" s="94">
        <f>SUM(E29:E32)</f>
        <v>-7.0000199999999779</v>
      </c>
      <c r="F33" s="94">
        <f t="shared" ref="F33:AP33" si="5">SUM(F29:F32)</f>
        <v>-6.9999700000000473</v>
      </c>
      <c r="G33" s="94">
        <f t="shared" si="5"/>
        <v>43</v>
      </c>
      <c r="H33" s="94">
        <f t="shared" si="5"/>
        <v>-6.9999999999999645</v>
      </c>
      <c r="I33" s="94">
        <f t="shared" si="5"/>
        <v>-7.0000099999999748</v>
      </c>
      <c r="J33" s="94">
        <f t="shared" si="5"/>
        <v>-36.999990000000039</v>
      </c>
      <c r="K33" s="94">
        <f t="shared" si="5"/>
        <v>-6.9999799999999937</v>
      </c>
      <c r="L33" s="94">
        <f t="shared" si="5"/>
        <v>-7.000019999999914</v>
      </c>
      <c r="M33" s="94">
        <f t="shared" si="5"/>
        <v>33.000040000000013</v>
      </c>
      <c r="N33" s="94">
        <f t="shared" si="5"/>
        <v>-6.9999899999999933</v>
      </c>
      <c r="O33" s="94">
        <f t="shared" si="5"/>
        <v>-6.9999900000000341</v>
      </c>
      <c r="P33" s="94">
        <f t="shared" si="5"/>
        <v>41.523470000000295</v>
      </c>
      <c r="Q33" s="99">
        <f t="shared" si="5"/>
        <v>24.523540000000366</v>
      </c>
      <c r="R33" s="94">
        <f t="shared" si="5"/>
        <v>-32</v>
      </c>
      <c r="S33" s="94">
        <f t="shared" si="5"/>
        <v>-7</v>
      </c>
      <c r="T33" s="94">
        <f t="shared" si="5"/>
        <v>-7</v>
      </c>
      <c r="U33" s="94">
        <f t="shared" si="5"/>
        <v>-42.000019999999992</v>
      </c>
      <c r="V33" s="94">
        <f t="shared" si="5"/>
        <v>-6.9999800000000079</v>
      </c>
      <c r="W33" s="94">
        <f t="shared" si="5"/>
        <v>-6.9999600000000548</v>
      </c>
      <c r="X33" s="94">
        <f t="shared" si="5"/>
        <v>53</v>
      </c>
      <c r="Y33" s="94">
        <f t="shared" si="5"/>
        <v>-7.0000200000000632</v>
      </c>
      <c r="Z33" s="94">
        <f t="shared" si="5"/>
        <v>-6.999980000000015</v>
      </c>
      <c r="AA33" s="94">
        <f t="shared" si="5"/>
        <v>-46.99998999999994</v>
      </c>
      <c r="AB33" s="94">
        <f t="shared" si="5"/>
        <v>-6.9999900000000537</v>
      </c>
      <c r="AC33" s="94">
        <f t="shared" si="5"/>
        <v>45.891030000000129</v>
      </c>
      <c r="AD33" s="99">
        <f t="shared" si="5"/>
        <v>-71.108909999999995</v>
      </c>
      <c r="AE33" s="94">
        <f t="shared" si="5"/>
        <v>-6.9999900000001816</v>
      </c>
      <c r="AF33" s="94">
        <f t="shared" si="5"/>
        <v>-47.727531818181923</v>
      </c>
      <c r="AG33" s="94">
        <f t="shared" si="5"/>
        <v>1.9159081818182102</v>
      </c>
      <c r="AH33" s="94">
        <f t="shared" si="5"/>
        <v>0.70259818181839506</v>
      </c>
      <c r="AI33" s="94">
        <f t="shared" si="5"/>
        <v>30.522888181817834</v>
      </c>
      <c r="AJ33" s="94">
        <f t="shared" si="5"/>
        <v>0.47369818181850576</v>
      </c>
      <c r="AK33" s="94">
        <f t="shared" si="5"/>
        <v>1.8016681818183145</v>
      </c>
      <c r="AL33" s="94">
        <f t="shared" si="5"/>
        <v>-0.40069181818196853</v>
      </c>
      <c r="AM33" s="94">
        <f t="shared" si="5"/>
        <v>7.0268181817851882E-2</v>
      </c>
      <c r="AN33" s="94">
        <f t="shared" si="5"/>
        <v>2.3235381818185594</v>
      </c>
      <c r="AO33" s="99">
        <f t="shared" si="5"/>
        <v>-17.317646363636399</v>
      </c>
      <c r="AP33" s="99">
        <f t="shared" si="5"/>
        <v>21.573393636363676</v>
      </c>
    </row>
    <row r="34" spans="1:44" x14ac:dyDescent="0.2">
      <c r="B34" s="101"/>
      <c r="Q34" s="100"/>
      <c r="AD34" s="100"/>
      <c r="AO34" s="100"/>
      <c r="AP34" s="100"/>
    </row>
    <row r="35" spans="1:44" x14ac:dyDescent="0.2">
      <c r="B35" s="26" t="s">
        <v>208</v>
      </c>
      <c r="Q35" s="100"/>
      <c r="AD35" s="100"/>
      <c r="AO35" s="100"/>
      <c r="AP35" s="100"/>
    </row>
    <row r="36" spans="1:44" x14ac:dyDescent="0.2">
      <c r="B36" s="87" t="s">
        <v>209</v>
      </c>
      <c r="E36" s="91">
        <f>+'2. Balance Sheet'!E9</f>
        <v>500</v>
      </c>
      <c r="F36" s="91">
        <f>+E38</f>
        <v>396.50914</v>
      </c>
      <c r="G36" s="91">
        <f t="shared" ref="G36:P36" si="6">+F38</f>
        <v>525.65724999999986</v>
      </c>
      <c r="H36" s="91">
        <f t="shared" si="6"/>
        <v>553.69546999999989</v>
      </c>
      <c r="I36" s="91">
        <f t="shared" si="6"/>
        <v>600.24555999999984</v>
      </c>
      <c r="J36" s="91">
        <f t="shared" si="6"/>
        <v>480.64305999999988</v>
      </c>
      <c r="K36" s="91">
        <f t="shared" si="6"/>
        <v>456.6086699999999</v>
      </c>
      <c r="L36" s="91">
        <f t="shared" si="6"/>
        <v>374.49768999999992</v>
      </c>
      <c r="M36" s="91">
        <f t="shared" si="6"/>
        <v>637.86902999999995</v>
      </c>
      <c r="N36" s="91">
        <f t="shared" si="6"/>
        <v>562.04756999999995</v>
      </c>
      <c r="O36" s="91">
        <f t="shared" si="6"/>
        <v>554.66017999999997</v>
      </c>
      <c r="P36" s="91">
        <f t="shared" si="6"/>
        <v>629.57538</v>
      </c>
      <c r="Q36" s="98">
        <f>+E36</f>
        <v>500</v>
      </c>
      <c r="R36" s="91">
        <f>+Q38</f>
        <v>639.38857000000007</v>
      </c>
      <c r="S36" s="91">
        <f>+R38</f>
        <v>539.37581999999998</v>
      </c>
      <c r="T36" s="91">
        <f t="shared" ref="T36:AC36" si="7">+S38</f>
        <v>554.93043</v>
      </c>
      <c r="U36" s="91">
        <f t="shared" si="7"/>
        <v>507.44711000000007</v>
      </c>
      <c r="V36" s="91">
        <f t="shared" si="7"/>
        <v>418.73668999999995</v>
      </c>
      <c r="W36" s="91">
        <f t="shared" si="7"/>
        <v>312.55113999999986</v>
      </c>
      <c r="X36" s="91">
        <f t="shared" si="7"/>
        <v>415.05965999999972</v>
      </c>
      <c r="Y36" s="91">
        <f t="shared" si="7"/>
        <v>446.17867999999982</v>
      </c>
      <c r="Z36" s="91">
        <f t="shared" si="7"/>
        <v>366.54225999999977</v>
      </c>
      <c r="AA36" s="91">
        <f t="shared" si="7"/>
        <v>385.06585999999959</v>
      </c>
      <c r="AB36" s="91">
        <f t="shared" si="7"/>
        <v>241.00692999999956</v>
      </c>
      <c r="AC36" s="91">
        <f t="shared" si="7"/>
        <v>228.74142999999967</v>
      </c>
      <c r="AD36" s="98">
        <f>+R36</f>
        <v>639.38857000000007</v>
      </c>
      <c r="AE36" s="91">
        <f>+AD38</f>
        <v>339.09105999999969</v>
      </c>
      <c r="AF36" s="91">
        <f>+AE38</f>
        <v>389.42613999999958</v>
      </c>
      <c r="AG36" s="91">
        <f t="shared" ref="AG36:AN36" si="8">+AF38</f>
        <v>297.80857999999932</v>
      </c>
      <c r="AH36" s="91">
        <f t="shared" si="8"/>
        <v>309.49599999999936</v>
      </c>
      <c r="AI36" s="91">
        <f t="shared" si="8"/>
        <v>384.79264999999953</v>
      </c>
      <c r="AJ36" s="91">
        <f t="shared" si="8"/>
        <v>366.12687999999923</v>
      </c>
      <c r="AK36" s="91">
        <f t="shared" si="8"/>
        <v>360.6429099999994</v>
      </c>
      <c r="AL36" s="91">
        <f t="shared" si="8"/>
        <v>509.06559999999945</v>
      </c>
      <c r="AM36" s="91">
        <f t="shared" si="8"/>
        <v>545.00108999999952</v>
      </c>
      <c r="AN36" s="91">
        <f t="shared" si="8"/>
        <v>593.24413999999911</v>
      </c>
      <c r="AO36" s="98">
        <f>+AE36</f>
        <v>339.09105999999969</v>
      </c>
      <c r="AP36" s="98">
        <f>+AB36</f>
        <v>241.00692999999956</v>
      </c>
      <c r="AR36" s="91" t="s">
        <v>200</v>
      </c>
    </row>
    <row r="37" spans="1:44" x14ac:dyDescent="0.2">
      <c r="B37" s="87" t="s">
        <v>210</v>
      </c>
      <c r="E37" s="91">
        <f>+SUM(E22,E26,E33)</f>
        <v>-103.49086000000003</v>
      </c>
      <c r="F37" s="91">
        <f t="shared" ref="F37:AP37" si="9">+SUM(F22,F26,F33)</f>
        <v>129.14810999999989</v>
      </c>
      <c r="G37" s="91">
        <f t="shared" si="9"/>
        <v>28.038219999999992</v>
      </c>
      <c r="H37" s="91">
        <f t="shared" si="9"/>
        <v>46.55008999999994</v>
      </c>
      <c r="I37" s="91">
        <f t="shared" si="9"/>
        <v>-119.60249999999994</v>
      </c>
      <c r="J37" s="91">
        <f t="shared" si="9"/>
        <v>-24.034389999999973</v>
      </c>
      <c r="K37" s="91">
        <f t="shared" si="9"/>
        <v>-82.110979999999969</v>
      </c>
      <c r="L37" s="91">
        <f t="shared" si="9"/>
        <v>263.37134000000003</v>
      </c>
      <c r="M37" s="91">
        <f t="shared" si="9"/>
        <v>-75.82146000000003</v>
      </c>
      <c r="N37" s="91">
        <f t="shared" si="9"/>
        <v>-7.3873900000000177</v>
      </c>
      <c r="O37" s="91">
        <f t="shared" si="9"/>
        <v>74.915200000000027</v>
      </c>
      <c r="P37" s="91">
        <f t="shared" si="9"/>
        <v>9.8131900000002403</v>
      </c>
      <c r="Q37" s="98">
        <f t="shared" si="9"/>
        <v>139.38857000000007</v>
      </c>
      <c r="R37" s="91">
        <f t="shared" si="9"/>
        <v>-100.01275000000007</v>
      </c>
      <c r="S37" s="91">
        <f t="shared" si="9"/>
        <v>15.554609999999975</v>
      </c>
      <c r="T37" s="91">
        <f t="shared" si="9"/>
        <v>-47.483319999999949</v>
      </c>
      <c r="U37" s="91">
        <f t="shared" si="9"/>
        <v>-88.710420000000099</v>
      </c>
      <c r="V37" s="91">
        <f t="shared" si="9"/>
        <v>-106.18555000000009</v>
      </c>
      <c r="W37" s="91">
        <f t="shared" si="9"/>
        <v>102.50851999999985</v>
      </c>
      <c r="X37" s="91">
        <f t="shared" si="9"/>
        <v>31.119020000000088</v>
      </c>
      <c r="Y37" s="91">
        <f t="shared" si="9"/>
        <v>-79.636420000000044</v>
      </c>
      <c r="Z37" s="91">
        <f t="shared" si="9"/>
        <v>18.523599999999824</v>
      </c>
      <c r="AA37" s="91">
        <f t="shared" si="9"/>
        <v>-144.05893000000003</v>
      </c>
      <c r="AB37" s="91">
        <f t="shared" si="9"/>
        <v>-12.265499999999898</v>
      </c>
      <c r="AC37" s="91">
        <f t="shared" si="9"/>
        <v>110.34963000000006</v>
      </c>
      <c r="AD37" s="98">
        <f t="shared" si="9"/>
        <v>-300.29751000000039</v>
      </c>
      <c r="AE37" s="91">
        <f t="shared" si="9"/>
        <v>50.335079999999898</v>
      </c>
      <c r="AF37" s="91">
        <f t="shared" si="9"/>
        <v>-91.617560000000225</v>
      </c>
      <c r="AG37" s="91">
        <f t="shared" si="9"/>
        <v>11.687420000000056</v>
      </c>
      <c r="AH37" s="91">
        <f t="shared" si="9"/>
        <v>75.296650000000199</v>
      </c>
      <c r="AI37" s="91">
        <f t="shared" si="9"/>
        <v>-18.665770000000279</v>
      </c>
      <c r="AJ37" s="91">
        <f t="shared" si="9"/>
        <v>-5.4839699999998333</v>
      </c>
      <c r="AK37" s="91">
        <f t="shared" si="9"/>
        <v>148.42269000000002</v>
      </c>
      <c r="AL37" s="91">
        <f t="shared" si="9"/>
        <v>35.935490000000058</v>
      </c>
      <c r="AM37" s="91">
        <f t="shared" si="9"/>
        <v>48.243049999999613</v>
      </c>
      <c r="AN37" s="91">
        <f t="shared" si="9"/>
        <v>106.12953000000036</v>
      </c>
      <c r="AO37" s="98">
        <f t="shared" si="9"/>
        <v>360.28260999999992</v>
      </c>
      <c r="AP37" s="98">
        <f t="shared" si="9"/>
        <v>458.36674000000005</v>
      </c>
    </row>
    <row r="38" spans="1:44" x14ac:dyDescent="0.2">
      <c r="B38" s="105" t="s">
        <v>211</v>
      </c>
      <c r="C38" s="106"/>
      <c r="D38" s="106"/>
      <c r="E38" s="107">
        <f>+E36+E37</f>
        <v>396.50914</v>
      </c>
      <c r="F38" s="107">
        <f t="shared" ref="F38:AP38" si="10">+F36+F37</f>
        <v>525.65724999999986</v>
      </c>
      <c r="G38" s="107">
        <f t="shared" si="10"/>
        <v>553.69546999999989</v>
      </c>
      <c r="H38" s="107">
        <f t="shared" si="10"/>
        <v>600.24555999999984</v>
      </c>
      <c r="I38" s="107">
        <f t="shared" si="10"/>
        <v>480.64305999999988</v>
      </c>
      <c r="J38" s="107">
        <f t="shared" si="10"/>
        <v>456.6086699999999</v>
      </c>
      <c r="K38" s="107">
        <f t="shared" si="10"/>
        <v>374.49768999999992</v>
      </c>
      <c r="L38" s="107">
        <f t="shared" si="10"/>
        <v>637.86902999999995</v>
      </c>
      <c r="M38" s="107">
        <f t="shared" si="10"/>
        <v>562.04756999999995</v>
      </c>
      <c r="N38" s="107">
        <f t="shared" si="10"/>
        <v>554.66017999999997</v>
      </c>
      <c r="O38" s="107">
        <f t="shared" si="10"/>
        <v>629.57538</v>
      </c>
      <c r="P38" s="107">
        <f t="shared" si="10"/>
        <v>639.38857000000019</v>
      </c>
      <c r="Q38" s="108">
        <f t="shared" si="10"/>
        <v>639.38857000000007</v>
      </c>
      <c r="R38" s="107">
        <f t="shared" si="10"/>
        <v>539.37581999999998</v>
      </c>
      <c r="S38" s="107">
        <f t="shared" si="10"/>
        <v>554.93043</v>
      </c>
      <c r="T38" s="107">
        <f t="shared" si="10"/>
        <v>507.44711000000007</v>
      </c>
      <c r="U38" s="107">
        <f t="shared" si="10"/>
        <v>418.73668999999995</v>
      </c>
      <c r="V38" s="107">
        <f t="shared" si="10"/>
        <v>312.55113999999986</v>
      </c>
      <c r="W38" s="107">
        <f t="shared" si="10"/>
        <v>415.05965999999972</v>
      </c>
      <c r="X38" s="107">
        <f t="shared" si="10"/>
        <v>446.17867999999982</v>
      </c>
      <c r="Y38" s="107">
        <f t="shared" si="10"/>
        <v>366.54225999999977</v>
      </c>
      <c r="Z38" s="107">
        <f t="shared" si="10"/>
        <v>385.06585999999959</v>
      </c>
      <c r="AA38" s="107">
        <f t="shared" si="10"/>
        <v>241.00692999999956</v>
      </c>
      <c r="AB38" s="107">
        <f t="shared" si="10"/>
        <v>228.74142999999967</v>
      </c>
      <c r="AC38" s="107">
        <f t="shared" si="10"/>
        <v>339.09105999999974</v>
      </c>
      <c r="AD38" s="108">
        <f t="shared" si="10"/>
        <v>339.09105999999969</v>
      </c>
      <c r="AE38" s="107">
        <f t="shared" si="10"/>
        <v>389.42613999999958</v>
      </c>
      <c r="AF38" s="107">
        <f t="shared" si="10"/>
        <v>297.80857999999932</v>
      </c>
      <c r="AG38" s="107">
        <f t="shared" si="10"/>
        <v>309.49599999999936</v>
      </c>
      <c r="AH38" s="107">
        <f t="shared" si="10"/>
        <v>384.79264999999953</v>
      </c>
      <c r="AI38" s="107">
        <f t="shared" si="10"/>
        <v>366.12687999999923</v>
      </c>
      <c r="AJ38" s="107">
        <f t="shared" si="10"/>
        <v>360.6429099999994</v>
      </c>
      <c r="AK38" s="107">
        <f t="shared" si="10"/>
        <v>509.06559999999945</v>
      </c>
      <c r="AL38" s="107">
        <f t="shared" si="10"/>
        <v>545.00108999999952</v>
      </c>
      <c r="AM38" s="107">
        <f t="shared" si="10"/>
        <v>593.24413999999911</v>
      </c>
      <c r="AN38" s="107">
        <f t="shared" si="10"/>
        <v>699.37366999999949</v>
      </c>
      <c r="AO38" s="108">
        <f t="shared" si="10"/>
        <v>699.37366999999961</v>
      </c>
      <c r="AP38" s="108">
        <f t="shared" si="10"/>
        <v>699.37366999999961</v>
      </c>
    </row>
    <row r="39" spans="1:44" s="110" customFormat="1" ht="11.25" outlineLevel="1" x14ac:dyDescent="0.2">
      <c r="A39" s="39"/>
      <c r="B39" s="39" t="s">
        <v>212</v>
      </c>
      <c r="C39" s="39"/>
      <c r="D39" s="39"/>
      <c r="E39" s="110">
        <f>+'2. Balance Sheet'!F9-'3. Cash Flow Statement'!E38</f>
        <v>-5.0000000044292392E-5</v>
      </c>
      <c r="F39" s="110">
        <f>+'2. Balance Sheet'!G9-'3. Cash Flow Statement'!F38</f>
        <v>0</v>
      </c>
      <c r="G39" s="110">
        <f>+'2. Balance Sheet'!H9-'3. Cash Flow Statement'!G38</f>
        <v>9.9999999747524271E-6</v>
      </c>
      <c r="H39" s="110">
        <f>+'2. Balance Sheet'!I9-'3. Cash Flow Statement'!H38</f>
        <v>9.9999999747524271E-6</v>
      </c>
      <c r="I39" s="110">
        <f>+'2. Balance Sheet'!J9-'3. Cash Flow Statement'!I38</f>
        <v>2.99999999811007E-5</v>
      </c>
      <c r="J39" s="110">
        <f>+'2. Balance Sheet'!K9-'3. Cash Flow Statement'!J38</f>
        <v>1.1999999998124622E-4</v>
      </c>
      <c r="K39" s="110">
        <f>+'2. Balance Sheet'!L9-'3. Cash Flow Statement'!K38</f>
        <v>3.9999999955853127E-5</v>
      </c>
      <c r="L39" s="110">
        <f>+'2. Balance Sheet'!M9-'3. Cash Flow Statement'!L38</f>
        <v>-2.000000017687853E-5</v>
      </c>
      <c r="M39" s="110">
        <f>+'2. Balance Sheet'!N9-'3. Cash Flow Statement'!M38</f>
        <v>-1.6000000016447302E-4</v>
      </c>
      <c r="N39" s="110">
        <f>+'2. Balance Sheet'!O9-'3. Cash Flow Statement'!N38</f>
        <v>-2.3000000010142685E-4</v>
      </c>
      <c r="O39" s="110">
        <f>+'2. Balance Sheet'!P9-'3. Cash Flow Statement'!O38</f>
        <v>-2.3000000010142685E-4</v>
      </c>
      <c r="P39" s="110">
        <f>+'2. Balance Sheet'!Q9-'3. Cash Flow Statement'!P38</f>
        <v>-2.6000000025305781E-4</v>
      </c>
      <c r="Q39" s="110">
        <f>SUM(E39:P39)</f>
        <v>-7.4000000097385055E-4</v>
      </c>
      <c r="R39" s="110">
        <f>+'2. Balance Sheet'!R9-'3. Cash Flow Statement'!R38</f>
        <v>-2.700000001141234E-4</v>
      </c>
      <c r="S39" s="110">
        <f>+'2. Balance Sheet'!S9-'3. Cash Flow Statement'!S38</f>
        <v>-3.0000000026575435E-4</v>
      </c>
      <c r="T39" s="110">
        <f>+'2. Balance Sheet'!T9-'3. Cash Flow Statement'!T38</f>
        <v>-2.9000000034784534E-4</v>
      </c>
      <c r="U39" s="110">
        <f>+'2. Balance Sheet'!U9-'3. Cash Flow Statement'!U38</f>
        <v>-2.8000000025940608E-4</v>
      </c>
      <c r="V39" s="110">
        <f>+'2. Balance Sheet'!V9-'3. Cash Flow Statement'!V38</f>
        <v>-2.9000000017731509E-4</v>
      </c>
      <c r="W39" s="110">
        <f>+'2. Balance Sheet'!W9-'3. Cash Flow Statement'!W38</f>
        <v>-3.8000000006377377E-4</v>
      </c>
      <c r="X39" s="110">
        <f>+'2. Balance Sheet'!X9-'3. Cash Flow Statement'!X38</f>
        <v>-3.8000000000693035E-4</v>
      </c>
      <c r="Y39" s="110">
        <f>+'2. Balance Sheet'!Y9-'3. Cash Flow Statement'!Y38</f>
        <v>-3.1999999998788553E-4</v>
      </c>
      <c r="Z39" s="110">
        <f>+'2. Balance Sheet'!Z9-'3. Cash Flow Statement'!Z38</f>
        <v>-3.9999999984274837E-4</v>
      </c>
      <c r="AA39" s="110">
        <f>+'2. Balance Sheet'!AA9-'3. Cash Flow Statement'!AA38</f>
        <v>-4.4999999974493221E-4</v>
      </c>
      <c r="AB39" s="110">
        <f>+'2. Balance Sheet'!AB9-'3. Cash Flow Statement'!AB38</f>
        <v>-4.4999999991546247E-4</v>
      </c>
      <c r="AC39" s="110">
        <f>+'2. Balance Sheet'!AC9-'3. Cash Flow Statement'!AC38</f>
        <v>-2.6000000002568413E-4</v>
      </c>
      <c r="AD39" s="110">
        <f>SUM(R39:AC39)</f>
        <v>-4.0700000007518611E-3</v>
      </c>
      <c r="AE39" s="110">
        <f>+'2. Balance Sheet'!AD9-'3. Cash Flow Statement'!AE38</f>
        <v>-2.0999999975401806E-4</v>
      </c>
      <c r="AF39" s="110">
        <f>+'2. Balance Sheet'!AE9-'3. Cash Flow Statement'!AF38</f>
        <v>-2.5999999951409336E-4</v>
      </c>
      <c r="AG39" s="110">
        <f>+'2. Balance Sheet'!AF9-'3. Cash Flow Statement'!AG38</f>
        <v>-2.6999999948884579E-4</v>
      </c>
      <c r="AH39" s="110">
        <f>+'2. Balance Sheet'!AG9-'3. Cash Flow Statement'!AH38</f>
        <v>-2.5999999968462362E-4</v>
      </c>
      <c r="AI39" s="110">
        <f>+'2. Balance Sheet'!AH9-'3. Cash Flow Statement'!AI38</f>
        <v>-1.7999999943185685E-4</v>
      </c>
      <c r="AJ39" s="110">
        <f>+'2. Balance Sheet'!AI9-'3. Cash Flow Statement'!AJ38</f>
        <v>-1.3999999947600372E-4</v>
      </c>
      <c r="AK39" s="110">
        <f>+'2. Balance Sheet'!AJ9-'3. Cash Flow Statement'!AK38</f>
        <v>-6.9999999539049895E-5</v>
      </c>
      <c r="AL39" s="110">
        <f>+'2. Balance Sheet'!AK9-'3. Cash Flow Statement'!AL38</f>
        <v>0</v>
      </c>
      <c r="AM39" s="110">
        <f>+'2. Balance Sheet'!AL9-'3. Cash Flow Statement'!AM38</f>
        <v>0</v>
      </c>
      <c r="AN39" s="110">
        <f>+'2. Balance Sheet'!AM9-'3. Cash Flow Statement'!AN38</f>
        <v>6.0000000530635589E-5</v>
      </c>
      <c r="AO39" s="110">
        <f>SUM(AE39:AN39)</f>
        <v>-1.3299999963578557E-3</v>
      </c>
      <c r="AP39" s="110">
        <f>SUM(AO39,AB39:AC39)</f>
        <v>-2.0399999962990023E-3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5965-602E-4266-997F-4CF7B9D24872}">
  <dimension ref="B3:U21"/>
  <sheetViews>
    <sheetView showGridLines="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C6" sqref="C6"/>
    </sheetView>
  </sheetViews>
  <sheetFormatPr defaultRowHeight="12" outlineLevelCol="1" x14ac:dyDescent="0.2"/>
  <cols>
    <col min="1" max="1" width="1.7109375" style="89" customWidth="1"/>
    <col min="2" max="2" width="13.42578125" style="89" bestFit="1" customWidth="1"/>
    <col min="3" max="3" width="38.7109375" style="89" bestFit="1" customWidth="1"/>
    <col min="4" max="4" width="26.5703125" style="89" hidden="1" customWidth="1" outlineLevel="1"/>
    <col min="5" max="5" width="18.28515625" style="89" hidden="1" customWidth="1" outlineLevel="1"/>
    <col min="6" max="6" width="19.42578125" style="89" hidden="1" customWidth="1" outlineLevel="1"/>
    <col min="7" max="7" width="26.7109375" style="89" hidden="1" customWidth="1" outlineLevel="1"/>
    <col min="8" max="8" width="15.140625" style="89" hidden="1" customWidth="1" outlineLevel="1"/>
    <col min="9" max="9" width="1.7109375" style="89" customWidth="1" collapsed="1"/>
    <col min="10" max="10" width="12.7109375" style="89" customWidth="1"/>
    <col min="11" max="11" width="14.5703125" style="89" customWidth="1"/>
    <col min="12" max="13" width="12.28515625" style="89" customWidth="1"/>
    <col min="14" max="14" width="10" style="89" bestFit="1" customWidth="1"/>
    <col min="15" max="15" width="9.140625" style="89"/>
    <col min="16" max="17" width="10" style="89" bestFit="1" customWidth="1"/>
    <col min="18" max="18" width="11.7109375" style="89" customWidth="1"/>
    <col min="19" max="19" width="10" style="89" bestFit="1" customWidth="1"/>
    <col min="20" max="16384" width="9.140625" style="89"/>
  </cols>
  <sheetData>
    <row r="3" spans="2:21" ht="12.75" thickBot="1" x14ac:dyDescent="0.25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</row>
    <row r="5" spans="2:21" ht="24" x14ac:dyDescent="0.2">
      <c r="B5" s="115" t="s">
        <v>243</v>
      </c>
      <c r="C5" s="116" t="s">
        <v>244</v>
      </c>
      <c r="D5" s="116" t="s">
        <v>417</v>
      </c>
      <c r="E5" s="116" t="s">
        <v>421</v>
      </c>
      <c r="F5" s="116" t="s">
        <v>418</v>
      </c>
      <c r="G5" s="116" t="s">
        <v>419</v>
      </c>
      <c r="H5" s="116" t="s">
        <v>420</v>
      </c>
      <c r="I5" s="116"/>
      <c r="J5" s="117" t="s">
        <v>242</v>
      </c>
      <c r="K5" s="117" t="s">
        <v>241</v>
      </c>
      <c r="L5" s="117" t="s">
        <v>231</v>
      </c>
      <c r="M5" s="117" t="s">
        <v>232</v>
      </c>
      <c r="N5" s="117" t="s">
        <v>240</v>
      </c>
      <c r="O5" s="117" t="s">
        <v>233</v>
      </c>
      <c r="P5" s="117" t="s">
        <v>234</v>
      </c>
      <c r="Q5" s="117" t="s">
        <v>235</v>
      </c>
      <c r="R5" s="117" t="s">
        <v>236</v>
      </c>
      <c r="S5" s="117" t="s">
        <v>237</v>
      </c>
      <c r="T5" s="117" t="s">
        <v>238</v>
      </c>
      <c r="U5" s="118" t="s">
        <v>239</v>
      </c>
    </row>
    <row r="6" spans="2:21" x14ac:dyDescent="0.2">
      <c r="B6" s="101" t="s">
        <v>215</v>
      </c>
      <c r="C6" s="93" t="s">
        <v>216</v>
      </c>
      <c r="D6" s="93" t="s">
        <v>247</v>
      </c>
      <c r="E6" s="93" t="s">
        <v>6</v>
      </c>
      <c r="F6" s="93" t="s">
        <v>422</v>
      </c>
      <c r="G6" s="93" t="s">
        <v>423</v>
      </c>
      <c r="H6" s="93" t="s">
        <v>424</v>
      </c>
      <c r="I6" s="93"/>
      <c r="J6" s="119">
        <v>320000</v>
      </c>
      <c r="K6" s="119">
        <v>246153.84615384601</v>
      </c>
      <c r="L6" s="119">
        <f>+J6-K6</f>
        <v>73846.153846153989</v>
      </c>
      <c r="M6" s="120">
        <f>+L6/J6</f>
        <v>0.23076923076923123</v>
      </c>
      <c r="N6" s="119">
        <v>119756.23</v>
      </c>
      <c r="O6" s="120">
        <f>IFERROR(N6/K6,0)</f>
        <v>0.48650968437500025</v>
      </c>
      <c r="P6" s="119">
        <f>IF(O6&gt;1,J6,O6*J6)</f>
        <v>155683.09900000007</v>
      </c>
      <c r="Q6" s="119">
        <v>16705.16</v>
      </c>
      <c r="R6" s="121">
        <f>+P6-Q6</f>
        <v>138977.93900000007</v>
      </c>
      <c r="S6" s="123">
        <f>+J6-P6</f>
        <v>164316.90099999993</v>
      </c>
      <c r="T6" s="121">
        <f>S6-(K6-N6)</f>
        <v>37919.284846153911</v>
      </c>
      <c r="U6" s="122">
        <f>+T6/S6</f>
        <v>0.23076923076923125</v>
      </c>
    </row>
    <row r="7" spans="2:21" x14ac:dyDescent="0.2">
      <c r="B7" s="101" t="s">
        <v>217</v>
      </c>
      <c r="C7" s="93" t="s">
        <v>218</v>
      </c>
      <c r="D7" s="93" t="s">
        <v>257</v>
      </c>
      <c r="E7" s="93" t="s">
        <v>6</v>
      </c>
      <c r="F7" s="93" t="s">
        <v>425</v>
      </c>
      <c r="G7" s="93" t="s">
        <v>426</v>
      </c>
      <c r="H7" s="93" t="s">
        <v>427</v>
      </c>
      <c r="I7" s="93"/>
      <c r="J7" s="119">
        <v>390000</v>
      </c>
      <c r="K7" s="119">
        <v>300000</v>
      </c>
      <c r="L7" s="119">
        <f t="shared" ref="L7:L13" si="0">+J7-K7</f>
        <v>90000</v>
      </c>
      <c r="M7" s="120">
        <f t="shared" ref="M7:M14" si="1">+L7/J7</f>
        <v>0.23076923076923078</v>
      </c>
      <c r="N7" s="119">
        <v>144676.66</v>
      </c>
      <c r="O7" s="120">
        <f t="shared" ref="O7:O14" si="2">IFERROR(N7/K7,0)</f>
        <v>0.48225553333333332</v>
      </c>
      <c r="P7" s="119">
        <f t="shared" ref="P7:P13" si="3">IF(O7&gt;1,J7,O7*J7)</f>
        <v>188079.658</v>
      </c>
      <c r="Q7" s="119">
        <v>108451.74</v>
      </c>
      <c r="R7" s="121">
        <f t="shared" ref="R7:R13" si="4">+P7-Q7</f>
        <v>79627.917999999991</v>
      </c>
      <c r="S7" s="123">
        <f t="shared" ref="S7:S13" si="5">+J7-P7</f>
        <v>201920.342</v>
      </c>
      <c r="T7" s="121">
        <f t="shared" ref="T7:T13" si="6">S7-(K7-N7)</f>
        <v>46597.002000000008</v>
      </c>
      <c r="U7" s="122">
        <f t="shared" ref="U7:U14" si="7">+T7/S7</f>
        <v>0.23076923076923081</v>
      </c>
    </row>
    <row r="8" spans="2:21" x14ac:dyDescent="0.2">
      <c r="B8" s="101" t="s">
        <v>219</v>
      </c>
      <c r="C8" s="93" t="s">
        <v>220</v>
      </c>
      <c r="D8" s="93" t="s">
        <v>254</v>
      </c>
      <c r="E8" s="93" t="s">
        <v>6</v>
      </c>
      <c r="F8" s="93" t="s">
        <v>422</v>
      </c>
      <c r="G8" s="93" t="s">
        <v>428</v>
      </c>
      <c r="H8" s="93" t="s">
        <v>424</v>
      </c>
      <c r="I8" s="93"/>
      <c r="J8" s="119">
        <v>310000</v>
      </c>
      <c r="K8" s="119">
        <v>238461.538461538</v>
      </c>
      <c r="L8" s="119">
        <f t="shared" si="0"/>
        <v>71538.461538461997</v>
      </c>
      <c r="M8" s="120">
        <f t="shared" si="1"/>
        <v>0.23076923076923225</v>
      </c>
      <c r="N8" s="119">
        <v>214845.31</v>
      </c>
      <c r="O8" s="120">
        <f t="shared" si="2"/>
        <v>0.90096420322580817</v>
      </c>
      <c r="P8" s="119">
        <f t="shared" si="3"/>
        <v>279298.90300000052</v>
      </c>
      <c r="Q8" s="119">
        <v>314209.24</v>
      </c>
      <c r="R8" s="121">
        <f t="shared" si="4"/>
        <v>-34910.336999999476</v>
      </c>
      <c r="S8" s="123">
        <f t="shared" si="5"/>
        <v>30701.096999999485</v>
      </c>
      <c r="T8" s="121">
        <f t="shared" si="6"/>
        <v>7084.8685384614801</v>
      </c>
      <c r="U8" s="122">
        <f t="shared" si="7"/>
        <v>0.23076923076923272</v>
      </c>
    </row>
    <row r="9" spans="2:21" x14ac:dyDescent="0.2">
      <c r="B9" s="101" t="s">
        <v>221</v>
      </c>
      <c r="C9" s="93" t="s">
        <v>222</v>
      </c>
      <c r="D9" s="93" t="s">
        <v>258</v>
      </c>
      <c r="E9" s="93" t="s">
        <v>415</v>
      </c>
      <c r="F9" s="93" t="s">
        <v>422</v>
      </c>
      <c r="G9" s="93" t="s">
        <v>428</v>
      </c>
      <c r="H9" s="93" t="s">
        <v>427</v>
      </c>
      <c r="I9" s="93"/>
      <c r="J9" s="119">
        <v>630000</v>
      </c>
      <c r="K9" s="119">
        <v>504000</v>
      </c>
      <c r="L9" s="119">
        <f t="shared" si="0"/>
        <v>126000</v>
      </c>
      <c r="M9" s="120">
        <f t="shared" si="1"/>
        <v>0.2</v>
      </c>
      <c r="N9" s="119">
        <v>157109.10999999999</v>
      </c>
      <c r="O9" s="120">
        <f t="shared" si="2"/>
        <v>0.31172442460317457</v>
      </c>
      <c r="P9" s="119">
        <f t="shared" si="3"/>
        <v>196386.38749999998</v>
      </c>
      <c r="Q9" s="119">
        <v>55929.82</v>
      </c>
      <c r="R9" s="121">
        <f t="shared" si="4"/>
        <v>140456.56749999998</v>
      </c>
      <c r="S9" s="123">
        <f t="shared" si="5"/>
        <v>433613.61250000005</v>
      </c>
      <c r="T9" s="121">
        <f t="shared" si="6"/>
        <v>86722.722500000033</v>
      </c>
      <c r="U9" s="122">
        <f t="shared" si="7"/>
        <v>0.20000000000000007</v>
      </c>
    </row>
    <row r="10" spans="2:21" x14ac:dyDescent="0.2">
      <c r="B10" s="101" t="s">
        <v>223</v>
      </c>
      <c r="C10" s="93" t="s">
        <v>224</v>
      </c>
      <c r="D10" s="93" t="s">
        <v>259</v>
      </c>
      <c r="E10" s="93" t="s">
        <v>415</v>
      </c>
      <c r="F10" s="93" t="s">
        <v>429</v>
      </c>
      <c r="G10" s="93" t="s">
        <v>423</v>
      </c>
      <c r="H10" s="93" t="s">
        <v>427</v>
      </c>
      <c r="I10" s="93"/>
      <c r="J10" s="119">
        <v>520000</v>
      </c>
      <c r="K10" s="119">
        <v>416000</v>
      </c>
      <c r="L10" s="119">
        <f t="shared" si="0"/>
        <v>104000</v>
      </c>
      <c r="M10" s="120">
        <f t="shared" si="1"/>
        <v>0.2</v>
      </c>
      <c r="N10" s="119">
        <v>324562.83</v>
      </c>
      <c r="O10" s="120">
        <f t="shared" si="2"/>
        <v>0.78019911057692315</v>
      </c>
      <c r="P10" s="119">
        <f t="shared" si="3"/>
        <v>405703.53750000003</v>
      </c>
      <c r="Q10" s="119">
        <v>538352.29</v>
      </c>
      <c r="R10" s="121">
        <f t="shared" si="4"/>
        <v>-132648.7525</v>
      </c>
      <c r="S10" s="123">
        <f t="shared" si="5"/>
        <v>114296.46249999997</v>
      </c>
      <c r="T10" s="121">
        <f t="shared" si="6"/>
        <v>22859.292499999981</v>
      </c>
      <c r="U10" s="122">
        <f t="shared" si="7"/>
        <v>0.1999999999999999</v>
      </c>
    </row>
    <row r="11" spans="2:21" x14ac:dyDescent="0.2">
      <c r="B11" s="101" t="s">
        <v>225</v>
      </c>
      <c r="C11" s="93" t="s">
        <v>226</v>
      </c>
      <c r="D11" s="93" t="s">
        <v>251</v>
      </c>
      <c r="E11" s="93" t="s">
        <v>415</v>
      </c>
      <c r="F11" s="93" t="s">
        <v>430</v>
      </c>
      <c r="G11" s="93" t="s">
        <v>423</v>
      </c>
      <c r="H11" s="93" t="s">
        <v>427</v>
      </c>
      <c r="I11" s="93"/>
      <c r="J11" s="119">
        <v>630000</v>
      </c>
      <c r="K11" s="119">
        <v>504000</v>
      </c>
      <c r="L11" s="119">
        <f t="shared" si="0"/>
        <v>126000</v>
      </c>
      <c r="M11" s="120">
        <f t="shared" si="1"/>
        <v>0.2</v>
      </c>
      <c r="N11" s="119">
        <v>369813.21</v>
      </c>
      <c r="O11" s="120">
        <f t="shared" si="2"/>
        <v>0.73375636904761909</v>
      </c>
      <c r="P11" s="119">
        <f t="shared" si="3"/>
        <v>462266.51250000001</v>
      </c>
      <c r="Q11" s="119">
        <v>70448.63</v>
      </c>
      <c r="R11" s="121">
        <f t="shared" si="4"/>
        <v>391817.88250000001</v>
      </c>
      <c r="S11" s="123">
        <f t="shared" si="5"/>
        <v>167733.48749999999</v>
      </c>
      <c r="T11" s="121">
        <f t="shared" si="6"/>
        <v>33546.697500000009</v>
      </c>
      <c r="U11" s="122">
        <f t="shared" si="7"/>
        <v>0.20000000000000007</v>
      </c>
    </row>
    <row r="12" spans="2:21" x14ac:dyDescent="0.2">
      <c r="B12" s="101" t="s">
        <v>227</v>
      </c>
      <c r="C12" s="93" t="s">
        <v>228</v>
      </c>
      <c r="D12" s="93" t="s">
        <v>254</v>
      </c>
      <c r="E12" s="93" t="s">
        <v>415</v>
      </c>
      <c r="F12" s="93" t="s">
        <v>422</v>
      </c>
      <c r="G12" s="93" t="s">
        <v>428</v>
      </c>
      <c r="H12" s="93" t="s">
        <v>424</v>
      </c>
      <c r="I12" s="93"/>
      <c r="J12" s="119">
        <v>730000</v>
      </c>
      <c r="K12" s="119">
        <v>584000</v>
      </c>
      <c r="L12" s="119">
        <f t="shared" si="0"/>
        <v>146000</v>
      </c>
      <c r="M12" s="120">
        <f t="shared" si="1"/>
        <v>0.2</v>
      </c>
      <c r="N12" s="119">
        <v>157678.51999999999</v>
      </c>
      <c r="O12" s="120">
        <f t="shared" si="2"/>
        <v>0.26999746575342465</v>
      </c>
      <c r="P12" s="119">
        <f t="shared" si="3"/>
        <v>197098.15</v>
      </c>
      <c r="Q12" s="119">
        <v>562421.61</v>
      </c>
      <c r="R12" s="121">
        <f t="shared" si="4"/>
        <v>-365323.45999999996</v>
      </c>
      <c r="S12" s="123">
        <f t="shared" si="5"/>
        <v>532901.85</v>
      </c>
      <c r="T12" s="121">
        <f t="shared" si="6"/>
        <v>106580.37</v>
      </c>
      <c r="U12" s="122">
        <f t="shared" si="7"/>
        <v>0.2</v>
      </c>
    </row>
    <row r="13" spans="2:21" x14ac:dyDescent="0.2">
      <c r="B13" s="101" t="s">
        <v>229</v>
      </c>
      <c r="C13" s="93" t="s">
        <v>230</v>
      </c>
      <c r="D13" s="93" t="s">
        <v>248</v>
      </c>
      <c r="E13" s="93" t="s">
        <v>415</v>
      </c>
      <c r="F13" s="93" t="s">
        <v>431</v>
      </c>
      <c r="G13" s="93" t="s">
        <v>428</v>
      </c>
      <c r="H13" s="93" t="s">
        <v>427</v>
      </c>
      <c r="I13" s="93"/>
      <c r="J13" s="119">
        <v>690000</v>
      </c>
      <c r="K13" s="119">
        <v>552000</v>
      </c>
      <c r="L13" s="119">
        <f t="shared" si="0"/>
        <v>138000</v>
      </c>
      <c r="M13" s="120">
        <f t="shared" si="1"/>
        <v>0.2</v>
      </c>
      <c r="N13" s="119">
        <v>411069.35</v>
      </c>
      <c r="O13" s="120">
        <f t="shared" si="2"/>
        <v>0.74469085144927527</v>
      </c>
      <c r="P13" s="119">
        <f t="shared" si="3"/>
        <v>513836.68749999994</v>
      </c>
      <c r="Q13" s="119">
        <v>310954.26</v>
      </c>
      <c r="R13" s="121">
        <f t="shared" si="4"/>
        <v>202882.42749999993</v>
      </c>
      <c r="S13" s="123">
        <f t="shared" si="5"/>
        <v>176163.31250000006</v>
      </c>
      <c r="T13" s="121">
        <f t="shared" si="6"/>
        <v>35232.662500000035</v>
      </c>
      <c r="U13" s="122">
        <f t="shared" si="7"/>
        <v>0.20000000000000012</v>
      </c>
    </row>
    <row r="14" spans="2:21" x14ac:dyDescent="0.2">
      <c r="B14" s="105" t="s">
        <v>245</v>
      </c>
      <c r="C14" s="106"/>
      <c r="D14" s="106"/>
      <c r="E14" s="106"/>
      <c r="F14" s="106"/>
      <c r="G14" s="106"/>
      <c r="H14" s="106"/>
      <c r="I14" s="106"/>
      <c r="J14" s="112">
        <f>SUM(J6:J13)</f>
        <v>4220000</v>
      </c>
      <c r="K14" s="112">
        <f t="shared" ref="K14:T14" si="8">SUM(K6:K13)</f>
        <v>3344615.384615384</v>
      </c>
      <c r="L14" s="112">
        <f t="shared" si="8"/>
        <v>875384.61538461596</v>
      </c>
      <c r="M14" s="113">
        <f t="shared" si="1"/>
        <v>0.20743711265038292</v>
      </c>
      <c r="N14" s="112">
        <f t="shared" si="8"/>
        <v>1899511.2200000002</v>
      </c>
      <c r="O14" s="113">
        <f t="shared" si="2"/>
        <v>0.56793113753449875</v>
      </c>
      <c r="P14" s="112">
        <f t="shared" si="8"/>
        <v>2398352.9350000005</v>
      </c>
      <c r="Q14" s="112">
        <f t="shared" si="8"/>
        <v>1977472.7499999998</v>
      </c>
      <c r="R14" s="112">
        <f t="shared" si="8"/>
        <v>420880.18500000058</v>
      </c>
      <c r="S14" s="124">
        <f t="shared" si="8"/>
        <v>1821647.0649999995</v>
      </c>
      <c r="T14" s="112">
        <f t="shared" si="8"/>
        <v>376542.90038461547</v>
      </c>
      <c r="U14" s="114">
        <f t="shared" si="7"/>
        <v>0.20670463978411513</v>
      </c>
    </row>
    <row r="16" spans="2:21" x14ac:dyDescent="0.2">
      <c r="R16" s="91">
        <f>+'2. Balance Sheet'!AM12*1000</f>
        <v>176243.91999999998</v>
      </c>
      <c r="S16" s="89" t="s">
        <v>265</v>
      </c>
    </row>
    <row r="17" spans="18:21" x14ac:dyDescent="0.2">
      <c r="R17" s="91">
        <f>-'2. Balance Sheet'!AM37*1000</f>
        <v>-126414.68</v>
      </c>
      <c r="S17" s="89" t="s">
        <v>266</v>
      </c>
    </row>
    <row r="18" spans="18:21" x14ac:dyDescent="0.2">
      <c r="R18" s="140">
        <f>+R16+R17</f>
        <v>49829.239999999991</v>
      </c>
      <c r="S18" s="142" t="s">
        <v>267</v>
      </c>
      <c r="T18" s="142"/>
      <c r="U18" s="142"/>
    </row>
    <row r="20" spans="18:21" ht="12.75" thickBot="1" x14ac:dyDescent="0.25">
      <c r="R20" s="141">
        <f>+R18-R14</f>
        <v>-371050.94500000059</v>
      </c>
      <c r="S20" s="90" t="s">
        <v>268</v>
      </c>
      <c r="T20" s="90"/>
      <c r="U20" s="90"/>
    </row>
    <row r="21" spans="18:21" ht="12.75" thickTop="1" x14ac:dyDescent="0.2"/>
  </sheetData>
  <pageMargins left="0.7" right="0.7" top="0.75" bottom="0.75" header="0.3" footer="0.3"/>
  <ignoredErrors>
    <ignoredError sqref="M14:O1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EB19-4C31-4A3A-A55D-D44560F429F8}">
  <dimension ref="B3:R78"/>
  <sheetViews>
    <sheetView showGridLines="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I7" sqref="I7"/>
    </sheetView>
  </sheetViews>
  <sheetFormatPr defaultRowHeight="12" outlineLevelCol="1" x14ac:dyDescent="0.2"/>
  <cols>
    <col min="1" max="1" width="1.7109375" style="89" customWidth="1"/>
    <col min="2" max="2" width="14" style="89" bestFit="1" customWidth="1"/>
    <col min="3" max="3" width="40.7109375" style="89" bestFit="1" customWidth="1"/>
    <col min="4" max="4" width="26.5703125" style="89" customWidth="1" outlineLevel="1"/>
    <col min="5" max="8" width="19.85546875" style="89" customWidth="1" outlineLevel="1"/>
    <col min="9" max="12" width="9.7109375" style="89" customWidth="1"/>
    <col min="13" max="13" width="1.7109375" style="89" customWidth="1"/>
    <col min="14" max="14" width="19.85546875" style="89" bestFit="1" customWidth="1"/>
    <col min="15" max="15" width="11" style="89" bestFit="1" customWidth="1"/>
    <col min="16" max="17" width="10" style="89" bestFit="1" customWidth="1"/>
    <col min="18" max="16384" width="9.140625" style="89"/>
  </cols>
  <sheetData>
    <row r="3" spans="2:18" ht="12.75" thickBot="1" x14ac:dyDescent="0.25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N3" s="104"/>
      <c r="O3" s="104"/>
      <c r="P3" s="104"/>
      <c r="Q3" s="104"/>
      <c r="R3" s="104"/>
    </row>
    <row r="5" spans="2:18" x14ac:dyDescent="0.2">
      <c r="B5" s="143"/>
      <c r="C5" s="144"/>
      <c r="D5" s="144"/>
      <c r="E5" s="144"/>
      <c r="F5" s="144"/>
      <c r="G5" s="144"/>
      <c r="H5" s="144"/>
      <c r="I5" s="144"/>
      <c r="J5" s="144"/>
      <c r="K5" s="144"/>
      <c r="L5" s="145"/>
      <c r="N5" s="115"/>
      <c r="O5" s="144"/>
      <c r="P5" s="144"/>
      <c r="Q5" s="144"/>
      <c r="R5" s="145"/>
    </row>
    <row r="6" spans="2:18" ht="24" x14ac:dyDescent="0.2">
      <c r="B6" s="146" t="s">
        <v>213</v>
      </c>
      <c r="C6" s="147" t="s">
        <v>214</v>
      </c>
      <c r="D6" s="147" t="s">
        <v>417</v>
      </c>
      <c r="E6" s="147" t="s">
        <v>421</v>
      </c>
      <c r="F6" s="116" t="s">
        <v>418</v>
      </c>
      <c r="G6" s="116" t="s">
        <v>419</v>
      </c>
      <c r="H6" s="116" t="s">
        <v>420</v>
      </c>
      <c r="I6" s="148" t="s">
        <v>10</v>
      </c>
      <c r="J6" s="148" t="s">
        <v>411</v>
      </c>
      <c r="K6" s="148" t="s">
        <v>23</v>
      </c>
      <c r="L6" s="149" t="s">
        <v>412</v>
      </c>
      <c r="N6" s="23" t="s">
        <v>413</v>
      </c>
      <c r="O6" s="148" t="s">
        <v>10</v>
      </c>
      <c r="P6" s="148" t="s">
        <v>411</v>
      </c>
      <c r="Q6" s="148" t="s">
        <v>23</v>
      </c>
      <c r="R6" s="149" t="s">
        <v>412</v>
      </c>
    </row>
    <row r="7" spans="2:18" x14ac:dyDescent="0.2">
      <c r="B7" s="101" t="s">
        <v>269</v>
      </c>
      <c r="C7" s="93" t="s">
        <v>270</v>
      </c>
      <c r="D7" s="93" t="s">
        <v>247</v>
      </c>
      <c r="E7" s="93" t="s">
        <v>6</v>
      </c>
      <c r="F7" s="93" t="s">
        <v>429</v>
      </c>
      <c r="G7" s="93" t="s">
        <v>423</v>
      </c>
      <c r="H7" s="93" t="s">
        <v>424</v>
      </c>
      <c r="I7" s="119">
        <v>118357.87</v>
      </c>
      <c r="J7" s="119">
        <v>159900.95000000007</v>
      </c>
      <c r="K7" s="121">
        <f>+I7-J7</f>
        <v>-41543.080000000075</v>
      </c>
      <c r="L7" s="122">
        <f>IFERROR(K7/I7,0)</f>
        <v>-0.35099550203125551</v>
      </c>
      <c r="N7" s="101" t="s">
        <v>415</v>
      </c>
      <c r="O7" s="119">
        <f>SUMIF($E:$E,$N7,I:I)</f>
        <v>3545363.4299999997</v>
      </c>
      <c r="P7" s="119">
        <f>SUMIF($E:$E,$N7,J:J)</f>
        <v>3326963.3600000008</v>
      </c>
      <c r="Q7" s="121">
        <f>+O7-P7</f>
        <v>218400.0699999989</v>
      </c>
      <c r="R7" s="122">
        <f>+Q7/O7</f>
        <v>6.1601602857397027E-2</v>
      </c>
    </row>
    <row r="8" spans="2:18" x14ac:dyDescent="0.2">
      <c r="B8" s="101" t="s">
        <v>271</v>
      </c>
      <c r="C8" s="93" t="s">
        <v>272</v>
      </c>
      <c r="D8" s="93" t="s">
        <v>259</v>
      </c>
      <c r="E8" s="93" t="s">
        <v>6</v>
      </c>
      <c r="F8" s="93" t="s">
        <v>422</v>
      </c>
      <c r="G8" s="93" t="s">
        <v>423</v>
      </c>
      <c r="H8" s="93" t="s">
        <v>424</v>
      </c>
      <c r="I8" s="119">
        <v>174250.86</v>
      </c>
      <c r="J8" s="119">
        <v>208254.08000000002</v>
      </c>
      <c r="K8" s="121">
        <f t="shared" ref="K8:K71" si="0">+I8-J8</f>
        <v>-34003.22000000003</v>
      </c>
      <c r="L8" s="122">
        <f t="shared" ref="L8:L71" si="1">IFERROR(K8/I8,0)</f>
        <v>-0.19513946731740683</v>
      </c>
      <c r="N8" s="101" t="s">
        <v>6</v>
      </c>
      <c r="O8" s="119">
        <f>SUMIF($E:$E,$N8,I:I)</f>
        <v>3196172.27</v>
      </c>
      <c r="P8" s="119">
        <f>SUMIF($E:$E,$N8,J:J)</f>
        <v>2161620.58</v>
      </c>
      <c r="Q8" s="121">
        <f>+O8-P8</f>
        <v>1034551.69</v>
      </c>
      <c r="R8" s="122">
        <f>+Q8/O8</f>
        <v>0.3236845834971217</v>
      </c>
    </row>
    <row r="9" spans="2:18" x14ac:dyDescent="0.2">
      <c r="B9" s="101" t="s">
        <v>273</v>
      </c>
      <c r="C9" s="93" t="s">
        <v>274</v>
      </c>
      <c r="D9" s="93" t="s">
        <v>257</v>
      </c>
      <c r="E9" s="93" t="s">
        <v>6</v>
      </c>
      <c r="F9" s="93" t="s">
        <v>430</v>
      </c>
      <c r="G9" s="93" t="s">
        <v>426</v>
      </c>
      <c r="H9" s="93" t="s">
        <v>427</v>
      </c>
      <c r="I9" s="119">
        <v>127758.95000000001</v>
      </c>
      <c r="J9" s="119">
        <v>153112.82999999993</v>
      </c>
      <c r="K9" s="121">
        <f t="shared" si="0"/>
        <v>-25353.879999999917</v>
      </c>
      <c r="L9" s="122">
        <f t="shared" si="1"/>
        <v>-0.19845091087551922</v>
      </c>
      <c r="N9" s="101" t="s">
        <v>416</v>
      </c>
      <c r="O9" s="119">
        <f>SUMIF($E:$E,$N9,I:I)</f>
        <v>1530204.5799999998</v>
      </c>
      <c r="P9" s="119">
        <f>SUMIF($E:$E,$N9,J:J)</f>
        <v>81314.610000000015</v>
      </c>
      <c r="Q9" s="121">
        <f>+O9-P9</f>
        <v>1448889.9699999997</v>
      </c>
      <c r="R9" s="122">
        <f>+Q9/O9</f>
        <v>0.94686030151602341</v>
      </c>
    </row>
    <row r="10" spans="2:18" x14ac:dyDescent="0.2">
      <c r="B10" s="101" t="s">
        <v>275</v>
      </c>
      <c r="C10" s="93" t="s">
        <v>276</v>
      </c>
      <c r="D10" s="93" t="s">
        <v>254</v>
      </c>
      <c r="E10" s="93" t="s">
        <v>6</v>
      </c>
      <c r="F10" s="93" t="s">
        <v>432</v>
      </c>
      <c r="G10" s="93" t="s">
        <v>428</v>
      </c>
      <c r="H10" s="93" t="s">
        <v>424</v>
      </c>
      <c r="I10" s="119">
        <v>221523.35</v>
      </c>
      <c r="J10" s="119">
        <v>61288.94000000001</v>
      </c>
      <c r="K10" s="121">
        <f t="shared" si="0"/>
        <v>160234.41</v>
      </c>
      <c r="L10" s="122">
        <f t="shared" si="1"/>
        <v>0.72332966253896036</v>
      </c>
      <c r="N10" s="150" t="s">
        <v>414</v>
      </c>
      <c r="O10" s="151">
        <f>SUMIF($E:$E,$N10,I:I)</f>
        <v>797411.64</v>
      </c>
      <c r="P10" s="151">
        <f>SUMIF($E:$E,$N10,J:J)</f>
        <v>23922.26</v>
      </c>
      <c r="Q10" s="152">
        <f>+O10-P10</f>
        <v>773489.38</v>
      </c>
      <c r="R10" s="153">
        <f>+Q10/O10</f>
        <v>0.9700001118619237</v>
      </c>
    </row>
    <row r="11" spans="2:18" x14ac:dyDescent="0.2">
      <c r="B11" s="101" t="s">
        <v>277</v>
      </c>
      <c r="C11" s="93" t="s">
        <v>278</v>
      </c>
      <c r="D11" s="93" t="s">
        <v>248</v>
      </c>
      <c r="E11" s="93" t="s">
        <v>6</v>
      </c>
      <c r="F11" s="93" t="s">
        <v>433</v>
      </c>
      <c r="G11" s="93" t="s">
        <v>428</v>
      </c>
      <c r="H11" s="93" t="s">
        <v>424</v>
      </c>
      <c r="I11" s="119">
        <v>249027.62</v>
      </c>
      <c r="J11" s="119">
        <v>143199.18</v>
      </c>
      <c r="K11" s="121">
        <f t="shared" si="0"/>
        <v>105828.44</v>
      </c>
      <c r="L11" s="122">
        <f t="shared" si="1"/>
        <v>0.42496667638714131</v>
      </c>
    </row>
    <row r="12" spans="2:18" x14ac:dyDescent="0.2">
      <c r="B12" s="101" t="s">
        <v>279</v>
      </c>
      <c r="C12" s="93" t="s">
        <v>280</v>
      </c>
      <c r="D12" s="93" t="s">
        <v>253</v>
      </c>
      <c r="E12" s="93" t="s">
        <v>6</v>
      </c>
      <c r="F12" s="93" t="s">
        <v>430</v>
      </c>
      <c r="G12" s="93" t="s">
        <v>426</v>
      </c>
      <c r="H12" s="93" t="s">
        <v>427</v>
      </c>
      <c r="I12" s="119">
        <v>49594.05</v>
      </c>
      <c r="J12" s="119">
        <v>82071.759999999995</v>
      </c>
      <c r="K12" s="121">
        <f t="shared" si="0"/>
        <v>-32477.709999999992</v>
      </c>
      <c r="L12" s="122">
        <f t="shared" si="1"/>
        <v>-0.6548710984483016</v>
      </c>
    </row>
    <row r="13" spans="2:18" x14ac:dyDescent="0.2">
      <c r="B13" s="101" t="s">
        <v>281</v>
      </c>
      <c r="C13" s="93" t="s">
        <v>282</v>
      </c>
      <c r="D13" s="93" t="s">
        <v>251</v>
      </c>
      <c r="E13" s="93" t="s">
        <v>6</v>
      </c>
      <c r="F13" s="93" t="s">
        <v>422</v>
      </c>
      <c r="G13" s="93" t="s">
        <v>423</v>
      </c>
      <c r="H13" s="93" t="s">
        <v>424</v>
      </c>
      <c r="I13" s="119">
        <v>302997.67000000004</v>
      </c>
      <c r="J13" s="119">
        <v>88296.479999999952</v>
      </c>
      <c r="K13" s="121">
        <f t="shared" si="0"/>
        <v>214701.19000000009</v>
      </c>
      <c r="L13" s="122">
        <f t="shared" si="1"/>
        <v>0.70859023437374968</v>
      </c>
    </row>
    <row r="14" spans="2:18" x14ac:dyDescent="0.2">
      <c r="B14" s="101" t="s">
        <v>283</v>
      </c>
      <c r="C14" s="93" t="s">
        <v>284</v>
      </c>
      <c r="D14" s="93" t="s">
        <v>251</v>
      </c>
      <c r="E14" s="93" t="s">
        <v>6</v>
      </c>
      <c r="F14" s="93" t="s">
        <v>429</v>
      </c>
      <c r="G14" s="93" t="s">
        <v>423</v>
      </c>
      <c r="H14" s="93" t="s">
        <v>424</v>
      </c>
      <c r="I14" s="119">
        <v>232063.05999999997</v>
      </c>
      <c r="J14" s="119">
        <v>167765.70999999993</v>
      </c>
      <c r="K14" s="121">
        <f t="shared" si="0"/>
        <v>64297.350000000035</v>
      </c>
      <c r="L14" s="122">
        <f t="shared" si="1"/>
        <v>0.27706843993180147</v>
      </c>
    </row>
    <row r="15" spans="2:18" x14ac:dyDescent="0.2">
      <c r="B15" s="101" t="s">
        <v>285</v>
      </c>
      <c r="C15" s="93" t="s">
        <v>286</v>
      </c>
      <c r="D15" s="93" t="s">
        <v>255</v>
      </c>
      <c r="E15" s="93" t="s">
        <v>6</v>
      </c>
      <c r="F15" s="93" t="s">
        <v>434</v>
      </c>
      <c r="G15" s="93" t="s">
        <v>428</v>
      </c>
      <c r="H15" s="93" t="s">
        <v>424</v>
      </c>
      <c r="I15" s="119">
        <v>152924.49000000002</v>
      </c>
      <c r="J15" s="119">
        <v>91175.55</v>
      </c>
      <c r="K15" s="121">
        <f t="shared" si="0"/>
        <v>61748.940000000017</v>
      </c>
      <c r="L15" s="122">
        <f t="shared" si="1"/>
        <v>0.40378712395902061</v>
      </c>
    </row>
    <row r="16" spans="2:18" x14ac:dyDescent="0.2">
      <c r="B16" s="101" t="s">
        <v>287</v>
      </c>
      <c r="C16" s="93" t="s">
        <v>288</v>
      </c>
      <c r="D16" s="93" t="s">
        <v>261</v>
      </c>
      <c r="E16" s="93" t="s">
        <v>6</v>
      </c>
      <c r="F16" s="93" t="s">
        <v>432</v>
      </c>
      <c r="G16" s="93" t="s">
        <v>435</v>
      </c>
      <c r="H16" s="93" t="s">
        <v>427</v>
      </c>
      <c r="I16" s="119">
        <v>265501.48</v>
      </c>
      <c r="J16" s="119">
        <v>113354.01999999997</v>
      </c>
      <c r="K16" s="121">
        <f t="shared" si="0"/>
        <v>152147.46000000002</v>
      </c>
      <c r="L16" s="122">
        <f t="shared" si="1"/>
        <v>0.57305691855277052</v>
      </c>
    </row>
    <row r="17" spans="2:12" x14ac:dyDescent="0.2">
      <c r="B17" s="101" t="s">
        <v>289</v>
      </c>
      <c r="C17" s="93" t="s">
        <v>290</v>
      </c>
      <c r="D17" s="93" t="s">
        <v>253</v>
      </c>
      <c r="E17" s="93" t="s">
        <v>6</v>
      </c>
      <c r="F17" s="93" t="s">
        <v>430</v>
      </c>
      <c r="G17" s="93" t="s">
        <v>426</v>
      </c>
      <c r="H17" s="93" t="s">
        <v>427</v>
      </c>
      <c r="I17" s="119">
        <v>159298.44</v>
      </c>
      <c r="J17" s="119">
        <v>139658.49000000002</v>
      </c>
      <c r="K17" s="121">
        <f t="shared" si="0"/>
        <v>19639.949999999983</v>
      </c>
      <c r="L17" s="122">
        <f t="shared" si="1"/>
        <v>0.1232902845752914</v>
      </c>
    </row>
    <row r="18" spans="2:12" x14ac:dyDescent="0.2">
      <c r="B18" s="101" t="s">
        <v>291</v>
      </c>
      <c r="C18" s="93" t="s">
        <v>292</v>
      </c>
      <c r="D18" s="93" t="s">
        <v>261</v>
      </c>
      <c r="E18" s="93" t="s">
        <v>6</v>
      </c>
      <c r="F18" s="93" t="s">
        <v>425</v>
      </c>
      <c r="G18" s="93" t="s">
        <v>435</v>
      </c>
      <c r="H18" s="93" t="s">
        <v>424</v>
      </c>
      <c r="I18" s="119">
        <v>282173.35000000003</v>
      </c>
      <c r="J18" s="119">
        <v>172497.16999999998</v>
      </c>
      <c r="K18" s="121">
        <f t="shared" si="0"/>
        <v>109676.18000000005</v>
      </c>
      <c r="L18" s="122">
        <f t="shared" si="1"/>
        <v>0.38868369390660046</v>
      </c>
    </row>
    <row r="19" spans="2:12" x14ac:dyDescent="0.2">
      <c r="B19" s="101" t="s">
        <v>293</v>
      </c>
      <c r="C19" s="93" t="s">
        <v>294</v>
      </c>
      <c r="D19" s="93" t="s">
        <v>250</v>
      </c>
      <c r="E19" s="93" t="s">
        <v>6</v>
      </c>
      <c r="F19" s="93" t="s">
        <v>422</v>
      </c>
      <c r="G19" s="93" t="s">
        <v>428</v>
      </c>
      <c r="H19" s="93" t="s">
        <v>427</v>
      </c>
      <c r="I19" s="119">
        <v>295485.91000000003</v>
      </c>
      <c r="J19" s="119">
        <v>208335.50999999995</v>
      </c>
      <c r="K19" s="121">
        <f t="shared" si="0"/>
        <v>87150.400000000081</v>
      </c>
      <c r="L19" s="122">
        <f t="shared" si="1"/>
        <v>0.29493927476948079</v>
      </c>
    </row>
    <row r="20" spans="2:12" x14ac:dyDescent="0.2">
      <c r="B20" s="101" t="s">
        <v>295</v>
      </c>
      <c r="C20" s="93" t="s">
        <v>296</v>
      </c>
      <c r="D20" s="93" t="s">
        <v>252</v>
      </c>
      <c r="E20" s="93" t="s">
        <v>6</v>
      </c>
      <c r="F20" s="93" t="s">
        <v>422</v>
      </c>
      <c r="G20" s="93" t="s">
        <v>428</v>
      </c>
      <c r="H20" s="93" t="s">
        <v>424</v>
      </c>
      <c r="I20" s="119">
        <v>346823</v>
      </c>
      <c r="J20" s="119">
        <v>80468.020000000019</v>
      </c>
      <c r="K20" s="121">
        <f t="shared" si="0"/>
        <v>266354.98</v>
      </c>
      <c r="L20" s="122">
        <f t="shared" si="1"/>
        <v>0.76798534122592788</v>
      </c>
    </row>
    <row r="21" spans="2:12" x14ac:dyDescent="0.2">
      <c r="B21" s="101" t="s">
        <v>297</v>
      </c>
      <c r="C21" s="93" t="s">
        <v>298</v>
      </c>
      <c r="D21" s="93" t="s">
        <v>255</v>
      </c>
      <c r="E21" s="93" t="s">
        <v>6</v>
      </c>
      <c r="F21" s="93" t="s">
        <v>429</v>
      </c>
      <c r="G21" s="93" t="s">
        <v>428</v>
      </c>
      <c r="H21" s="93" t="s">
        <v>424</v>
      </c>
      <c r="I21" s="119">
        <v>61523.37000000001</v>
      </c>
      <c r="J21" s="119">
        <v>92390.010000000024</v>
      </c>
      <c r="K21" s="121">
        <f t="shared" si="0"/>
        <v>-30866.640000000014</v>
      </c>
      <c r="L21" s="122">
        <f t="shared" si="1"/>
        <v>-0.50170593710975209</v>
      </c>
    </row>
    <row r="22" spans="2:12" x14ac:dyDescent="0.2">
      <c r="B22" s="101" t="s">
        <v>299</v>
      </c>
      <c r="C22" s="93" t="s">
        <v>300</v>
      </c>
      <c r="D22" s="93" t="s">
        <v>248</v>
      </c>
      <c r="E22" s="93" t="s">
        <v>6</v>
      </c>
      <c r="F22" s="93" t="s">
        <v>436</v>
      </c>
      <c r="G22" s="93" t="s">
        <v>428</v>
      </c>
      <c r="H22" s="93" t="s">
        <v>424</v>
      </c>
      <c r="I22" s="119">
        <v>98058.169999999984</v>
      </c>
      <c r="J22" s="119">
        <v>116140.4</v>
      </c>
      <c r="K22" s="121">
        <f t="shared" si="0"/>
        <v>-18082.23000000001</v>
      </c>
      <c r="L22" s="122">
        <f t="shared" si="1"/>
        <v>-0.18440309461210641</v>
      </c>
    </row>
    <row r="23" spans="2:12" x14ac:dyDescent="0.2">
      <c r="B23" s="101" t="s">
        <v>301</v>
      </c>
      <c r="C23" s="93" t="s">
        <v>302</v>
      </c>
      <c r="D23" s="93" t="s">
        <v>261</v>
      </c>
      <c r="E23" s="93" t="s">
        <v>6</v>
      </c>
      <c r="F23" s="93" t="s">
        <v>422</v>
      </c>
      <c r="G23" s="93" t="s">
        <v>435</v>
      </c>
      <c r="H23" s="93" t="s">
        <v>424</v>
      </c>
      <c r="I23" s="119">
        <v>58810.630000000005</v>
      </c>
      <c r="J23" s="119">
        <v>83711.479999999981</v>
      </c>
      <c r="K23" s="121">
        <f t="shared" si="0"/>
        <v>-24900.849999999977</v>
      </c>
      <c r="L23" s="122">
        <f t="shared" si="1"/>
        <v>-0.42340729898659435</v>
      </c>
    </row>
    <row r="24" spans="2:12" x14ac:dyDescent="0.2">
      <c r="B24" s="101" t="s">
        <v>303</v>
      </c>
      <c r="C24" s="93" t="s">
        <v>304</v>
      </c>
      <c r="D24" s="93" t="s">
        <v>255</v>
      </c>
      <c r="E24" s="93" t="s">
        <v>414</v>
      </c>
      <c r="F24" s="93" t="s">
        <v>429</v>
      </c>
      <c r="G24" s="93" t="s">
        <v>428</v>
      </c>
      <c r="H24" s="93" t="s">
        <v>263</v>
      </c>
      <c r="I24" s="119">
        <v>72932.100000000006</v>
      </c>
      <c r="J24" s="119">
        <v>2849.56</v>
      </c>
      <c r="K24" s="121">
        <f t="shared" si="0"/>
        <v>70082.540000000008</v>
      </c>
      <c r="L24" s="122">
        <f t="shared" si="1"/>
        <v>0.96092858974306239</v>
      </c>
    </row>
    <row r="25" spans="2:12" x14ac:dyDescent="0.2">
      <c r="B25" s="101" t="s">
        <v>305</v>
      </c>
      <c r="C25" s="93" t="s">
        <v>306</v>
      </c>
      <c r="D25" s="93" t="s">
        <v>252</v>
      </c>
      <c r="E25" s="93" t="s">
        <v>414</v>
      </c>
      <c r="F25" s="93" t="s">
        <v>425</v>
      </c>
      <c r="G25" s="93" t="s">
        <v>428</v>
      </c>
      <c r="H25" s="93" t="s">
        <v>437</v>
      </c>
      <c r="I25" s="119">
        <v>70382.649999999994</v>
      </c>
      <c r="J25" s="119">
        <v>3272.95</v>
      </c>
      <c r="K25" s="121">
        <f t="shared" si="0"/>
        <v>67109.7</v>
      </c>
      <c r="L25" s="122">
        <f t="shared" si="1"/>
        <v>0.95349777253342982</v>
      </c>
    </row>
    <row r="26" spans="2:12" x14ac:dyDescent="0.2">
      <c r="B26" s="101" t="s">
        <v>307</v>
      </c>
      <c r="C26" s="93" t="s">
        <v>308</v>
      </c>
      <c r="D26" s="93" t="s">
        <v>249</v>
      </c>
      <c r="E26" s="93" t="s">
        <v>414</v>
      </c>
      <c r="F26" s="93" t="s">
        <v>436</v>
      </c>
      <c r="G26" s="93" t="s">
        <v>423</v>
      </c>
      <c r="H26" s="93" t="s">
        <v>263</v>
      </c>
      <c r="I26" s="119">
        <v>14843.11</v>
      </c>
      <c r="J26" s="119">
        <v>1842.1999999999998</v>
      </c>
      <c r="K26" s="121">
        <f t="shared" si="0"/>
        <v>13000.91</v>
      </c>
      <c r="L26" s="122">
        <f t="shared" si="1"/>
        <v>0.8758885435734155</v>
      </c>
    </row>
    <row r="27" spans="2:12" x14ac:dyDescent="0.2">
      <c r="B27" s="101" t="s">
        <v>309</v>
      </c>
      <c r="C27" s="93" t="s">
        <v>310</v>
      </c>
      <c r="D27" s="93" t="s">
        <v>260</v>
      </c>
      <c r="E27" s="93" t="s">
        <v>414</v>
      </c>
      <c r="F27" s="93" t="s">
        <v>422</v>
      </c>
      <c r="G27" s="93" t="s">
        <v>428</v>
      </c>
      <c r="H27" s="93" t="s">
        <v>437</v>
      </c>
      <c r="I27" s="119">
        <v>118525.45999999999</v>
      </c>
      <c r="J27" s="119">
        <v>1839.42</v>
      </c>
      <c r="K27" s="121">
        <f t="shared" si="0"/>
        <v>116686.04</v>
      </c>
      <c r="L27" s="122">
        <f t="shared" si="1"/>
        <v>0.9844808026899875</v>
      </c>
    </row>
    <row r="28" spans="2:12" x14ac:dyDescent="0.2">
      <c r="B28" s="101" t="s">
        <v>311</v>
      </c>
      <c r="C28" s="93" t="s">
        <v>312</v>
      </c>
      <c r="D28" s="93" t="s">
        <v>256</v>
      </c>
      <c r="E28" s="93" t="s">
        <v>414</v>
      </c>
      <c r="F28" s="93" t="s">
        <v>422</v>
      </c>
      <c r="G28" s="93" t="s">
        <v>423</v>
      </c>
      <c r="H28" s="93" t="s">
        <v>437</v>
      </c>
      <c r="I28" s="119">
        <v>67769.47</v>
      </c>
      <c r="J28" s="119">
        <v>3310.2599999999993</v>
      </c>
      <c r="K28" s="121">
        <f t="shared" si="0"/>
        <v>64459.21</v>
      </c>
      <c r="L28" s="122">
        <f t="shared" si="1"/>
        <v>0.95115411113588466</v>
      </c>
    </row>
    <row r="29" spans="2:12" x14ac:dyDescent="0.2">
      <c r="B29" s="101" t="s">
        <v>313</v>
      </c>
      <c r="C29" s="93" t="s">
        <v>314</v>
      </c>
      <c r="D29" s="93" t="s">
        <v>254</v>
      </c>
      <c r="E29" s="93" t="s">
        <v>414</v>
      </c>
      <c r="F29" s="93" t="s">
        <v>425</v>
      </c>
      <c r="G29" s="93" t="s">
        <v>428</v>
      </c>
      <c r="H29" s="93" t="s">
        <v>437</v>
      </c>
      <c r="I29" s="119">
        <v>144692.06</v>
      </c>
      <c r="J29" s="119">
        <v>3600.62</v>
      </c>
      <c r="K29" s="121">
        <f t="shared" si="0"/>
        <v>141091.44</v>
      </c>
      <c r="L29" s="122">
        <f t="shared" si="1"/>
        <v>0.97511528967104344</v>
      </c>
    </row>
    <row r="30" spans="2:12" x14ac:dyDescent="0.2">
      <c r="B30" s="101" t="s">
        <v>315</v>
      </c>
      <c r="C30" s="93" t="s">
        <v>316</v>
      </c>
      <c r="D30" s="93" t="s">
        <v>259</v>
      </c>
      <c r="E30" s="93" t="s">
        <v>414</v>
      </c>
      <c r="F30" s="93" t="s">
        <v>422</v>
      </c>
      <c r="G30" s="93" t="s">
        <v>423</v>
      </c>
      <c r="H30" s="93" t="s">
        <v>263</v>
      </c>
      <c r="I30" s="119">
        <v>142318.64000000001</v>
      </c>
      <c r="J30" s="119">
        <v>1929.64</v>
      </c>
      <c r="K30" s="121">
        <f t="shared" si="0"/>
        <v>140389</v>
      </c>
      <c r="L30" s="122">
        <f t="shared" si="1"/>
        <v>0.98644141062618351</v>
      </c>
    </row>
    <row r="31" spans="2:12" x14ac:dyDescent="0.2">
      <c r="B31" s="101" t="s">
        <v>317</v>
      </c>
      <c r="C31" s="93" t="s">
        <v>318</v>
      </c>
      <c r="D31" s="93" t="s">
        <v>260</v>
      </c>
      <c r="E31" s="93" t="s">
        <v>414</v>
      </c>
      <c r="F31" s="93" t="s">
        <v>436</v>
      </c>
      <c r="G31" s="93" t="s">
        <v>428</v>
      </c>
      <c r="H31" s="93" t="s">
        <v>437</v>
      </c>
      <c r="I31" s="119">
        <v>87689.25</v>
      </c>
      <c r="J31" s="119">
        <v>4759.72</v>
      </c>
      <c r="K31" s="121">
        <f t="shared" si="0"/>
        <v>82929.53</v>
      </c>
      <c r="L31" s="122">
        <f t="shared" si="1"/>
        <v>0.9457205985910474</v>
      </c>
    </row>
    <row r="32" spans="2:12" x14ac:dyDescent="0.2">
      <c r="B32" s="101" t="s">
        <v>319</v>
      </c>
      <c r="C32" s="93" t="s">
        <v>320</v>
      </c>
      <c r="D32" s="93" t="s">
        <v>250</v>
      </c>
      <c r="E32" s="93" t="s">
        <v>414</v>
      </c>
      <c r="F32" s="93" t="s">
        <v>438</v>
      </c>
      <c r="G32" s="93" t="s">
        <v>428</v>
      </c>
      <c r="H32" s="93" t="s">
        <v>437</v>
      </c>
      <c r="I32" s="119">
        <v>78258.899999999994</v>
      </c>
      <c r="J32" s="119">
        <v>517.89</v>
      </c>
      <c r="K32" s="121">
        <f t="shared" si="0"/>
        <v>77741.009999999995</v>
      </c>
      <c r="L32" s="122">
        <f t="shared" si="1"/>
        <v>0.99338235012247811</v>
      </c>
    </row>
    <row r="33" spans="2:12" x14ac:dyDescent="0.2">
      <c r="B33" s="101" t="s">
        <v>321</v>
      </c>
      <c r="C33" s="93" t="s">
        <v>322</v>
      </c>
      <c r="D33" s="93" t="s">
        <v>247</v>
      </c>
      <c r="E33" s="93" t="s">
        <v>415</v>
      </c>
      <c r="F33" s="93" t="s">
        <v>422</v>
      </c>
      <c r="G33" s="93" t="s">
        <v>423</v>
      </c>
      <c r="H33" s="93" t="s">
        <v>427</v>
      </c>
      <c r="I33" s="119">
        <v>104302.95999999999</v>
      </c>
      <c r="J33" s="119">
        <v>166626.68999999994</v>
      </c>
      <c r="K33" s="121">
        <f t="shared" si="0"/>
        <v>-62323.729999999952</v>
      </c>
      <c r="L33" s="122">
        <f t="shared" si="1"/>
        <v>-0.59752599542716678</v>
      </c>
    </row>
    <row r="34" spans="2:12" x14ac:dyDescent="0.2">
      <c r="B34" s="101" t="s">
        <v>323</v>
      </c>
      <c r="C34" s="93" t="s">
        <v>324</v>
      </c>
      <c r="D34" s="93" t="s">
        <v>258</v>
      </c>
      <c r="E34" s="93" t="s">
        <v>415</v>
      </c>
      <c r="F34" s="93" t="s">
        <v>422</v>
      </c>
      <c r="G34" s="93" t="s">
        <v>428</v>
      </c>
      <c r="H34" s="93" t="s">
        <v>427</v>
      </c>
      <c r="I34" s="119">
        <v>200220.22999999998</v>
      </c>
      <c r="J34" s="119">
        <v>360766.25000000006</v>
      </c>
      <c r="K34" s="121">
        <f t="shared" si="0"/>
        <v>-160546.02000000008</v>
      </c>
      <c r="L34" s="122">
        <f t="shared" si="1"/>
        <v>-0.80184714601516582</v>
      </c>
    </row>
    <row r="35" spans="2:12" x14ac:dyDescent="0.2">
      <c r="B35" s="101" t="s">
        <v>325</v>
      </c>
      <c r="C35" s="93" t="s">
        <v>326</v>
      </c>
      <c r="D35" s="93" t="s">
        <v>261</v>
      </c>
      <c r="E35" s="93" t="s">
        <v>415</v>
      </c>
      <c r="F35" s="93" t="s">
        <v>432</v>
      </c>
      <c r="G35" s="93" t="s">
        <v>435</v>
      </c>
      <c r="H35" s="93" t="s">
        <v>424</v>
      </c>
      <c r="I35" s="119">
        <v>249409.59</v>
      </c>
      <c r="J35" s="119">
        <v>149820.44</v>
      </c>
      <c r="K35" s="121">
        <f t="shared" si="0"/>
        <v>99589.15</v>
      </c>
      <c r="L35" s="122">
        <f t="shared" si="1"/>
        <v>0.39929960191185909</v>
      </c>
    </row>
    <row r="36" spans="2:12" x14ac:dyDescent="0.2">
      <c r="B36" s="101" t="s">
        <v>327</v>
      </c>
      <c r="C36" s="93" t="s">
        <v>328</v>
      </c>
      <c r="D36" s="93" t="s">
        <v>255</v>
      </c>
      <c r="E36" s="93" t="s">
        <v>415</v>
      </c>
      <c r="F36" s="93" t="s">
        <v>425</v>
      </c>
      <c r="G36" s="93" t="s">
        <v>428</v>
      </c>
      <c r="H36" s="93" t="s">
        <v>424</v>
      </c>
      <c r="I36" s="119">
        <v>79929.430000000008</v>
      </c>
      <c r="J36" s="119">
        <v>124934.01999999999</v>
      </c>
      <c r="K36" s="121">
        <f t="shared" si="0"/>
        <v>-45004.589999999982</v>
      </c>
      <c r="L36" s="122">
        <f t="shared" si="1"/>
        <v>-0.56305405906184969</v>
      </c>
    </row>
    <row r="37" spans="2:12" x14ac:dyDescent="0.2">
      <c r="B37" s="101" t="s">
        <v>329</v>
      </c>
      <c r="C37" s="93" t="s">
        <v>330</v>
      </c>
      <c r="D37" s="93" t="s">
        <v>261</v>
      </c>
      <c r="E37" s="93" t="s">
        <v>415</v>
      </c>
      <c r="F37" s="93" t="s">
        <v>434</v>
      </c>
      <c r="G37" s="93" t="s">
        <v>435</v>
      </c>
      <c r="H37" s="93" t="s">
        <v>424</v>
      </c>
      <c r="I37" s="119">
        <v>118106</v>
      </c>
      <c r="J37" s="119">
        <v>136094.37</v>
      </c>
      <c r="K37" s="121">
        <f t="shared" si="0"/>
        <v>-17988.369999999995</v>
      </c>
      <c r="L37" s="122">
        <f t="shared" si="1"/>
        <v>-0.15230699541090204</v>
      </c>
    </row>
    <row r="38" spans="2:12" x14ac:dyDescent="0.2">
      <c r="B38" s="101" t="s">
        <v>331</v>
      </c>
      <c r="C38" s="93" t="s">
        <v>332</v>
      </c>
      <c r="D38" s="93" t="s">
        <v>255</v>
      </c>
      <c r="E38" s="93" t="s">
        <v>415</v>
      </c>
      <c r="F38" s="93" t="s">
        <v>438</v>
      </c>
      <c r="G38" s="93" t="s">
        <v>428</v>
      </c>
      <c r="H38" s="93" t="s">
        <v>424</v>
      </c>
      <c r="I38" s="119">
        <v>188998.18</v>
      </c>
      <c r="J38" s="119">
        <v>340312.47000000003</v>
      </c>
      <c r="K38" s="121">
        <f t="shared" si="0"/>
        <v>-151314.29000000004</v>
      </c>
      <c r="L38" s="122">
        <f t="shared" si="1"/>
        <v>-0.80061241859577714</v>
      </c>
    </row>
    <row r="39" spans="2:12" x14ac:dyDescent="0.2">
      <c r="B39" s="101" t="s">
        <v>333</v>
      </c>
      <c r="C39" s="93" t="s">
        <v>334</v>
      </c>
      <c r="D39" s="93" t="s">
        <v>249</v>
      </c>
      <c r="E39" s="93" t="s">
        <v>415</v>
      </c>
      <c r="F39" s="93" t="s">
        <v>425</v>
      </c>
      <c r="G39" s="93" t="s">
        <v>423</v>
      </c>
      <c r="H39" s="93" t="s">
        <v>424</v>
      </c>
      <c r="I39" s="119">
        <v>339930.52999999997</v>
      </c>
      <c r="J39" s="119">
        <v>253454.12000000005</v>
      </c>
      <c r="K39" s="121">
        <f t="shared" si="0"/>
        <v>86476.409999999916</v>
      </c>
      <c r="L39" s="122">
        <f t="shared" si="1"/>
        <v>0.25439436110666469</v>
      </c>
    </row>
    <row r="40" spans="2:12" x14ac:dyDescent="0.2">
      <c r="B40" s="101" t="s">
        <v>335</v>
      </c>
      <c r="C40" s="93" t="s">
        <v>336</v>
      </c>
      <c r="D40" s="93" t="s">
        <v>247</v>
      </c>
      <c r="E40" s="93" t="s">
        <v>415</v>
      </c>
      <c r="F40" s="93" t="s">
        <v>429</v>
      </c>
      <c r="G40" s="93" t="s">
        <v>423</v>
      </c>
      <c r="H40" s="93" t="s">
        <v>424</v>
      </c>
      <c r="I40" s="119">
        <v>188415.27</v>
      </c>
      <c r="J40" s="119">
        <v>195573.39999999997</v>
      </c>
      <c r="K40" s="121">
        <f t="shared" si="0"/>
        <v>-7158.1299999999756</v>
      </c>
      <c r="L40" s="122">
        <f t="shared" si="1"/>
        <v>-3.7991241368069459E-2</v>
      </c>
    </row>
    <row r="41" spans="2:12" x14ac:dyDescent="0.2">
      <c r="B41" s="101" t="s">
        <v>337</v>
      </c>
      <c r="C41" s="93" t="s">
        <v>338</v>
      </c>
      <c r="D41" s="93" t="s">
        <v>250</v>
      </c>
      <c r="E41" s="93" t="s">
        <v>415</v>
      </c>
      <c r="F41" s="93" t="s">
        <v>436</v>
      </c>
      <c r="G41" s="93" t="s">
        <v>428</v>
      </c>
      <c r="H41" s="93" t="s">
        <v>424</v>
      </c>
      <c r="I41" s="119">
        <v>408109.24</v>
      </c>
      <c r="J41" s="119">
        <v>164367.01</v>
      </c>
      <c r="K41" s="121">
        <f t="shared" si="0"/>
        <v>243742.22999999998</v>
      </c>
      <c r="L41" s="122">
        <f t="shared" si="1"/>
        <v>0.59724751637576245</v>
      </c>
    </row>
    <row r="42" spans="2:12" x14ac:dyDescent="0.2">
      <c r="B42" s="101" t="s">
        <v>339</v>
      </c>
      <c r="C42" s="93" t="s">
        <v>340</v>
      </c>
      <c r="D42" s="93" t="s">
        <v>260</v>
      </c>
      <c r="E42" s="93" t="s">
        <v>415</v>
      </c>
      <c r="F42" s="93" t="s">
        <v>431</v>
      </c>
      <c r="G42" s="93" t="s">
        <v>428</v>
      </c>
      <c r="H42" s="93" t="s">
        <v>424</v>
      </c>
      <c r="I42" s="119">
        <v>183502.32</v>
      </c>
      <c r="J42" s="119">
        <v>226614.35999999993</v>
      </c>
      <c r="K42" s="121">
        <f t="shared" si="0"/>
        <v>-43112.039999999921</v>
      </c>
      <c r="L42" s="122">
        <f t="shared" si="1"/>
        <v>-0.23494002691628052</v>
      </c>
    </row>
    <row r="43" spans="2:12" x14ac:dyDescent="0.2">
      <c r="B43" s="101" t="s">
        <v>341</v>
      </c>
      <c r="C43" s="93" t="s">
        <v>342</v>
      </c>
      <c r="D43" s="93" t="s">
        <v>249</v>
      </c>
      <c r="E43" s="93" t="s">
        <v>415</v>
      </c>
      <c r="F43" s="93" t="s">
        <v>425</v>
      </c>
      <c r="G43" s="93" t="s">
        <v>423</v>
      </c>
      <c r="H43" s="93" t="s">
        <v>424</v>
      </c>
      <c r="I43" s="119">
        <v>394543.65</v>
      </c>
      <c r="J43" s="119">
        <v>318366.01000000007</v>
      </c>
      <c r="K43" s="121">
        <f t="shared" si="0"/>
        <v>76177.639999999956</v>
      </c>
      <c r="L43" s="122">
        <f t="shared" si="1"/>
        <v>0.193077850828419</v>
      </c>
    </row>
    <row r="44" spans="2:12" x14ac:dyDescent="0.2">
      <c r="B44" s="101" t="s">
        <v>343</v>
      </c>
      <c r="C44" s="93" t="s">
        <v>344</v>
      </c>
      <c r="D44" s="93" t="s">
        <v>255</v>
      </c>
      <c r="E44" s="93" t="s">
        <v>415</v>
      </c>
      <c r="F44" s="93" t="s">
        <v>438</v>
      </c>
      <c r="G44" s="93" t="s">
        <v>428</v>
      </c>
      <c r="H44" s="93" t="s">
        <v>427</v>
      </c>
      <c r="I44" s="119">
        <v>341511.77999999997</v>
      </c>
      <c r="J44" s="119">
        <v>443449.93000000017</v>
      </c>
      <c r="K44" s="121">
        <f t="shared" si="0"/>
        <v>-101938.1500000002</v>
      </c>
      <c r="L44" s="122">
        <f t="shared" si="1"/>
        <v>-0.29849087489749315</v>
      </c>
    </row>
    <row r="45" spans="2:12" x14ac:dyDescent="0.2">
      <c r="B45" s="101" t="s">
        <v>345</v>
      </c>
      <c r="C45" s="93" t="s">
        <v>346</v>
      </c>
      <c r="D45" s="93" t="s">
        <v>256</v>
      </c>
      <c r="E45" s="93" t="s">
        <v>415</v>
      </c>
      <c r="F45" s="93" t="s">
        <v>422</v>
      </c>
      <c r="G45" s="93" t="s">
        <v>423</v>
      </c>
      <c r="H45" s="93" t="s">
        <v>424</v>
      </c>
      <c r="I45" s="119">
        <v>465403.83999999991</v>
      </c>
      <c r="J45" s="119">
        <v>161603.74</v>
      </c>
      <c r="K45" s="121">
        <f t="shared" si="0"/>
        <v>303800.09999999992</v>
      </c>
      <c r="L45" s="122">
        <f t="shared" si="1"/>
        <v>0.65276663810938895</v>
      </c>
    </row>
    <row r="46" spans="2:12" x14ac:dyDescent="0.2">
      <c r="B46" s="101" t="s">
        <v>347</v>
      </c>
      <c r="C46" s="93" t="s">
        <v>348</v>
      </c>
      <c r="D46" s="93" t="s">
        <v>252</v>
      </c>
      <c r="E46" s="93" t="s">
        <v>415</v>
      </c>
      <c r="F46" s="93" t="s">
        <v>429</v>
      </c>
      <c r="G46" s="93" t="s">
        <v>428</v>
      </c>
      <c r="H46" s="93" t="s">
        <v>424</v>
      </c>
      <c r="I46" s="119">
        <v>200040.14</v>
      </c>
      <c r="J46" s="119">
        <v>133878.49000000002</v>
      </c>
      <c r="K46" s="121">
        <f t="shared" si="0"/>
        <v>66161.649999999994</v>
      </c>
      <c r="L46" s="122">
        <f t="shared" si="1"/>
        <v>0.33074187010666956</v>
      </c>
    </row>
    <row r="47" spans="2:12" x14ac:dyDescent="0.2">
      <c r="B47" s="101" t="s">
        <v>349</v>
      </c>
      <c r="C47" s="93" t="s">
        <v>350</v>
      </c>
      <c r="D47" s="93" t="s">
        <v>257</v>
      </c>
      <c r="E47" s="93" t="s">
        <v>415</v>
      </c>
      <c r="F47" s="93" t="s">
        <v>422</v>
      </c>
      <c r="G47" s="93" t="s">
        <v>426</v>
      </c>
      <c r="H47" s="93" t="s">
        <v>424</v>
      </c>
      <c r="I47" s="119">
        <v>82940.27</v>
      </c>
      <c r="J47" s="119">
        <v>151102.05999999994</v>
      </c>
      <c r="K47" s="121">
        <f t="shared" si="0"/>
        <v>-68161.789999999935</v>
      </c>
      <c r="L47" s="122">
        <f t="shared" si="1"/>
        <v>-0.82181779731365634</v>
      </c>
    </row>
    <row r="48" spans="2:12" x14ac:dyDescent="0.2">
      <c r="B48" s="101" t="s">
        <v>351</v>
      </c>
      <c r="C48" s="93" t="s">
        <v>352</v>
      </c>
      <c r="D48" s="93" t="s">
        <v>251</v>
      </c>
      <c r="E48" s="93" t="s">
        <v>416</v>
      </c>
      <c r="F48" s="93" t="s">
        <v>422</v>
      </c>
      <c r="G48" s="93" t="s">
        <v>423</v>
      </c>
      <c r="H48" s="93" t="s">
        <v>439</v>
      </c>
      <c r="I48" s="119">
        <v>23945.21</v>
      </c>
      <c r="J48" s="119">
        <v>1352.6299999999997</v>
      </c>
      <c r="K48" s="121">
        <f t="shared" si="0"/>
        <v>22592.579999999998</v>
      </c>
      <c r="L48" s="122">
        <f t="shared" si="1"/>
        <v>0.94351145803273384</v>
      </c>
    </row>
    <row r="49" spans="2:12" x14ac:dyDescent="0.2">
      <c r="B49" s="101" t="s">
        <v>353</v>
      </c>
      <c r="C49" s="93" t="s">
        <v>354</v>
      </c>
      <c r="D49" s="93" t="s">
        <v>248</v>
      </c>
      <c r="E49" s="93" t="s">
        <v>416</v>
      </c>
      <c r="F49" s="93" t="s">
        <v>431</v>
      </c>
      <c r="G49" s="93" t="s">
        <v>428</v>
      </c>
      <c r="H49" s="93" t="s">
        <v>440</v>
      </c>
      <c r="I49" s="119">
        <v>109787.68</v>
      </c>
      <c r="J49" s="119">
        <v>3171.34</v>
      </c>
      <c r="K49" s="121">
        <f t="shared" si="0"/>
        <v>106616.34</v>
      </c>
      <c r="L49" s="122">
        <f t="shared" si="1"/>
        <v>0.9711138809017551</v>
      </c>
    </row>
    <row r="50" spans="2:12" x14ac:dyDescent="0.2">
      <c r="B50" s="101" t="s">
        <v>355</v>
      </c>
      <c r="C50" s="93" t="s">
        <v>356</v>
      </c>
      <c r="D50" s="93" t="s">
        <v>247</v>
      </c>
      <c r="E50" s="93" t="s">
        <v>416</v>
      </c>
      <c r="F50" s="93" t="s">
        <v>429</v>
      </c>
      <c r="G50" s="93" t="s">
        <v>423</v>
      </c>
      <c r="H50" s="93" t="s">
        <v>439</v>
      </c>
      <c r="I50" s="119">
        <v>12070.12</v>
      </c>
      <c r="J50" s="119">
        <v>963.40000000000009</v>
      </c>
      <c r="K50" s="121">
        <f t="shared" si="0"/>
        <v>11106.720000000001</v>
      </c>
      <c r="L50" s="122">
        <f t="shared" si="1"/>
        <v>0.92018306363151325</v>
      </c>
    </row>
    <row r="51" spans="2:12" x14ac:dyDescent="0.2">
      <c r="B51" s="101" t="s">
        <v>357</v>
      </c>
      <c r="C51" s="93" t="s">
        <v>358</v>
      </c>
      <c r="D51" s="93" t="s">
        <v>253</v>
      </c>
      <c r="E51" s="93" t="s">
        <v>416</v>
      </c>
      <c r="F51" s="93" t="s">
        <v>422</v>
      </c>
      <c r="G51" s="93" t="s">
        <v>426</v>
      </c>
      <c r="H51" s="93" t="s">
        <v>439</v>
      </c>
      <c r="I51" s="119">
        <v>42584.22</v>
      </c>
      <c r="J51" s="119">
        <v>2416.62</v>
      </c>
      <c r="K51" s="121">
        <f t="shared" si="0"/>
        <v>40167.599999999999</v>
      </c>
      <c r="L51" s="122">
        <f t="shared" si="1"/>
        <v>0.94325080980701292</v>
      </c>
    </row>
    <row r="52" spans="2:12" x14ac:dyDescent="0.2">
      <c r="B52" s="101" t="s">
        <v>359</v>
      </c>
      <c r="C52" s="93" t="s">
        <v>360</v>
      </c>
      <c r="D52" s="93" t="s">
        <v>250</v>
      </c>
      <c r="E52" s="93" t="s">
        <v>416</v>
      </c>
      <c r="F52" s="93" t="s">
        <v>422</v>
      </c>
      <c r="G52" s="93" t="s">
        <v>428</v>
      </c>
      <c r="H52" s="93" t="s">
        <v>440</v>
      </c>
      <c r="I52" s="119">
        <v>49700.369999999995</v>
      </c>
      <c r="J52" s="119">
        <v>80.86</v>
      </c>
      <c r="K52" s="121">
        <f t="shared" si="0"/>
        <v>49619.509999999995</v>
      </c>
      <c r="L52" s="122">
        <f t="shared" si="1"/>
        <v>0.99837305034147628</v>
      </c>
    </row>
    <row r="53" spans="2:12" x14ac:dyDescent="0.2">
      <c r="B53" s="101" t="s">
        <v>361</v>
      </c>
      <c r="C53" s="93" t="s">
        <v>362</v>
      </c>
      <c r="D53" s="93" t="s">
        <v>249</v>
      </c>
      <c r="E53" s="93" t="s">
        <v>416</v>
      </c>
      <c r="F53" s="93" t="s">
        <v>436</v>
      </c>
      <c r="G53" s="93" t="s">
        <v>423</v>
      </c>
      <c r="H53" s="93" t="s">
        <v>439</v>
      </c>
      <c r="I53" s="119">
        <v>27663.77</v>
      </c>
      <c r="J53" s="119">
        <v>1582.9699999999998</v>
      </c>
      <c r="K53" s="121">
        <f t="shared" si="0"/>
        <v>26080.799999999999</v>
      </c>
      <c r="L53" s="122">
        <f t="shared" si="1"/>
        <v>0.94277822581665471</v>
      </c>
    </row>
    <row r="54" spans="2:12" x14ac:dyDescent="0.2">
      <c r="B54" s="101" t="s">
        <v>363</v>
      </c>
      <c r="C54" s="93" t="s">
        <v>364</v>
      </c>
      <c r="D54" s="93" t="s">
        <v>257</v>
      </c>
      <c r="E54" s="93" t="s">
        <v>416</v>
      </c>
      <c r="F54" s="93" t="s">
        <v>425</v>
      </c>
      <c r="G54" s="93" t="s">
        <v>426</v>
      </c>
      <c r="H54" s="93" t="s">
        <v>440</v>
      </c>
      <c r="I54" s="119">
        <v>61205.34</v>
      </c>
      <c r="J54" s="119">
        <v>1314.1799999999998</v>
      </c>
      <c r="K54" s="121">
        <f t="shared" si="0"/>
        <v>59891.159999999996</v>
      </c>
      <c r="L54" s="122">
        <f t="shared" si="1"/>
        <v>0.97852834409546618</v>
      </c>
    </row>
    <row r="55" spans="2:12" x14ac:dyDescent="0.2">
      <c r="B55" s="101" t="s">
        <v>365</v>
      </c>
      <c r="C55" s="93" t="s">
        <v>366</v>
      </c>
      <c r="D55" s="93" t="s">
        <v>257</v>
      </c>
      <c r="E55" s="93" t="s">
        <v>416</v>
      </c>
      <c r="F55" s="93" t="s">
        <v>438</v>
      </c>
      <c r="G55" s="93" t="s">
        <v>426</v>
      </c>
      <c r="H55" s="93" t="s">
        <v>439</v>
      </c>
      <c r="I55" s="119">
        <v>28099.23</v>
      </c>
      <c r="J55" s="119">
        <v>1998.17</v>
      </c>
      <c r="K55" s="121">
        <f t="shared" si="0"/>
        <v>26101.059999999998</v>
      </c>
      <c r="L55" s="122">
        <f t="shared" si="1"/>
        <v>0.9288887987322072</v>
      </c>
    </row>
    <row r="56" spans="2:12" x14ac:dyDescent="0.2">
      <c r="B56" s="101" t="s">
        <v>367</v>
      </c>
      <c r="C56" s="93" t="s">
        <v>368</v>
      </c>
      <c r="D56" s="93" t="s">
        <v>250</v>
      </c>
      <c r="E56" s="93" t="s">
        <v>416</v>
      </c>
      <c r="F56" s="93" t="s">
        <v>434</v>
      </c>
      <c r="G56" s="93" t="s">
        <v>428</v>
      </c>
      <c r="H56" s="93" t="s">
        <v>440</v>
      </c>
      <c r="I56" s="119">
        <v>26686.83</v>
      </c>
      <c r="J56" s="119">
        <v>1966.2000000000003</v>
      </c>
      <c r="K56" s="121">
        <f t="shared" si="0"/>
        <v>24720.63</v>
      </c>
      <c r="L56" s="122">
        <f t="shared" si="1"/>
        <v>0.9263232088636979</v>
      </c>
    </row>
    <row r="57" spans="2:12" x14ac:dyDescent="0.2">
      <c r="B57" s="101" t="s">
        <v>369</v>
      </c>
      <c r="C57" s="93" t="s">
        <v>370</v>
      </c>
      <c r="D57" s="93" t="s">
        <v>250</v>
      </c>
      <c r="E57" s="93" t="s">
        <v>416</v>
      </c>
      <c r="F57" s="93" t="s">
        <v>436</v>
      </c>
      <c r="G57" s="93" t="s">
        <v>428</v>
      </c>
      <c r="H57" s="93" t="s">
        <v>440</v>
      </c>
      <c r="I57" s="119">
        <v>40503.17</v>
      </c>
      <c r="J57" s="119">
        <v>1857.1799999999998</v>
      </c>
      <c r="K57" s="121">
        <f t="shared" si="0"/>
        <v>38645.99</v>
      </c>
      <c r="L57" s="122">
        <f t="shared" si="1"/>
        <v>0.95414729266869724</v>
      </c>
    </row>
    <row r="58" spans="2:12" x14ac:dyDescent="0.2">
      <c r="B58" s="101" t="s">
        <v>371</v>
      </c>
      <c r="C58" s="93" t="s">
        <v>372</v>
      </c>
      <c r="D58" s="93" t="s">
        <v>247</v>
      </c>
      <c r="E58" s="93" t="s">
        <v>416</v>
      </c>
      <c r="F58" s="93" t="s">
        <v>425</v>
      </c>
      <c r="G58" s="93" t="s">
        <v>423</v>
      </c>
      <c r="H58" s="93" t="s">
        <v>439</v>
      </c>
      <c r="I58" s="119">
        <v>32048.930000000004</v>
      </c>
      <c r="J58" s="119">
        <v>3396.46</v>
      </c>
      <c r="K58" s="121">
        <f t="shared" si="0"/>
        <v>28652.470000000005</v>
      </c>
      <c r="L58" s="122">
        <f t="shared" si="1"/>
        <v>0.89402267095968579</v>
      </c>
    </row>
    <row r="59" spans="2:12" x14ac:dyDescent="0.2">
      <c r="B59" s="101" t="s">
        <v>373</v>
      </c>
      <c r="C59" s="93" t="s">
        <v>374</v>
      </c>
      <c r="D59" s="93" t="s">
        <v>252</v>
      </c>
      <c r="E59" s="93" t="s">
        <v>416</v>
      </c>
      <c r="F59" s="93" t="s">
        <v>429</v>
      </c>
      <c r="G59" s="93" t="s">
        <v>428</v>
      </c>
      <c r="H59" s="93" t="s">
        <v>440</v>
      </c>
      <c r="I59" s="119">
        <v>67713.84</v>
      </c>
      <c r="J59" s="119">
        <v>3375.33</v>
      </c>
      <c r="K59" s="121">
        <f t="shared" si="0"/>
        <v>64338.509999999995</v>
      </c>
      <c r="L59" s="122">
        <f t="shared" si="1"/>
        <v>0.95015302632371756</v>
      </c>
    </row>
    <row r="60" spans="2:12" x14ac:dyDescent="0.2">
      <c r="B60" s="101" t="s">
        <v>375</v>
      </c>
      <c r="C60" s="93" t="s">
        <v>376</v>
      </c>
      <c r="D60" s="93" t="s">
        <v>247</v>
      </c>
      <c r="E60" s="93" t="s">
        <v>416</v>
      </c>
      <c r="F60" s="93" t="s">
        <v>422</v>
      </c>
      <c r="G60" s="93" t="s">
        <v>423</v>
      </c>
      <c r="H60" s="93" t="s">
        <v>439</v>
      </c>
      <c r="I60" s="119">
        <v>72817.98000000001</v>
      </c>
      <c r="J60" s="119">
        <v>1818.2600000000002</v>
      </c>
      <c r="K60" s="121">
        <f t="shared" si="0"/>
        <v>70999.720000000016</v>
      </c>
      <c r="L60" s="122">
        <f t="shared" si="1"/>
        <v>0.97503006812328497</v>
      </c>
    </row>
    <row r="61" spans="2:12" x14ac:dyDescent="0.2">
      <c r="B61" s="101" t="s">
        <v>377</v>
      </c>
      <c r="C61" s="93" t="s">
        <v>378</v>
      </c>
      <c r="D61" s="93" t="s">
        <v>248</v>
      </c>
      <c r="E61" s="93" t="s">
        <v>416</v>
      </c>
      <c r="F61" s="93" t="s">
        <v>434</v>
      </c>
      <c r="G61" s="93" t="s">
        <v>428</v>
      </c>
      <c r="H61" s="93" t="s">
        <v>440</v>
      </c>
      <c r="I61" s="119">
        <v>76136.19</v>
      </c>
      <c r="J61" s="119">
        <v>3062.58</v>
      </c>
      <c r="K61" s="121">
        <f t="shared" si="0"/>
        <v>73073.61</v>
      </c>
      <c r="L61" s="122">
        <f t="shared" si="1"/>
        <v>0.95977497691964886</v>
      </c>
    </row>
    <row r="62" spans="2:12" x14ac:dyDescent="0.2">
      <c r="B62" s="101" t="s">
        <v>379</v>
      </c>
      <c r="C62" s="93" t="s">
        <v>380</v>
      </c>
      <c r="D62" s="93" t="s">
        <v>250</v>
      </c>
      <c r="E62" s="93" t="s">
        <v>416</v>
      </c>
      <c r="F62" s="93" t="s">
        <v>422</v>
      </c>
      <c r="G62" s="93" t="s">
        <v>428</v>
      </c>
      <c r="H62" s="93" t="s">
        <v>439</v>
      </c>
      <c r="I62" s="119">
        <v>33506.129999999997</v>
      </c>
      <c r="J62" s="119">
        <v>7352.0000000000009</v>
      </c>
      <c r="K62" s="121">
        <f t="shared" si="0"/>
        <v>26154.129999999997</v>
      </c>
      <c r="L62" s="122">
        <f t="shared" si="1"/>
        <v>0.78057746448187237</v>
      </c>
    </row>
    <row r="63" spans="2:12" x14ac:dyDescent="0.2">
      <c r="B63" s="101" t="s">
        <v>381</v>
      </c>
      <c r="C63" s="93" t="s">
        <v>382</v>
      </c>
      <c r="D63" s="93" t="s">
        <v>253</v>
      </c>
      <c r="E63" s="93" t="s">
        <v>416</v>
      </c>
      <c r="F63" s="93" t="s">
        <v>425</v>
      </c>
      <c r="G63" s="93" t="s">
        <v>426</v>
      </c>
      <c r="H63" s="93" t="s">
        <v>440</v>
      </c>
      <c r="I63" s="119">
        <v>44675.099999999991</v>
      </c>
      <c r="J63" s="119">
        <v>1907.15</v>
      </c>
      <c r="K63" s="121">
        <f t="shared" si="0"/>
        <v>42767.94999999999</v>
      </c>
      <c r="L63" s="122">
        <f t="shared" si="1"/>
        <v>0.95731067194029784</v>
      </c>
    </row>
    <row r="64" spans="2:12" x14ac:dyDescent="0.2">
      <c r="B64" s="101" t="s">
        <v>383</v>
      </c>
      <c r="C64" s="93" t="s">
        <v>384</v>
      </c>
      <c r="D64" s="93" t="s">
        <v>251</v>
      </c>
      <c r="E64" s="93" t="s">
        <v>416</v>
      </c>
      <c r="F64" s="93" t="s">
        <v>438</v>
      </c>
      <c r="G64" s="93" t="s">
        <v>423</v>
      </c>
      <c r="H64" s="93" t="s">
        <v>439</v>
      </c>
      <c r="I64" s="119">
        <v>25597.46</v>
      </c>
      <c r="J64" s="119">
        <v>1657.98</v>
      </c>
      <c r="K64" s="121">
        <f t="shared" si="0"/>
        <v>23939.48</v>
      </c>
      <c r="L64" s="122">
        <f t="shared" si="1"/>
        <v>0.93522872972552751</v>
      </c>
    </row>
    <row r="65" spans="2:12" x14ac:dyDescent="0.2">
      <c r="B65" s="101" t="s">
        <v>385</v>
      </c>
      <c r="C65" s="93" t="s">
        <v>386</v>
      </c>
      <c r="D65" s="93" t="s">
        <v>256</v>
      </c>
      <c r="E65" s="93" t="s">
        <v>416</v>
      </c>
      <c r="F65" s="93" t="s">
        <v>431</v>
      </c>
      <c r="G65" s="93" t="s">
        <v>423</v>
      </c>
      <c r="H65" s="93" t="s">
        <v>440</v>
      </c>
      <c r="I65" s="119">
        <v>62178.28</v>
      </c>
      <c r="J65" s="119">
        <v>5330.5099999999993</v>
      </c>
      <c r="K65" s="121">
        <f t="shared" si="0"/>
        <v>56847.77</v>
      </c>
      <c r="L65" s="122">
        <f t="shared" si="1"/>
        <v>0.9142705459205368</v>
      </c>
    </row>
    <row r="66" spans="2:12" x14ac:dyDescent="0.2">
      <c r="B66" s="101" t="s">
        <v>387</v>
      </c>
      <c r="C66" s="93" t="s">
        <v>388</v>
      </c>
      <c r="D66" s="93" t="s">
        <v>255</v>
      </c>
      <c r="E66" s="93" t="s">
        <v>416</v>
      </c>
      <c r="F66" s="93" t="s">
        <v>436</v>
      </c>
      <c r="G66" s="93" t="s">
        <v>428</v>
      </c>
      <c r="H66" s="93" t="s">
        <v>439</v>
      </c>
      <c r="I66" s="119">
        <v>18676.21</v>
      </c>
      <c r="J66" s="119">
        <v>375.76</v>
      </c>
      <c r="K66" s="121">
        <f t="shared" si="0"/>
        <v>18300.45</v>
      </c>
      <c r="L66" s="122">
        <f t="shared" si="1"/>
        <v>0.97988028620367851</v>
      </c>
    </row>
    <row r="67" spans="2:12" x14ac:dyDescent="0.2">
      <c r="B67" s="101" t="s">
        <v>389</v>
      </c>
      <c r="C67" s="93" t="s">
        <v>390</v>
      </c>
      <c r="D67" s="93" t="s">
        <v>257</v>
      </c>
      <c r="E67" s="93" t="s">
        <v>416</v>
      </c>
      <c r="F67" s="93" t="s">
        <v>422</v>
      </c>
      <c r="G67" s="93" t="s">
        <v>426</v>
      </c>
      <c r="H67" s="93" t="s">
        <v>440</v>
      </c>
      <c r="I67" s="119">
        <v>97868.900000000009</v>
      </c>
      <c r="J67" s="119">
        <v>1143.6499999999999</v>
      </c>
      <c r="K67" s="121">
        <f t="shared" si="0"/>
        <v>96725.250000000015</v>
      </c>
      <c r="L67" s="122">
        <f t="shared" si="1"/>
        <v>0.98831446966298797</v>
      </c>
    </row>
    <row r="68" spans="2:12" x14ac:dyDescent="0.2">
      <c r="B68" s="101" t="s">
        <v>391</v>
      </c>
      <c r="C68" s="93" t="s">
        <v>392</v>
      </c>
      <c r="D68" s="93" t="s">
        <v>255</v>
      </c>
      <c r="E68" s="93" t="s">
        <v>416</v>
      </c>
      <c r="F68" s="93" t="s">
        <v>434</v>
      </c>
      <c r="G68" s="93" t="s">
        <v>428</v>
      </c>
      <c r="H68" s="93" t="s">
        <v>440</v>
      </c>
      <c r="I68" s="119">
        <v>120736.82999999997</v>
      </c>
      <c r="J68" s="119">
        <v>5530.21</v>
      </c>
      <c r="K68" s="121">
        <f t="shared" si="0"/>
        <v>115206.61999999997</v>
      </c>
      <c r="L68" s="122">
        <f t="shared" si="1"/>
        <v>0.95419616367267546</v>
      </c>
    </row>
    <row r="69" spans="2:12" x14ac:dyDescent="0.2">
      <c r="B69" s="101" t="s">
        <v>393</v>
      </c>
      <c r="C69" s="93" t="s">
        <v>394</v>
      </c>
      <c r="D69" s="93" t="s">
        <v>252</v>
      </c>
      <c r="E69" s="93" t="s">
        <v>416</v>
      </c>
      <c r="F69" s="93" t="s">
        <v>431</v>
      </c>
      <c r="G69" s="93" t="s">
        <v>428</v>
      </c>
      <c r="H69" s="93" t="s">
        <v>439</v>
      </c>
      <c r="I69" s="119">
        <v>34067.99</v>
      </c>
      <c r="J69" s="119">
        <v>2807.23</v>
      </c>
      <c r="K69" s="121">
        <f t="shared" si="0"/>
        <v>31260.76</v>
      </c>
      <c r="L69" s="122">
        <f t="shared" si="1"/>
        <v>0.91759918915087157</v>
      </c>
    </row>
    <row r="70" spans="2:12" x14ac:dyDescent="0.2">
      <c r="B70" s="101" t="s">
        <v>395</v>
      </c>
      <c r="C70" s="93" t="s">
        <v>396</v>
      </c>
      <c r="D70" s="93" t="s">
        <v>259</v>
      </c>
      <c r="E70" s="93" t="s">
        <v>416</v>
      </c>
      <c r="F70" s="93" t="s">
        <v>441</v>
      </c>
      <c r="G70" s="93" t="s">
        <v>423</v>
      </c>
      <c r="H70" s="93" t="s">
        <v>440</v>
      </c>
      <c r="I70" s="119">
        <v>32010.940000000002</v>
      </c>
      <c r="J70" s="119">
        <v>1903.49</v>
      </c>
      <c r="K70" s="121">
        <f t="shared" si="0"/>
        <v>30107.45</v>
      </c>
      <c r="L70" s="122">
        <f t="shared" si="1"/>
        <v>0.94053626666383428</v>
      </c>
    </row>
    <row r="71" spans="2:12" x14ac:dyDescent="0.2">
      <c r="B71" s="101" t="s">
        <v>397</v>
      </c>
      <c r="C71" s="93" t="s">
        <v>398</v>
      </c>
      <c r="D71" s="93" t="s">
        <v>247</v>
      </c>
      <c r="E71" s="93" t="s">
        <v>416</v>
      </c>
      <c r="F71" s="93" t="s">
        <v>422</v>
      </c>
      <c r="G71" s="93" t="s">
        <v>423</v>
      </c>
      <c r="H71" s="93" t="s">
        <v>439</v>
      </c>
      <c r="I71" s="119">
        <v>39078.579999999994</v>
      </c>
      <c r="J71" s="119">
        <v>2546.9299999999994</v>
      </c>
      <c r="K71" s="121">
        <f t="shared" si="0"/>
        <v>36531.649999999994</v>
      </c>
      <c r="L71" s="122">
        <f t="shared" si="1"/>
        <v>0.93482542098510235</v>
      </c>
    </row>
    <row r="72" spans="2:12" x14ac:dyDescent="0.2">
      <c r="B72" s="101" t="s">
        <v>399</v>
      </c>
      <c r="C72" s="93" t="s">
        <v>400</v>
      </c>
      <c r="D72" s="93" t="s">
        <v>250</v>
      </c>
      <c r="E72" s="93" t="s">
        <v>416</v>
      </c>
      <c r="F72" s="93" t="s">
        <v>432</v>
      </c>
      <c r="G72" s="93" t="s">
        <v>428</v>
      </c>
      <c r="H72" s="93" t="s">
        <v>440</v>
      </c>
      <c r="I72" s="119">
        <v>74861.919999999998</v>
      </c>
      <c r="J72" s="119">
        <v>4288.95</v>
      </c>
      <c r="K72" s="121">
        <f t="shared" ref="K72:K77" si="2">+I72-J72</f>
        <v>70572.97</v>
      </c>
      <c r="L72" s="122">
        <f t="shared" ref="L72:L78" si="3">IFERROR(K72/I72,0)</f>
        <v>0.94270852257062077</v>
      </c>
    </row>
    <row r="73" spans="2:12" x14ac:dyDescent="0.2">
      <c r="B73" s="101" t="s">
        <v>401</v>
      </c>
      <c r="C73" s="93" t="s">
        <v>402</v>
      </c>
      <c r="D73" s="93" t="s">
        <v>253</v>
      </c>
      <c r="E73" s="93" t="s">
        <v>416</v>
      </c>
      <c r="F73" s="93" t="s">
        <v>422</v>
      </c>
      <c r="G73" s="93" t="s">
        <v>426</v>
      </c>
      <c r="H73" s="93" t="s">
        <v>439</v>
      </c>
      <c r="I73" s="119">
        <v>75977.89</v>
      </c>
      <c r="J73" s="119">
        <v>3172.1400000000003</v>
      </c>
      <c r="K73" s="121">
        <f t="shared" si="2"/>
        <v>72805.75</v>
      </c>
      <c r="L73" s="122">
        <f t="shared" si="3"/>
        <v>0.95824916959394368</v>
      </c>
    </row>
    <row r="74" spans="2:12" x14ac:dyDescent="0.2">
      <c r="B74" s="101" t="s">
        <v>403</v>
      </c>
      <c r="C74" s="93" t="s">
        <v>404</v>
      </c>
      <c r="D74" s="93" t="s">
        <v>251</v>
      </c>
      <c r="E74" s="93" t="s">
        <v>416</v>
      </c>
      <c r="F74" s="93" t="s">
        <v>442</v>
      </c>
      <c r="G74" s="93" t="s">
        <v>423</v>
      </c>
      <c r="H74" s="93" t="s">
        <v>440</v>
      </c>
      <c r="I74" s="119">
        <v>66063.839999999997</v>
      </c>
      <c r="J74" s="119">
        <v>4015.12</v>
      </c>
      <c r="K74" s="121">
        <f t="shared" si="2"/>
        <v>62048.719999999994</v>
      </c>
      <c r="L74" s="122">
        <f t="shared" si="3"/>
        <v>0.93922363580439761</v>
      </c>
    </row>
    <row r="75" spans="2:12" x14ac:dyDescent="0.2">
      <c r="B75" s="101" t="s">
        <v>405</v>
      </c>
      <c r="C75" s="93" t="s">
        <v>406</v>
      </c>
      <c r="D75" s="93" t="s">
        <v>254</v>
      </c>
      <c r="E75" s="93" t="s">
        <v>416</v>
      </c>
      <c r="F75" s="93" t="s">
        <v>422</v>
      </c>
      <c r="G75" s="93" t="s">
        <v>428</v>
      </c>
      <c r="H75" s="93" t="s">
        <v>439</v>
      </c>
      <c r="I75" s="119">
        <v>64508.75</v>
      </c>
      <c r="J75" s="119">
        <v>2473.6800000000003</v>
      </c>
      <c r="K75" s="121">
        <f t="shared" si="2"/>
        <v>62035.07</v>
      </c>
      <c r="L75" s="122">
        <f t="shared" si="3"/>
        <v>0.96165357412754082</v>
      </c>
    </row>
    <row r="76" spans="2:12" x14ac:dyDescent="0.2">
      <c r="B76" s="101" t="s">
        <v>407</v>
      </c>
      <c r="C76" s="93" t="s">
        <v>408</v>
      </c>
      <c r="D76" s="93" t="s">
        <v>247</v>
      </c>
      <c r="E76" s="93" t="s">
        <v>416</v>
      </c>
      <c r="F76" s="93" t="s">
        <v>425</v>
      </c>
      <c r="G76" s="93" t="s">
        <v>423</v>
      </c>
      <c r="H76" s="93" t="s">
        <v>440</v>
      </c>
      <c r="I76" s="119">
        <v>13089.59</v>
      </c>
      <c r="J76" s="119">
        <v>5518.1</v>
      </c>
      <c r="K76" s="121">
        <f t="shared" si="2"/>
        <v>7571.49</v>
      </c>
      <c r="L76" s="122">
        <f t="shared" si="3"/>
        <v>0.57843599379354127</v>
      </c>
    </row>
    <row r="77" spans="2:12" x14ac:dyDescent="0.2">
      <c r="B77" s="101" t="s">
        <v>409</v>
      </c>
      <c r="C77" s="93" t="s">
        <v>410</v>
      </c>
      <c r="D77" s="93" t="s">
        <v>254</v>
      </c>
      <c r="E77" s="93" t="s">
        <v>416</v>
      </c>
      <c r="F77" s="93" t="s">
        <v>422</v>
      </c>
      <c r="G77" s="93" t="s">
        <v>428</v>
      </c>
      <c r="H77" s="93" t="s">
        <v>440</v>
      </c>
      <c r="I77" s="119">
        <v>56343.289999999994</v>
      </c>
      <c r="J77" s="119">
        <v>2935.5299999999993</v>
      </c>
      <c r="K77" s="121">
        <f t="shared" si="2"/>
        <v>53407.759999999995</v>
      </c>
      <c r="L77" s="122">
        <f t="shared" si="3"/>
        <v>0.94789920858366628</v>
      </c>
    </row>
    <row r="78" spans="2:12" x14ac:dyDescent="0.2">
      <c r="B78" s="105" t="s">
        <v>245</v>
      </c>
      <c r="C78" s="106"/>
      <c r="D78" s="106"/>
      <c r="E78" s="106"/>
      <c r="F78" s="106"/>
      <c r="G78" s="106"/>
      <c r="H78" s="106"/>
      <c r="I78" s="112">
        <f>SUM(I7:I77)</f>
        <v>9069151.9199999981</v>
      </c>
      <c r="J78" s="112">
        <f>SUM(J7:J77)</f>
        <v>5593820.8100000024</v>
      </c>
      <c r="K78" s="112">
        <f>SUM(K7:K77)</f>
        <v>3475331.1100000003</v>
      </c>
      <c r="L78" s="114">
        <f t="shared" si="3"/>
        <v>0.38320353883762054</v>
      </c>
    </row>
  </sheetData>
  <sortState xmlns:xlrd2="http://schemas.microsoft.com/office/spreadsheetml/2017/richdata2" ref="N12:O15">
    <sortCondition descending="1" ref="N12:N1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0C67-E51D-4044-B6C1-6AA153266ED2}">
  <dimension ref="B4:AP109"/>
  <sheetViews>
    <sheetView showGridLines="0" workbookViewId="0">
      <pane xSplit="4" ySplit="8" topLeftCell="E9" activePane="bottomRight" state="frozen"/>
      <selection pane="topRight" activeCell="E1" sqref="E1"/>
      <selection pane="bottomLeft" activeCell="A7" sqref="A7"/>
      <selection pane="bottomRight" activeCell="Q9" sqref="Q9"/>
    </sheetView>
  </sheetViews>
  <sheetFormatPr defaultRowHeight="12" outlineLevelRow="1" outlineLevelCol="1" x14ac:dyDescent="0.2"/>
  <cols>
    <col min="1" max="1" width="1.7109375" style="89" customWidth="1"/>
    <col min="2" max="2" width="15" style="89" customWidth="1"/>
    <col min="3" max="4" width="9.140625" style="89"/>
    <col min="5" max="16" width="9.140625" style="89" hidden="1" customWidth="1" outlineLevel="1"/>
    <col min="17" max="17" width="9.140625" style="89" collapsed="1"/>
    <col min="18" max="29" width="9.140625" style="89" hidden="1" customWidth="1" outlineLevel="1"/>
    <col min="30" max="30" width="9.140625" style="89" collapsed="1"/>
    <col min="31" max="40" width="9.140625" style="89" hidden="1" customWidth="1" outlineLevel="1"/>
    <col min="41" max="41" width="9.140625" style="89" collapsed="1"/>
    <col min="42" max="16384" width="9.140625" style="89"/>
  </cols>
  <sheetData>
    <row r="4" spans="2:42" ht="12.75" thickBot="1" x14ac:dyDescent="0.25"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</row>
    <row r="6" spans="2:42" x14ac:dyDescent="0.2">
      <c r="B6" s="139" t="s">
        <v>264</v>
      </c>
    </row>
    <row r="7" spans="2:42" x14ac:dyDescent="0.2">
      <c r="B7" s="126" t="s">
        <v>68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27" t="s">
        <v>63</v>
      </c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27" t="s">
        <v>63</v>
      </c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27" t="s">
        <v>64</v>
      </c>
      <c r="AP7" s="128" t="s">
        <v>65</v>
      </c>
    </row>
    <row r="8" spans="2:42" x14ac:dyDescent="0.2">
      <c r="B8" s="23" t="s">
        <v>246</v>
      </c>
      <c r="C8" s="129"/>
      <c r="D8" s="129"/>
      <c r="E8" s="130">
        <v>44957</v>
      </c>
      <c r="F8" s="130">
        <f>EOMONTH(E8,1)</f>
        <v>44985</v>
      </c>
      <c r="G8" s="130">
        <f t="shared" ref="G8:P8" si="0">EOMONTH(F8,1)</f>
        <v>45016</v>
      </c>
      <c r="H8" s="130">
        <f t="shared" si="0"/>
        <v>45046</v>
      </c>
      <c r="I8" s="130">
        <f t="shared" si="0"/>
        <v>45077</v>
      </c>
      <c r="J8" s="130">
        <f t="shared" si="0"/>
        <v>45107</v>
      </c>
      <c r="K8" s="130">
        <f t="shared" si="0"/>
        <v>45138</v>
      </c>
      <c r="L8" s="130">
        <f t="shared" si="0"/>
        <v>45169</v>
      </c>
      <c r="M8" s="130">
        <f t="shared" si="0"/>
        <v>45199</v>
      </c>
      <c r="N8" s="130">
        <f t="shared" si="0"/>
        <v>45230</v>
      </c>
      <c r="O8" s="130">
        <f t="shared" si="0"/>
        <v>45260</v>
      </c>
      <c r="P8" s="130">
        <f t="shared" si="0"/>
        <v>45291</v>
      </c>
      <c r="Q8" s="131">
        <f>YEAR(P8)</f>
        <v>2023</v>
      </c>
      <c r="R8" s="130">
        <f>EOMONTH(P8,1)</f>
        <v>45322</v>
      </c>
      <c r="S8" s="130">
        <f>EOMONTH(R8,1)</f>
        <v>45351</v>
      </c>
      <c r="T8" s="130">
        <f t="shared" ref="T8:AC8" si="1">EOMONTH(S8,1)</f>
        <v>45382</v>
      </c>
      <c r="U8" s="130">
        <f t="shared" si="1"/>
        <v>45412</v>
      </c>
      <c r="V8" s="130">
        <f t="shared" si="1"/>
        <v>45443</v>
      </c>
      <c r="W8" s="130">
        <f t="shared" si="1"/>
        <v>45473</v>
      </c>
      <c r="X8" s="130">
        <f t="shared" si="1"/>
        <v>45504</v>
      </c>
      <c r="Y8" s="130">
        <f t="shared" si="1"/>
        <v>45535</v>
      </c>
      <c r="Z8" s="130">
        <f t="shared" si="1"/>
        <v>45565</v>
      </c>
      <c r="AA8" s="130">
        <f t="shared" si="1"/>
        <v>45596</v>
      </c>
      <c r="AB8" s="130">
        <f t="shared" si="1"/>
        <v>45626</v>
      </c>
      <c r="AC8" s="130">
        <f t="shared" si="1"/>
        <v>45657</v>
      </c>
      <c r="AD8" s="131">
        <f>YEAR(AC8)</f>
        <v>2024</v>
      </c>
      <c r="AE8" s="130">
        <f>EOMONTH(AC8,1)</f>
        <v>45688</v>
      </c>
      <c r="AF8" s="130">
        <f>EOMONTH(AE8,1)</f>
        <v>45716</v>
      </c>
      <c r="AG8" s="130">
        <f t="shared" ref="AG8:AN8" si="2">EOMONTH(AF8,1)</f>
        <v>45747</v>
      </c>
      <c r="AH8" s="130">
        <f t="shared" si="2"/>
        <v>45777</v>
      </c>
      <c r="AI8" s="130">
        <f t="shared" si="2"/>
        <v>45808</v>
      </c>
      <c r="AJ8" s="130">
        <f t="shared" si="2"/>
        <v>45838</v>
      </c>
      <c r="AK8" s="130">
        <f t="shared" si="2"/>
        <v>45869</v>
      </c>
      <c r="AL8" s="130">
        <f t="shared" si="2"/>
        <v>45900</v>
      </c>
      <c r="AM8" s="130">
        <f t="shared" si="2"/>
        <v>45930</v>
      </c>
      <c r="AN8" s="130">
        <f t="shared" si="2"/>
        <v>45961</v>
      </c>
      <c r="AO8" s="132">
        <f>+AN8</f>
        <v>45961</v>
      </c>
      <c r="AP8" s="37">
        <f>+AO8</f>
        <v>45961</v>
      </c>
    </row>
    <row r="9" spans="2:42" x14ac:dyDescent="0.2">
      <c r="B9" s="134" t="s">
        <v>255</v>
      </c>
      <c r="C9" s="135"/>
      <c r="D9" s="135"/>
      <c r="E9" s="136">
        <v>1.9824200000000001</v>
      </c>
      <c r="F9" s="136">
        <v>33.640010000000004</v>
      </c>
      <c r="G9" s="136">
        <v>11.228680000000001</v>
      </c>
      <c r="H9" s="136">
        <v>9.1981300000000008</v>
      </c>
      <c r="I9" s="136">
        <v>0</v>
      </c>
      <c r="J9" s="136">
        <v>106.93646</v>
      </c>
      <c r="K9" s="136">
        <v>0</v>
      </c>
      <c r="L9" s="136">
        <v>0.25463000000000002</v>
      </c>
      <c r="M9" s="136">
        <v>0</v>
      </c>
      <c r="N9" s="136">
        <v>0.33541000000000004</v>
      </c>
      <c r="O9" s="136">
        <v>0</v>
      </c>
      <c r="P9" s="136">
        <v>0</v>
      </c>
      <c r="Q9" s="137">
        <f>SUM(E9:P9)</f>
        <v>163.57574</v>
      </c>
      <c r="R9" s="136">
        <v>24.770899999999997</v>
      </c>
      <c r="S9" s="136">
        <v>19.448779999999999</v>
      </c>
      <c r="T9" s="136">
        <v>0</v>
      </c>
      <c r="U9" s="136">
        <v>24.259220000000003</v>
      </c>
      <c r="V9" s="136">
        <v>12.103549999999998</v>
      </c>
      <c r="W9" s="136">
        <v>205.64961</v>
      </c>
      <c r="X9" s="136">
        <v>43.477559999999997</v>
      </c>
      <c r="Y9" s="136">
        <v>23.506649999999997</v>
      </c>
      <c r="Z9" s="136">
        <v>0</v>
      </c>
      <c r="AA9" s="136">
        <v>0</v>
      </c>
      <c r="AB9" s="136">
        <v>33.38064</v>
      </c>
      <c r="AC9" s="136">
        <v>2.3647399999999998</v>
      </c>
      <c r="AD9" s="137">
        <f>SUM(R9:AC9)</f>
        <v>388.96164999999996</v>
      </c>
      <c r="AE9" s="136">
        <v>0</v>
      </c>
      <c r="AF9" s="136">
        <v>133.60571999999999</v>
      </c>
      <c r="AG9" s="136">
        <v>0</v>
      </c>
      <c r="AH9" s="136">
        <v>237.17591000000002</v>
      </c>
      <c r="AI9" s="136">
        <v>7.5709199999999992</v>
      </c>
      <c r="AJ9" s="136">
        <v>6.6917099999999996</v>
      </c>
      <c r="AK9" s="136">
        <v>0</v>
      </c>
      <c r="AL9" s="136">
        <v>0</v>
      </c>
      <c r="AM9" s="136">
        <v>173.17419000000001</v>
      </c>
      <c r="AN9" s="136">
        <v>0</v>
      </c>
      <c r="AO9" s="137">
        <f>SUM(AE9:AN9)</f>
        <v>558.21845000000008</v>
      </c>
      <c r="AP9" s="138">
        <f>SUM(AO9,AB9:AC9)</f>
        <v>593.96383000000003</v>
      </c>
    </row>
    <row r="10" spans="2:42" x14ac:dyDescent="0.2">
      <c r="B10" s="87" t="s">
        <v>261</v>
      </c>
      <c r="C10" s="93"/>
      <c r="D10" s="93"/>
      <c r="E10" s="119">
        <v>0</v>
      </c>
      <c r="F10" s="119">
        <v>0</v>
      </c>
      <c r="G10" s="119">
        <v>0</v>
      </c>
      <c r="H10" s="119">
        <v>0</v>
      </c>
      <c r="I10" s="119">
        <v>0</v>
      </c>
      <c r="J10" s="119">
        <v>17.100930000000002</v>
      </c>
      <c r="K10" s="119">
        <v>21.275549999999999</v>
      </c>
      <c r="L10" s="119">
        <v>0</v>
      </c>
      <c r="M10" s="119">
        <v>46.095050000000001</v>
      </c>
      <c r="N10" s="119">
        <v>0</v>
      </c>
      <c r="O10" s="119">
        <v>59.316189999999999</v>
      </c>
      <c r="P10" s="119">
        <v>46.432270000000003</v>
      </c>
      <c r="Q10" s="98">
        <f t="shared" ref="Q10:Q23" si="3">SUM(E10:P10)</f>
        <v>190.21999</v>
      </c>
      <c r="R10" s="119">
        <v>0</v>
      </c>
      <c r="S10" s="119">
        <v>0</v>
      </c>
      <c r="T10" s="119">
        <v>0</v>
      </c>
      <c r="U10" s="119">
        <v>0</v>
      </c>
      <c r="V10" s="119">
        <v>66.874679999999998</v>
      </c>
      <c r="W10" s="119">
        <v>92.138459999999995</v>
      </c>
      <c r="X10" s="119">
        <v>0</v>
      </c>
      <c r="Y10" s="119">
        <v>0</v>
      </c>
      <c r="Z10" s="119">
        <v>0</v>
      </c>
      <c r="AA10" s="119">
        <v>55.572749999999999</v>
      </c>
      <c r="AB10" s="119">
        <v>0</v>
      </c>
      <c r="AC10" s="119">
        <v>0</v>
      </c>
      <c r="AD10" s="98">
        <f t="shared" ref="AD10:AD23" si="4">SUM(R10:AC10)</f>
        <v>214.58589000000001</v>
      </c>
      <c r="AE10" s="119">
        <v>24.144410000000004</v>
      </c>
      <c r="AF10" s="119">
        <v>0</v>
      </c>
      <c r="AG10" s="119">
        <v>158.61804999999998</v>
      </c>
      <c r="AH10" s="119">
        <v>53.3125</v>
      </c>
      <c r="AI10" s="119">
        <v>56.935679999999998</v>
      </c>
      <c r="AJ10" s="119">
        <v>32.34263</v>
      </c>
      <c r="AK10" s="119">
        <v>110.06385</v>
      </c>
      <c r="AL10" s="119">
        <v>80.101579999999998</v>
      </c>
      <c r="AM10" s="119">
        <v>30.925239999999999</v>
      </c>
      <c r="AN10" s="119">
        <v>13.356870000000001</v>
      </c>
      <c r="AO10" s="98">
        <f t="shared" ref="AO10:AO23" si="5">SUM(AE10:AN10)</f>
        <v>559.80080999999996</v>
      </c>
      <c r="AP10" s="96">
        <f t="shared" ref="AP10:AP23" si="6">SUM(AO10,AB10:AC10)</f>
        <v>559.80080999999996</v>
      </c>
    </row>
    <row r="11" spans="2:42" x14ac:dyDescent="0.2">
      <c r="B11" s="134" t="s">
        <v>254</v>
      </c>
      <c r="C11" s="135"/>
      <c r="D11" s="135"/>
      <c r="E11" s="136">
        <v>0</v>
      </c>
      <c r="F11" s="136">
        <v>19.93843</v>
      </c>
      <c r="G11" s="136">
        <v>118.65092</v>
      </c>
      <c r="H11" s="136">
        <v>2.7511999999999999</v>
      </c>
      <c r="I11" s="136">
        <v>0</v>
      </c>
      <c r="J11" s="136">
        <v>0</v>
      </c>
      <c r="K11" s="136">
        <v>0</v>
      </c>
      <c r="L11" s="136">
        <v>135.45639000000003</v>
      </c>
      <c r="M11" s="136">
        <v>48.675059999999995</v>
      </c>
      <c r="N11" s="136">
        <v>199.75816999999998</v>
      </c>
      <c r="O11" s="136">
        <v>0</v>
      </c>
      <c r="P11" s="136">
        <v>0.60933000000000004</v>
      </c>
      <c r="Q11" s="137">
        <f t="shared" si="3"/>
        <v>525.83950000000004</v>
      </c>
      <c r="R11" s="136">
        <v>11.327420000000002</v>
      </c>
      <c r="S11" s="136">
        <v>86.647639999999996</v>
      </c>
      <c r="T11" s="136">
        <v>122.06175</v>
      </c>
      <c r="U11" s="136">
        <v>0</v>
      </c>
      <c r="V11" s="136">
        <v>0</v>
      </c>
      <c r="W11" s="136">
        <v>83.937110000000004</v>
      </c>
      <c r="X11" s="136">
        <v>0</v>
      </c>
      <c r="Y11" s="136">
        <v>4.8209999999999997</v>
      </c>
      <c r="Z11" s="136">
        <v>0</v>
      </c>
      <c r="AA11" s="136">
        <v>0</v>
      </c>
      <c r="AB11" s="136">
        <v>42.409630000000007</v>
      </c>
      <c r="AC11" s="136">
        <v>38.720559999999999</v>
      </c>
      <c r="AD11" s="137">
        <f t="shared" si="4"/>
        <v>389.92511000000002</v>
      </c>
      <c r="AE11" s="136">
        <v>0</v>
      </c>
      <c r="AF11" s="136">
        <v>5.7554499999999997</v>
      </c>
      <c r="AG11" s="136">
        <v>90.21293</v>
      </c>
      <c r="AH11" s="136">
        <v>13.82202</v>
      </c>
      <c r="AI11" s="136">
        <v>0</v>
      </c>
      <c r="AJ11" s="136">
        <v>100.57073000000001</v>
      </c>
      <c r="AK11" s="136">
        <v>140.32243000000003</v>
      </c>
      <c r="AL11" s="136">
        <v>10.048530000000001</v>
      </c>
      <c r="AM11" s="136">
        <v>34.310370000000006</v>
      </c>
      <c r="AN11" s="136">
        <v>0</v>
      </c>
      <c r="AO11" s="137">
        <f t="shared" si="5"/>
        <v>395.04246000000012</v>
      </c>
      <c r="AP11" s="138">
        <f t="shared" si="6"/>
        <v>476.17265000000009</v>
      </c>
    </row>
    <row r="12" spans="2:42" x14ac:dyDescent="0.2">
      <c r="B12" s="87" t="s">
        <v>248</v>
      </c>
      <c r="C12" s="93"/>
      <c r="D12" s="93"/>
      <c r="E12" s="119">
        <v>55.336760000000005</v>
      </c>
      <c r="F12" s="119">
        <v>0</v>
      </c>
      <c r="G12" s="119">
        <v>0</v>
      </c>
      <c r="H12" s="119">
        <v>0.73896000000000006</v>
      </c>
      <c r="I12" s="119">
        <v>0</v>
      </c>
      <c r="J12" s="119">
        <v>8.08127</v>
      </c>
      <c r="K12" s="119">
        <v>0</v>
      </c>
      <c r="L12" s="119">
        <v>0</v>
      </c>
      <c r="M12" s="119">
        <v>20.779810000000001</v>
      </c>
      <c r="N12" s="119">
        <v>6.3011800000000004</v>
      </c>
      <c r="O12" s="119">
        <v>0</v>
      </c>
      <c r="P12" s="119">
        <v>27.419969999999999</v>
      </c>
      <c r="Q12" s="98">
        <f t="shared" si="3"/>
        <v>118.65795</v>
      </c>
      <c r="R12" s="119">
        <v>6.6238400000000013</v>
      </c>
      <c r="S12" s="119">
        <v>0</v>
      </c>
      <c r="T12" s="119">
        <v>15.196680000000001</v>
      </c>
      <c r="U12" s="119">
        <v>14.681299999999997</v>
      </c>
      <c r="V12" s="119">
        <v>4.4740500000000001</v>
      </c>
      <c r="W12" s="119">
        <v>27.564550000000001</v>
      </c>
      <c r="X12" s="119">
        <v>17.410569999999996</v>
      </c>
      <c r="Y12" s="119">
        <v>58.060230000000004</v>
      </c>
      <c r="Z12" s="119">
        <v>1.0546600000000002</v>
      </c>
      <c r="AA12" s="119">
        <v>117.77135000000001</v>
      </c>
      <c r="AB12" s="119">
        <v>106.85863000000001</v>
      </c>
      <c r="AC12" s="119">
        <v>17.486639999999998</v>
      </c>
      <c r="AD12" s="98">
        <f t="shared" si="4"/>
        <v>387.1825</v>
      </c>
      <c r="AE12" s="119">
        <v>7.4410400000000001</v>
      </c>
      <c r="AF12" s="119">
        <v>0</v>
      </c>
      <c r="AG12" s="119">
        <v>21.0854</v>
      </c>
      <c r="AH12" s="119">
        <v>3.4424299999999999</v>
      </c>
      <c r="AI12" s="119">
        <v>3.6057700000000001</v>
      </c>
      <c r="AJ12" s="119">
        <v>118.15541999999999</v>
      </c>
      <c r="AK12" s="119">
        <v>0</v>
      </c>
      <c r="AL12" s="119">
        <v>18.68177</v>
      </c>
      <c r="AM12" s="119">
        <v>154.74827999999999</v>
      </c>
      <c r="AN12" s="119">
        <v>10.96336</v>
      </c>
      <c r="AO12" s="98">
        <f t="shared" si="5"/>
        <v>338.12347</v>
      </c>
      <c r="AP12" s="96">
        <f t="shared" si="6"/>
        <v>462.46874000000003</v>
      </c>
    </row>
    <row r="13" spans="2:42" x14ac:dyDescent="0.2">
      <c r="B13" s="134" t="s">
        <v>249</v>
      </c>
      <c r="C13" s="135"/>
      <c r="D13" s="135"/>
      <c r="E13" s="136">
        <v>0</v>
      </c>
      <c r="F13" s="136">
        <v>0</v>
      </c>
      <c r="G13" s="136">
        <v>0</v>
      </c>
      <c r="H13" s="136">
        <v>0</v>
      </c>
      <c r="I13" s="136">
        <v>124.70043000000001</v>
      </c>
      <c r="J13" s="136">
        <v>0</v>
      </c>
      <c r="K13" s="136">
        <v>0</v>
      </c>
      <c r="L13" s="136">
        <v>0</v>
      </c>
      <c r="M13" s="136">
        <v>0</v>
      </c>
      <c r="N13" s="136">
        <v>0</v>
      </c>
      <c r="O13" s="136">
        <v>0</v>
      </c>
      <c r="P13" s="136">
        <v>10.48277</v>
      </c>
      <c r="Q13" s="137">
        <f t="shared" si="3"/>
        <v>135.1832</v>
      </c>
      <c r="R13" s="136">
        <v>0</v>
      </c>
      <c r="S13" s="136">
        <v>0</v>
      </c>
      <c r="T13" s="136">
        <v>0</v>
      </c>
      <c r="U13" s="136">
        <v>0</v>
      </c>
      <c r="V13" s="136">
        <v>0</v>
      </c>
      <c r="W13" s="136">
        <v>0</v>
      </c>
      <c r="X13" s="136">
        <v>0</v>
      </c>
      <c r="Y13" s="136">
        <v>30.214479999999995</v>
      </c>
      <c r="Z13" s="136">
        <v>187.42508000000001</v>
      </c>
      <c r="AA13" s="136">
        <v>0</v>
      </c>
      <c r="AB13" s="136">
        <v>0</v>
      </c>
      <c r="AC13" s="136">
        <v>122.23012000000001</v>
      </c>
      <c r="AD13" s="137">
        <f t="shared" si="4"/>
        <v>339.86968000000002</v>
      </c>
      <c r="AE13" s="136">
        <v>0</v>
      </c>
      <c r="AF13" s="136">
        <v>94.878579999999999</v>
      </c>
      <c r="AG13" s="136">
        <v>0</v>
      </c>
      <c r="AH13" s="136">
        <v>6.8954199999999997</v>
      </c>
      <c r="AI13" s="136">
        <v>0</v>
      </c>
      <c r="AJ13" s="136">
        <v>0</v>
      </c>
      <c r="AK13" s="136">
        <v>86.47650999999999</v>
      </c>
      <c r="AL13" s="136">
        <v>0</v>
      </c>
      <c r="AM13" s="136">
        <v>0</v>
      </c>
      <c r="AN13" s="136">
        <v>113.67766999999999</v>
      </c>
      <c r="AO13" s="137">
        <f t="shared" si="5"/>
        <v>301.92818</v>
      </c>
      <c r="AP13" s="138">
        <f t="shared" si="6"/>
        <v>424.1583</v>
      </c>
    </row>
    <row r="14" spans="2:42" x14ac:dyDescent="0.2">
      <c r="B14" s="87" t="s">
        <v>250</v>
      </c>
      <c r="C14" s="93"/>
      <c r="D14" s="93"/>
      <c r="E14" s="119">
        <v>9.1607500000000002</v>
      </c>
      <c r="F14" s="119">
        <v>20.659689999999998</v>
      </c>
      <c r="G14" s="119">
        <v>6.8005499999999994</v>
      </c>
      <c r="H14" s="119">
        <v>13.73227</v>
      </c>
      <c r="I14" s="119">
        <v>11.046809999999999</v>
      </c>
      <c r="J14" s="119">
        <v>86.640059999999977</v>
      </c>
      <c r="K14" s="119">
        <v>99.958219999999997</v>
      </c>
      <c r="L14" s="119">
        <v>7.3695400000000006</v>
      </c>
      <c r="M14" s="119">
        <v>9.2986699999999995</v>
      </c>
      <c r="N14" s="119">
        <v>0.55535999999999996</v>
      </c>
      <c r="O14" s="119">
        <v>0</v>
      </c>
      <c r="P14" s="119">
        <v>89.594580000000008</v>
      </c>
      <c r="Q14" s="98">
        <f t="shared" si="3"/>
        <v>354.81649999999996</v>
      </c>
      <c r="R14" s="119">
        <v>24.678090000000001</v>
      </c>
      <c r="S14" s="119">
        <v>0</v>
      </c>
      <c r="T14" s="119">
        <v>13.9018</v>
      </c>
      <c r="U14" s="119">
        <v>0.67915000000000003</v>
      </c>
      <c r="V14" s="119">
        <v>237.23391999999998</v>
      </c>
      <c r="W14" s="119">
        <v>0</v>
      </c>
      <c r="X14" s="119">
        <v>42.182119999999998</v>
      </c>
      <c r="Y14" s="119">
        <v>8.0853200000000012</v>
      </c>
      <c r="Z14" s="119">
        <v>0</v>
      </c>
      <c r="AA14" s="119">
        <v>11.085739999999999</v>
      </c>
      <c r="AB14" s="119">
        <v>0.24587000000000001</v>
      </c>
      <c r="AC14" s="119">
        <v>4.8090499999999992</v>
      </c>
      <c r="AD14" s="98">
        <f t="shared" si="4"/>
        <v>342.90106000000003</v>
      </c>
      <c r="AE14" s="119">
        <v>4.2508500000000007</v>
      </c>
      <c r="AF14" s="119">
        <v>0</v>
      </c>
      <c r="AG14" s="119">
        <v>6.4862099999999998</v>
      </c>
      <c r="AH14" s="119">
        <v>0</v>
      </c>
      <c r="AI14" s="119">
        <v>0.62024999999999997</v>
      </c>
      <c r="AJ14" s="119">
        <v>97.647629999999992</v>
      </c>
      <c r="AK14" s="119">
        <v>3.3893199999999997</v>
      </c>
      <c r="AL14" s="119">
        <v>44.709969999999998</v>
      </c>
      <c r="AM14" s="119">
        <v>21.544179999999997</v>
      </c>
      <c r="AN14" s="119">
        <v>130.7465</v>
      </c>
      <c r="AO14" s="98">
        <f t="shared" si="5"/>
        <v>309.39490999999998</v>
      </c>
      <c r="AP14" s="96">
        <f t="shared" si="6"/>
        <v>314.44983000000002</v>
      </c>
    </row>
    <row r="15" spans="2:42" x14ac:dyDescent="0.2">
      <c r="B15" s="134" t="s">
        <v>259</v>
      </c>
      <c r="C15" s="135"/>
      <c r="D15" s="135"/>
      <c r="E15" s="136">
        <v>94.662610000000001</v>
      </c>
      <c r="F15" s="136">
        <v>43.87097</v>
      </c>
      <c r="G15" s="136">
        <v>70.870190000000008</v>
      </c>
      <c r="H15" s="136">
        <v>60.768349999999998</v>
      </c>
      <c r="I15" s="136">
        <v>0</v>
      </c>
      <c r="J15" s="136">
        <v>0</v>
      </c>
      <c r="K15" s="136">
        <v>0</v>
      </c>
      <c r="L15" s="136">
        <v>0</v>
      </c>
      <c r="M15" s="136">
        <v>71.448449999999994</v>
      </c>
      <c r="N15" s="136">
        <v>0</v>
      </c>
      <c r="O15" s="136">
        <v>92.353059999999999</v>
      </c>
      <c r="P15" s="136">
        <v>0</v>
      </c>
      <c r="Q15" s="137">
        <f t="shared" si="3"/>
        <v>433.97362999999996</v>
      </c>
      <c r="R15" s="136">
        <v>0</v>
      </c>
      <c r="S15" s="136">
        <v>0</v>
      </c>
      <c r="T15" s="136">
        <v>0</v>
      </c>
      <c r="U15" s="136">
        <v>0</v>
      </c>
      <c r="V15" s="136">
        <v>0</v>
      </c>
      <c r="W15" s="136">
        <v>0</v>
      </c>
      <c r="X15" s="136">
        <v>163.04463000000001</v>
      </c>
      <c r="Y15" s="136">
        <v>3.21075</v>
      </c>
      <c r="Z15" s="136">
        <v>0</v>
      </c>
      <c r="AA15" s="136">
        <v>17.753299999999999</v>
      </c>
      <c r="AB15" s="136">
        <v>0</v>
      </c>
      <c r="AC15" s="136">
        <v>2.6478899999999999</v>
      </c>
      <c r="AD15" s="137">
        <f t="shared" si="4"/>
        <v>186.65656999999999</v>
      </c>
      <c r="AE15" s="136">
        <v>144.40149</v>
      </c>
      <c r="AF15" s="136">
        <v>5.6384099999999995</v>
      </c>
      <c r="AG15" s="136">
        <v>0</v>
      </c>
      <c r="AH15" s="136">
        <v>0</v>
      </c>
      <c r="AI15" s="136">
        <v>116.15572999999999</v>
      </c>
      <c r="AJ15" s="136">
        <v>0</v>
      </c>
      <c r="AK15" s="136">
        <v>0</v>
      </c>
      <c r="AL15" s="136">
        <v>0.10690000000000001</v>
      </c>
      <c r="AM15" s="136">
        <v>0</v>
      </c>
      <c r="AN15" s="136">
        <v>0</v>
      </c>
      <c r="AO15" s="137">
        <f t="shared" si="5"/>
        <v>266.30252999999999</v>
      </c>
      <c r="AP15" s="138">
        <f t="shared" si="6"/>
        <v>268.95042000000001</v>
      </c>
    </row>
    <row r="16" spans="2:42" x14ac:dyDescent="0.2">
      <c r="B16" s="87" t="s">
        <v>252</v>
      </c>
      <c r="C16" s="93"/>
      <c r="D16" s="93"/>
      <c r="E16" s="119">
        <v>0</v>
      </c>
      <c r="F16" s="119">
        <v>0</v>
      </c>
      <c r="G16" s="119">
        <v>0</v>
      </c>
      <c r="H16" s="119">
        <v>0</v>
      </c>
      <c r="I16" s="119">
        <v>107.18257999999999</v>
      </c>
      <c r="J16" s="119">
        <v>3.7663600000000002</v>
      </c>
      <c r="K16" s="119">
        <v>42.226949999999995</v>
      </c>
      <c r="L16" s="119">
        <v>0</v>
      </c>
      <c r="M16" s="119">
        <v>109.14727000000001</v>
      </c>
      <c r="N16" s="119">
        <v>0</v>
      </c>
      <c r="O16" s="119">
        <v>7.9188600000000005</v>
      </c>
      <c r="P16" s="119">
        <v>74.853849999999994</v>
      </c>
      <c r="Q16" s="98">
        <f t="shared" si="3"/>
        <v>345.09586999999999</v>
      </c>
      <c r="R16" s="119">
        <v>74.87191</v>
      </c>
      <c r="S16" s="119">
        <v>40.217249999999993</v>
      </c>
      <c r="T16" s="119">
        <v>6.4707000000000008</v>
      </c>
      <c r="U16" s="119">
        <v>0</v>
      </c>
      <c r="V16" s="119">
        <v>8.7325599999999994</v>
      </c>
      <c r="W16" s="119">
        <v>0</v>
      </c>
      <c r="X16" s="119">
        <v>0</v>
      </c>
      <c r="Y16" s="119">
        <v>0</v>
      </c>
      <c r="Z16" s="119">
        <v>0</v>
      </c>
      <c r="AA16" s="119">
        <v>8.5881399999999992</v>
      </c>
      <c r="AB16" s="119">
        <v>61.110440000000011</v>
      </c>
      <c r="AC16" s="119">
        <v>55.049939999999999</v>
      </c>
      <c r="AD16" s="98">
        <f t="shared" si="4"/>
        <v>255.04094000000001</v>
      </c>
      <c r="AE16" s="119">
        <v>21.40738</v>
      </c>
      <c r="AF16" s="119">
        <v>0</v>
      </c>
      <c r="AG16" s="119">
        <v>0</v>
      </c>
      <c r="AH16" s="119">
        <v>5.8412799999999994</v>
      </c>
      <c r="AI16" s="119">
        <v>0</v>
      </c>
      <c r="AJ16" s="119">
        <v>86.432359999999989</v>
      </c>
      <c r="AK16" s="119">
        <v>1.85273</v>
      </c>
      <c r="AL16" s="119">
        <v>3.3570600000000002</v>
      </c>
      <c r="AM16" s="119">
        <v>0</v>
      </c>
      <c r="AN16" s="119">
        <v>0</v>
      </c>
      <c r="AO16" s="98">
        <f t="shared" si="5"/>
        <v>118.89080999999999</v>
      </c>
      <c r="AP16" s="96">
        <f t="shared" si="6"/>
        <v>235.05118999999999</v>
      </c>
    </row>
    <row r="17" spans="2:42" x14ac:dyDescent="0.2">
      <c r="B17" s="134" t="s">
        <v>257</v>
      </c>
      <c r="C17" s="135"/>
      <c r="D17" s="135"/>
      <c r="E17" s="136">
        <v>0</v>
      </c>
      <c r="F17" s="136">
        <v>16.17849</v>
      </c>
      <c r="G17" s="136">
        <v>10.25334</v>
      </c>
      <c r="H17" s="136">
        <v>10.334440000000001</v>
      </c>
      <c r="I17" s="136">
        <v>4.4564700000000004</v>
      </c>
      <c r="J17" s="136">
        <v>0</v>
      </c>
      <c r="K17" s="136">
        <v>15.097940000000001</v>
      </c>
      <c r="L17" s="136">
        <v>20.061199999999999</v>
      </c>
      <c r="M17" s="136">
        <v>0</v>
      </c>
      <c r="N17" s="136">
        <v>0</v>
      </c>
      <c r="O17" s="136">
        <v>8.0062700000000007</v>
      </c>
      <c r="P17" s="136">
        <v>28.457840000000001</v>
      </c>
      <c r="Q17" s="137">
        <f t="shared" si="3"/>
        <v>112.84599</v>
      </c>
      <c r="R17" s="136">
        <v>0</v>
      </c>
      <c r="S17" s="136">
        <v>0</v>
      </c>
      <c r="T17" s="136">
        <v>10.278090000000001</v>
      </c>
      <c r="U17" s="136">
        <v>9.1102699999999999</v>
      </c>
      <c r="V17" s="136">
        <v>1.7589300000000001</v>
      </c>
      <c r="W17" s="136">
        <v>0</v>
      </c>
      <c r="X17" s="136">
        <v>0</v>
      </c>
      <c r="Y17" s="136">
        <v>4.2711000000000006</v>
      </c>
      <c r="Z17" s="136">
        <v>109.90171000000001</v>
      </c>
      <c r="AA17" s="136">
        <v>0</v>
      </c>
      <c r="AB17" s="136">
        <v>24.997129999999999</v>
      </c>
      <c r="AC17" s="136">
        <v>5.6941600000000001</v>
      </c>
      <c r="AD17" s="137">
        <f t="shared" si="4"/>
        <v>166.01139000000001</v>
      </c>
      <c r="AE17" s="136">
        <v>6.6863299999999999</v>
      </c>
      <c r="AF17" s="136">
        <v>13.384270000000001</v>
      </c>
      <c r="AG17" s="136">
        <v>95.900509999999983</v>
      </c>
      <c r="AH17" s="136">
        <v>14.190239999999998</v>
      </c>
      <c r="AI17" s="136">
        <v>0</v>
      </c>
      <c r="AJ17" s="136">
        <v>8.2301800000000007</v>
      </c>
      <c r="AK17" s="136">
        <v>6.1352500000000001</v>
      </c>
      <c r="AL17" s="136">
        <v>30.049040000000002</v>
      </c>
      <c r="AM17" s="136">
        <v>0</v>
      </c>
      <c r="AN17" s="136">
        <v>0</v>
      </c>
      <c r="AO17" s="137">
        <f t="shared" si="5"/>
        <v>174.57581999999996</v>
      </c>
      <c r="AP17" s="138">
        <f t="shared" si="6"/>
        <v>205.26710999999997</v>
      </c>
    </row>
    <row r="18" spans="2:42" x14ac:dyDescent="0.2">
      <c r="B18" s="87" t="s">
        <v>258</v>
      </c>
      <c r="C18" s="93"/>
      <c r="D18" s="93"/>
      <c r="E18" s="119">
        <v>0</v>
      </c>
      <c r="F18" s="119">
        <v>0</v>
      </c>
      <c r="G18" s="119">
        <v>0</v>
      </c>
      <c r="H18" s="119">
        <v>55.929819999999999</v>
      </c>
      <c r="I18" s="119">
        <v>0</v>
      </c>
      <c r="J18" s="119">
        <v>0</v>
      </c>
      <c r="K18" s="119">
        <v>0</v>
      </c>
      <c r="L18" s="119">
        <v>0</v>
      </c>
      <c r="M18" s="119">
        <v>0</v>
      </c>
      <c r="N18" s="119">
        <v>0</v>
      </c>
      <c r="O18" s="119">
        <v>0</v>
      </c>
      <c r="P18" s="119">
        <v>0</v>
      </c>
      <c r="Q18" s="98">
        <f t="shared" si="3"/>
        <v>55.929819999999999</v>
      </c>
      <c r="R18" s="119">
        <v>23.775830000000003</v>
      </c>
      <c r="S18" s="119">
        <v>26.588470000000001</v>
      </c>
      <c r="T18" s="119">
        <v>0</v>
      </c>
      <c r="U18" s="119">
        <v>0</v>
      </c>
      <c r="V18" s="119">
        <v>0</v>
      </c>
      <c r="W18" s="119">
        <v>0</v>
      </c>
      <c r="X18" s="119">
        <v>0</v>
      </c>
      <c r="Y18" s="119">
        <v>0</v>
      </c>
      <c r="Z18" s="119">
        <v>0</v>
      </c>
      <c r="AA18" s="119">
        <v>0</v>
      </c>
      <c r="AB18" s="119">
        <v>0</v>
      </c>
      <c r="AC18" s="119">
        <v>0</v>
      </c>
      <c r="AD18" s="98">
        <f t="shared" si="4"/>
        <v>50.3643</v>
      </c>
      <c r="AE18" s="119">
        <v>0</v>
      </c>
      <c r="AF18" s="119">
        <v>0</v>
      </c>
      <c r="AG18" s="119">
        <v>0</v>
      </c>
      <c r="AH18" s="119">
        <v>0</v>
      </c>
      <c r="AI18" s="119">
        <v>0</v>
      </c>
      <c r="AJ18" s="119">
        <v>0</v>
      </c>
      <c r="AK18" s="119">
        <v>0</v>
      </c>
      <c r="AL18" s="119">
        <v>149.85593</v>
      </c>
      <c r="AM18" s="119">
        <v>0</v>
      </c>
      <c r="AN18" s="119">
        <v>0</v>
      </c>
      <c r="AO18" s="98">
        <f t="shared" si="5"/>
        <v>149.85593</v>
      </c>
      <c r="AP18" s="96">
        <f t="shared" si="6"/>
        <v>149.85593</v>
      </c>
    </row>
    <row r="19" spans="2:42" x14ac:dyDescent="0.2">
      <c r="B19" s="134" t="s">
        <v>256</v>
      </c>
      <c r="C19" s="135"/>
      <c r="D19" s="135"/>
      <c r="E19" s="136">
        <v>16.867319999999999</v>
      </c>
      <c r="F19" s="136">
        <v>0</v>
      </c>
      <c r="G19" s="136">
        <v>0</v>
      </c>
      <c r="H19" s="136">
        <v>0</v>
      </c>
      <c r="I19" s="136">
        <v>1.0714999999999999</v>
      </c>
      <c r="J19" s="136">
        <v>97.455160000000006</v>
      </c>
      <c r="K19" s="136">
        <v>0</v>
      </c>
      <c r="L19" s="136">
        <v>0</v>
      </c>
      <c r="M19" s="136">
        <v>0</v>
      </c>
      <c r="N19" s="136">
        <v>4.7229999999999994E-2</v>
      </c>
      <c r="O19" s="136">
        <v>0</v>
      </c>
      <c r="P19" s="136">
        <v>0</v>
      </c>
      <c r="Q19" s="137">
        <f t="shared" si="3"/>
        <v>115.44121</v>
      </c>
      <c r="R19" s="136">
        <v>0</v>
      </c>
      <c r="S19" s="136">
        <v>0</v>
      </c>
      <c r="T19" s="136">
        <v>0</v>
      </c>
      <c r="U19" s="136">
        <v>159.64265</v>
      </c>
      <c r="V19" s="136">
        <v>0</v>
      </c>
      <c r="W19" s="136">
        <v>0</v>
      </c>
      <c r="X19" s="136">
        <v>0</v>
      </c>
      <c r="Y19" s="136">
        <v>174.46611999999999</v>
      </c>
      <c r="Z19" s="136">
        <v>0</v>
      </c>
      <c r="AA19" s="136">
        <v>0</v>
      </c>
      <c r="AB19" s="136">
        <v>0</v>
      </c>
      <c r="AC19" s="136">
        <v>4.1180399999999997</v>
      </c>
      <c r="AD19" s="137">
        <f t="shared" si="4"/>
        <v>338.22681</v>
      </c>
      <c r="AE19" s="136">
        <v>0</v>
      </c>
      <c r="AF19" s="136">
        <v>0</v>
      </c>
      <c r="AG19" s="136">
        <v>0</v>
      </c>
      <c r="AH19" s="136">
        <v>0</v>
      </c>
      <c r="AI19" s="136">
        <v>129.29913999999999</v>
      </c>
      <c r="AJ19" s="136">
        <v>8.2311199999999989</v>
      </c>
      <c r="AK19" s="136">
        <v>0</v>
      </c>
      <c r="AL19" s="136">
        <v>4.1533100000000003</v>
      </c>
      <c r="AM19" s="136">
        <v>0</v>
      </c>
      <c r="AN19" s="136">
        <v>0</v>
      </c>
      <c r="AO19" s="137">
        <f t="shared" si="5"/>
        <v>141.68357</v>
      </c>
      <c r="AP19" s="138">
        <f t="shared" si="6"/>
        <v>145.80161000000001</v>
      </c>
    </row>
    <row r="20" spans="2:42" x14ac:dyDescent="0.2">
      <c r="B20" s="87" t="s">
        <v>253</v>
      </c>
      <c r="C20" s="93"/>
      <c r="D20" s="93"/>
      <c r="E20" s="119">
        <v>0</v>
      </c>
      <c r="F20" s="119">
        <v>2.0787100000000001</v>
      </c>
      <c r="G20" s="119">
        <v>1.7971900000000001</v>
      </c>
      <c r="H20" s="119">
        <v>0</v>
      </c>
      <c r="I20" s="119">
        <v>11.5908</v>
      </c>
      <c r="J20" s="119">
        <v>18.920459999999999</v>
      </c>
      <c r="K20" s="119">
        <v>2.0967999999999996</v>
      </c>
      <c r="L20" s="119">
        <v>0</v>
      </c>
      <c r="M20" s="119">
        <v>0</v>
      </c>
      <c r="N20" s="119">
        <v>0</v>
      </c>
      <c r="O20" s="119">
        <v>0.2056</v>
      </c>
      <c r="P20" s="119">
        <v>6.0596699999999997</v>
      </c>
      <c r="Q20" s="98">
        <f t="shared" si="3"/>
        <v>42.74922999999999</v>
      </c>
      <c r="R20" s="119">
        <v>10.67149</v>
      </c>
      <c r="S20" s="119">
        <v>0</v>
      </c>
      <c r="T20" s="119">
        <v>0</v>
      </c>
      <c r="U20" s="119">
        <v>111.32710999999999</v>
      </c>
      <c r="V20" s="119">
        <v>1.8495299999999999</v>
      </c>
      <c r="W20" s="119">
        <v>17.229939999999999</v>
      </c>
      <c r="X20" s="119">
        <v>4.6066000000000003</v>
      </c>
      <c r="Y20" s="119">
        <v>49.521699999999996</v>
      </c>
      <c r="Z20" s="119">
        <v>25.945589999999999</v>
      </c>
      <c r="AA20" s="119">
        <v>1.06308</v>
      </c>
      <c r="AB20" s="119">
        <v>0</v>
      </c>
      <c r="AC20" s="119">
        <v>0</v>
      </c>
      <c r="AD20" s="98">
        <f t="shared" si="4"/>
        <v>222.21504000000002</v>
      </c>
      <c r="AE20" s="119">
        <v>14.833810000000001</v>
      </c>
      <c r="AF20" s="119">
        <v>10.10707</v>
      </c>
      <c r="AG20" s="119">
        <v>0</v>
      </c>
      <c r="AH20" s="119">
        <v>0</v>
      </c>
      <c r="AI20" s="119">
        <v>22.121279999999999</v>
      </c>
      <c r="AJ20" s="119">
        <v>0</v>
      </c>
      <c r="AK20" s="119">
        <v>2.8305700000000003</v>
      </c>
      <c r="AL20" s="119">
        <v>3.3286899999999999</v>
      </c>
      <c r="AM20" s="119">
        <v>2.7206300000000003</v>
      </c>
      <c r="AN20" s="119">
        <v>51.223380000000006</v>
      </c>
      <c r="AO20" s="98">
        <f t="shared" si="5"/>
        <v>107.16543000000001</v>
      </c>
      <c r="AP20" s="96">
        <f t="shared" si="6"/>
        <v>107.16543000000001</v>
      </c>
    </row>
    <row r="21" spans="2:42" x14ac:dyDescent="0.2">
      <c r="B21" s="134" t="s">
        <v>251</v>
      </c>
      <c r="C21" s="135"/>
      <c r="D21" s="135"/>
      <c r="E21" s="136">
        <v>20.28979</v>
      </c>
      <c r="F21" s="136">
        <v>4.1851199999999995</v>
      </c>
      <c r="G21" s="136">
        <v>88.014660000000006</v>
      </c>
      <c r="H21" s="136">
        <v>100.14305</v>
      </c>
      <c r="I21" s="136">
        <v>11.728389999999999</v>
      </c>
      <c r="J21" s="136">
        <v>28.280660000000001</v>
      </c>
      <c r="K21" s="136">
        <v>14.340120000000001</v>
      </c>
      <c r="L21" s="136">
        <v>114.08081999999999</v>
      </c>
      <c r="M21" s="136">
        <v>20.301959999999998</v>
      </c>
      <c r="N21" s="136">
        <v>11.078599999999998</v>
      </c>
      <c r="O21" s="136">
        <v>51.582850000000008</v>
      </c>
      <c r="P21" s="136">
        <v>4.2137500000000001</v>
      </c>
      <c r="Q21" s="137">
        <f t="shared" si="3"/>
        <v>468.23977000000008</v>
      </c>
      <c r="R21" s="136">
        <v>0</v>
      </c>
      <c r="S21" s="136">
        <v>4.2401</v>
      </c>
      <c r="T21" s="136">
        <v>0</v>
      </c>
      <c r="U21" s="136">
        <v>0</v>
      </c>
      <c r="V21" s="136">
        <v>0</v>
      </c>
      <c r="W21" s="136">
        <v>0</v>
      </c>
      <c r="X21" s="136">
        <v>79.148630000000011</v>
      </c>
      <c r="Y21" s="136">
        <v>24.929870000000001</v>
      </c>
      <c r="Z21" s="136">
        <v>0</v>
      </c>
      <c r="AA21" s="136">
        <v>0</v>
      </c>
      <c r="AB21" s="136">
        <v>12.03046</v>
      </c>
      <c r="AC21" s="136">
        <v>2.2814000000000001</v>
      </c>
      <c r="AD21" s="137">
        <f t="shared" si="4"/>
        <v>122.63046000000001</v>
      </c>
      <c r="AE21" s="136">
        <v>30.87358</v>
      </c>
      <c r="AF21" s="136">
        <v>7.0823299999999998</v>
      </c>
      <c r="AG21" s="136">
        <v>0</v>
      </c>
      <c r="AH21" s="136">
        <v>1.1997800000000001</v>
      </c>
      <c r="AI21" s="136">
        <v>1.5932299999999997</v>
      </c>
      <c r="AJ21" s="136">
        <v>6.4303899999999992</v>
      </c>
      <c r="AK21" s="136">
        <v>0.98029999999999995</v>
      </c>
      <c r="AL21" s="136">
        <v>2.7419799999999999</v>
      </c>
      <c r="AM21" s="136">
        <v>12.57907</v>
      </c>
      <c r="AN21" s="136">
        <v>8.8954199999999997</v>
      </c>
      <c r="AO21" s="137">
        <f t="shared" si="5"/>
        <v>72.376080000000002</v>
      </c>
      <c r="AP21" s="138">
        <f t="shared" si="6"/>
        <v>86.687940000000012</v>
      </c>
    </row>
    <row r="22" spans="2:42" x14ac:dyDescent="0.2">
      <c r="B22" s="87" t="s">
        <v>260</v>
      </c>
      <c r="C22" s="93"/>
      <c r="D22" s="93"/>
      <c r="E22" s="119">
        <v>0</v>
      </c>
      <c r="F22" s="119">
        <v>63.98104</v>
      </c>
      <c r="G22" s="119">
        <v>0</v>
      </c>
      <c r="H22" s="119">
        <v>0</v>
      </c>
      <c r="I22" s="119">
        <v>0</v>
      </c>
      <c r="J22" s="119">
        <v>0</v>
      </c>
      <c r="K22" s="119">
        <v>0</v>
      </c>
      <c r="L22" s="119">
        <v>0</v>
      </c>
      <c r="M22" s="119">
        <v>0</v>
      </c>
      <c r="N22" s="119">
        <v>0</v>
      </c>
      <c r="O22" s="119">
        <v>0</v>
      </c>
      <c r="P22" s="119">
        <v>0</v>
      </c>
      <c r="Q22" s="98">
        <f t="shared" si="3"/>
        <v>63.98104</v>
      </c>
      <c r="R22" s="119">
        <v>0</v>
      </c>
      <c r="S22" s="119">
        <v>0</v>
      </c>
      <c r="T22" s="119">
        <v>89.671530000000004</v>
      </c>
      <c r="U22" s="119">
        <v>0</v>
      </c>
      <c r="V22" s="119">
        <v>0</v>
      </c>
      <c r="W22" s="119">
        <v>0</v>
      </c>
      <c r="X22" s="119">
        <v>0</v>
      </c>
      <c r="Y22" s="119">
        <v>0</v>
      </c>
      <c r="Z22" s="119">
        <v>58.359000000000002</v>
      </c>
      <c r="AA22" s="119">
        <v>93.461330000000004</v>
      </c>
      <c r="AB22" s="119">
        <v>0</v>
      </c>
      <c r="AC22" s="119">
        <v>75.406840000000003</v>
      </c>
      <c r="AD22" s="98">
        <f t="shared" si="4"/>
        <v>316.89870000000002</v>
      </c>
      <c r="AE22" s="119">
        <v>0</v>
      </c>
      <c r="AF22" s="119">
        <v>0</v>
      </c>
      <c r="AG22" s="119">
        <v>0</v>
      </c>
      <c r="AH22" s="119">
        <v>0</v>
      </c>
      <c r="AI22" s="119">
        <v>0</v>
      </c>
      <c r="AJ22" s="119">
        <v>0</v>
      </c>
      <c r="AK22" s="119">
        <v>8.8372900000000012</v>
      </c>
      <c r="AL22" s="119">
        <v>0</v>
      </c>
      <c r="AM22" s="119">
        <v>0</v>
      </c>
      <c r="AN22" s="119">
        <v>0</v>
      </c>
      <c r="AO22" s="98">
        <f t="shared" si="5"/>
        <v>8.8372900000000012</v>
      </c>
      <c r="AP22" s="96">
        <f t="shared" si="6"/>
        <v>84.244129999999998</v>
      </c>
    </row>
    <row r="23" spans="2:42" x14ac:dyDescent="0.2">
      <c r="B23" s="134" t="s">
        <v>247</v>
      </c>
      <c r="C23" s="135"/>
      <c r="D23" s="135"/>
      <c r="E23" s="136">
        <v>16.676350000000003</v>
      </c>
      <c r="F23" s="136">
        <v>22.747280000000003</v>
      </c>
      <c r="G23" s="136">
        <v>0</v>
      </c>
      <c r="H23" s="136">
        <v>5.047629999999999</v>
      </c>
      <c r="I23" s="136">
        <v>0</v>
      </c>
      <c r="J23" s="136">
        <v>1.07376</v>
      </c>
      <c r="K23" s="136">
        <v>107.50099999999999</v>
      </c>
      <c r="L23" s="136">
        <v>0</v>
      </c>
      <c r="M23" s="136">
        <v>28.533759999999997</v>
      </c>
      <c r="N23" s="136">
        <v>49.079079999999998</v>
      </c>
      <c r="O23" s="136">
        <v>5.9093299999999997</v>
      </c>
      <c r="P23" s="136">
        <v>2.4445999999999999</v>
      </c>
      <c r="Q23" s="137">
        <f t="shared" si="3"/>
        <v>239.01279000000002</v>
      </c>
      <c r="R23" s="136">
        <v>74.311170000000004</v>
      </c>
      <c r="S23" s="136">
        <v>81.068510000000003</v>
      </c>
      <c r="T23" s="136">
        <v>95.294640000000001</v>
      </c>
      <c r="U23" s="136">
        <v>0</v>
      </c>
      <c r="V23" s="136">
        <v>7.0153299999999996</v>
      </c>
      <c r="W23" s="136">
        <v>11.128500000000001</v>
      </c>
      <c r="X23" s="136">
        <v>21.235709999999997</v>
      </c>
      <c r="Y23" s="136">
        <v>0</v>
      </c>
      <c r="Z23" s="136">
        <v>15.416360000000001</v>
      </c>
      <c r="AA23" s="136">
        <v>0</v>
      </c>
      <c r="AB23" s="136">
        <v>11.663969999999999</v>
      </c>
      <c r="AC23" s="136">
        <v>6.7098799999999992</v>
      </c>
      <c r="AD23" s="137">
        <f t="shared" si="4"/>
        <v>323.84406999999999</v>
      </c>
      <c r="AE23" s="136">
        <v>11.299470000000001</v>
      </c>
      <c r="AF23" s="136">
        <v>2.6726700000000001</v>
      </c>
      <c r="AG23" s="136">
        <v>0</v>
      </c>
      <c r="AH23" s="136">
        <v>4.9634300000000007</v>
      </c>
      <c r="AI23" s="136">
        <v>0</v>
      </c>
      <c r="AJ23" s="136">
        <v>0</v>
      </c>
      <c r="AK23" s="136">
        <v>15.09403</v>
      </c>
      <c r="AL23" s="136">
        <v>0</v>
      </c>
      <c r="AM23" s="136">
        <v>0</v>
      </c>
      <c r="AN23" s="136">
        <v>0</v>
      </c>
      <c r="AO23" s="137">
        <f t="shared" si="5"/>
        <v>34.029600000000002</v>
      </c>
      <c r="AP23" s="138">
        <f t="shared" si="6"/>
        <v>52.403449999999999</v>
      </c>
    </row>
    <row r="24" spans="2:42" x14ac:dyDescent="0.2">
      <c r="B24" s="105" t="s">
        <v>245</v>
      </c>
      <c r="C24" s="106"/>
      <c r="D24" s="106"/>
      <c r="E24" s="112">
        <f>SUM(E9:E23)</f>
        <v>214.97600000000003</v>
      </c>
      <c r="F24" s="112">
        <f t="shared" ref="F24:AP24" si="7">SUM(F9:F23)</f>
        <v>227.27974</v>
      </c>
      <c r="G24" s="112">
        <f t="shared" si="7"/>
        <v>307.61553000000004</v>
      </c>
      <c r="H24" s="112">
        <f t="shared" si="7"/>
        <v>258.64385000000004</v>
      </c>
      <c r="I24" s="112">
        <f t="shared" si="7"/>
        <v>271.77697999999998</v>
      </c>
      <c r="J24" s="112">
        <f t="shared" si="7"/>
        <v>368.25511999999998</v>
      </c>
      <c r="K24" s="112">
        <f t="shared" si="7"/>
        <v>302.49657999999999</v>
      </c>
      <c r="L24" s="112">
        <f t="shared" si="7"/>
        <v>277.22257999999999</v>
      </c>
      <c r="M24" s="112">
        <f t="shared" si="7"/>
        <v>354.28002999999995</v>
      </c>
      <c r="N24" s="112">
        <f t="shared" si="7"/>
        <v>267.15502999999995</v>
      </c>
      <c r="O24" s="112">
        <f t="shared" si="7"/>
        <v>225.29216000000002</v>
      </c>
      <c r="P24" s="112">
        <f t="shared" si="7"/>
        <v>290.56862999999998</v>
      </c>
      <c r="Q24" s="133">
        <f t="shared" si="7"/>
        <v>3365.56223</v>
      </c>
      <c r="R24" s="112">
        <f t="shared" si="7"/>
        <v>251.03065000000001</v>
      </c>
      <c r="S24" s="112">
        <f t="shared" si="7"/>
        <v>258.21075000000002</v>
      </c>
      <c r="T24" s="112">
        <f t="shared" si="7"/>
        <v>352.87519000000003</v>
      </c>
      <c r="U24" s="112">
        <f t="shared" si="7"/>
        <v>319.69970000000001</v>
      </c>
      <c r="V24" s="112">
        <f t="shared" si="7"/>
        <v>340.04255000000001</v>
      </c>
      <c r="W24" s="112">
        <f t="shared" si="7"/>
        <v>437.64816999999999</v>
      </c>
      <c r="X24" s="112">
        <f t="shared" si="7"/>
        <v>371.10581999999999</v>
      </c>
      <c r="Y24" s="112">
        <f t="shared" si="7"/>
        <v>381.08721999999995</v>
      </c>
      <c r="Z24" s="112">
        <f t="shared" si="7"/>
        <v>398.10239999999999</v>
      </c>
      <c r="AA24" s="112">
        <f t="shared" si="7"/>
        <v>305.29569000000004</v>
      </c>
      <c r="AB24" s="112">
        <f t="shared" si="7"/>
        <v>292.69677000000001</v>
      </c>
      <c r="AC24" s="112">
        <f t="shared" si="7"/>
        <v>337.51925999999997</v>
      </c>
      <c r="AD24" s="133">
        <f t="shared" si="7"/>
        <v>4045.3141700000006</v>
      </c>
      <c r="AE24" s="112">
        <f t="shared" si="7"/>
        <v>265.33836000000002</v>
      </c>
      <c r="AF24" s="112">
        <f t="shared" si="7"/>
        <v>273.12450000000001</v>
      </c>
      <c r="AG24" s="112">
        <f t="shared" si="7"/>
        <v>372.30310000000003</v>
      </c>
      <c r="AH24" s="112">
        <f t="shared" si="7"/>
        <v>340.84301000000005</v>
      </c>
      <c r="AI24" s="112">
        <f t="shared" si="7"/>
        <v>337.90200000000004</v>
      </c>
      <c r="AJ24" s="112">
        <f t="shared" si="7"/>
        <v>464.73216999999994</v>
      </c>
      <c r="AK24" s="112">
        <f t="shared" si="7"/>
        <v>375.98228</v>
      </c>
      <c r="AL24" s="112">
        <f t="shared" si="7"/>
        <v>347.13475999999997</v>
      </c>
      <c r="AM24" s="112">
        <f t="shared" si="7"/>
        <v>430.00196000000005</v>
      </c>
      <c r="AN24" s="112">
        <f t="shared" si="7"/>
        <v>328.86320000000001</v>
      </c>
      <c r="AO24" s="133">
        <f t="shared" si="7"/>
        <v>3536.22534</v>
      </c>
      <c r="AP24" s="125">
        <f t="shared" si="7"/>
        <v>4166.4413699999996</v>
      </c>
    </row>
    <row r="25" spans="2:42" s="39" customFormat="1" ht="11.25" outlineLevel="1" x14ac:dyDescent="0.2">
      <c r="B25" s="39" t="s">
        <v>212</v>
      </c>
      <c r="E25" s="110">
        <f>SUM('1. Income Statement'!E9,'1. Income Statement'!E11,'1. Income Statement'!E13,'1. Income Statement'!E15)-E24</f>
        <v>1.9999999977926564E-5</v>
      </c>
      <c r="F25" s="110">
        <f>SUM('1. Income Statement'!F9,'1. Income Statement'!F11,'1. Income Statement'!F13,'1. Income Statement'!F15)-F24</f>
        <v>0</v>
      </c>
      <c r="G25" s="110">
        <f>SUM('1. Income Statement'!G9,'1. Income Statement'!G11,'1. Income Statement'!G13,'1. Income Statement'!G15)-G24</f>
        <v>0</v>
      </c>
      <c r="H25" s="110">
        <f>SUM('1. Income Statement'!H9,'1. Income Statement'!H11,'1. Income Statement'!H13,'1. Income Statement'!H15)-H24</f>
        <v>-2.0000000063191692E-5</v>
      </c>
      <c r="I25" s="110">
        <f>SUM('1. Income Statement'!I9,'1. Income Statement'!I11,'1. Income Statement'!I13,'1. Income Statement'!I15)-I24</f>
        <v>2.99999999811007E-5</v>
      </c>
      <c r="J25" s="110">
        <f>SUM('1. Income Statement'!J9,'1. Income Statement'!J11,'1. Income Statement'!J13,'1. Income Statement'!J15)-J24</f>
        <v>-2.9999999924257281E-5</v>
      </c>
      <c r="K25" s="110">
        <f>SUM('1. Income Statement'!K9,'1. Income Statement'!K11,'1. Income Statement'!K13,'1. Income Statement'!K15)-K24</f>
        <v>1.0000000031595846E-5</v>
      </c>
      <c r="L25" s="110">
        <f>SUM('1. Income Statement'!L9,'1. Income Statement'!L11,'1. Income Statement'!L13,'1. Income Statement'!L15)-L24</f>
        <v>9.9999999747524271E-6</v>
      </c>
      <c r="M25" s="110">
        <f>SUM('1. Income Statement'!M9,'1. Income Statement'!M11,'1. Income Statement'!M13,'1. Income Statement'!M15)-M24</f>
        <v>4.0000000012696546E-5</v>
      </c>
      <c r="N25" s="110">
        <f>SUM('1. Income Statement'!N9,'1. Income Statement'!N11,'1. Income Statement'!N13,'1. Income Statement'!N15)-N24</f>
        <v>3.0000000037944119E-5</v>
      </c>
      <c r="O25" s="110">
        <f>SUM('1. Income Statement'!O9,'1. Income Statement'!O11,'1. Income Statement'!O13,'1. Income Statement'!O15)-O24</f>
        <v>2.0000000006348273E-5</v>
      </c>
      <c r="P25" s="110">
        <f>SUM('1. Income Statement'!P9,'1. Income Statement'!P11,'1. Income Statement'!P13,'1. Income Statement'!P15)-P24</f>
        <v>-2.0000000006348273E-5</v>
      </c>
      <c r="Q25" s="110">
        <f>SUM('1. Income Statement'!Q9,'1. Income Statement'!Q11,'1. Income Statement'!Q13,'1. Income Statement'!Q15)-Q24</f>
        <v>9.0000000000145519E-5</v>
      </c>
      <c r="R25" s="110">
        <f>SUM('1. Income Statement'!R9,'1. Income Statement'!R11,'1. Income Statement'!R13,'1. Income Statement'!R15)-R24</f>
        <v>-1.0000000003174137E-5</v>
      </c>
      <c r="S25" s="110">
        <f>SUM('1. Income Statement'!S9,'1. Income Statement'!S11,'1. Income Statement'!S13,'1. Income Statement'!S15)-S24</f>
        <v>-1.0000000031595846E-5</v>
      </c>
      <c r="T25" s="110">
        <f>SUM('1. Income Statement'!T9,'1. Income Statement'!T11,'1. Income Statement'!T13,'1. Income Statement'!T15)-T24</f>
        <v>-1.0000000031595846E-5</v>
      </c>
      <c r="U25" s="110">
        <f>SUM('1. Income Statement'!U9,'1. Income Statement'!U11,'1. Income Statement'!U13,'1. Income Statement'!U15)-U24</f>
        <v>-9.9999999747524271E-6</v>
      </c>
      <c r="V25" s="110">
        <f>SUM('1. Income Statement'!V9,'1. Income Statement'!V11,'1. Income Statement'!V13,'1. Income Statement'!V15)-V24</f>
        <v>-2.0000000006348273E-5</v>
      </c>
      <c r="W25" s="110">
        <f>SUM('1. Income Statement'!W9,'1. Income Statement'!W11,'1. Income Statement'!W13,'1. Income Statement'!W15)-W24</f>
        <v>2.0000000006348273E-5</v>
      </c>
      <c r="X25" s="110">
        <f>SUM('1. Income Statement'!X9,'1. Income Statement'!X11,'1. Income Statement'!X13,'1. Income Statement'!X15)-X24</f>
        <v>1.0000000031595846E-5</v>
      </c>
      <c r="Y25" s="110">
        <f>SUM('1. Income Statement'!Y9,'1. Income Statement'!Y11,'1. Income Statement'!Y13,'1. Income Statement'!Y15)-Y24</f>
        <v>0</v>
      </c>
      <c r="Z25" s="110">
        <f>SUM('1. Income Statement'!Z9,'1. Income Statement'!Z11,'1. Income Statement'!Z13,'1. Income Statement'!Z15)-Z24</f>
        <v>3.0000000037944119E-5</v>
      </c>
      <c r="AA25" s="110">
        <f>SUM('1. Income Statement'!AA9,'1. Income Statement'!AA11,'1. Income Statement'!AA13,'1. Income Statement'!AA15)-AA24</f>
        <v>0</v>
      </c>
      <c r="AB25" s="110">
        <f>SUM('1. Income Statement'!AB9,'1. Income Statement'!AB11,'1. Income Statement'!AB13,'1. Income Statement'!AB15)-AB24</f>
        <v>0</v>
      </c>
      <c r="AC25" s="110">
        <f>SUM('1. Income Statement'!AC9,'1. Income Statement'!AC11,'1. Income Statement'!AC13,'1. Income Statement'!AC15)-AC24</f>
        <v>-9.9999999747524271E-6</v>
      </c>
      <c r="AD25" s="110">
        <f>SUM('1. Income Statement'!AD9,'1. Income Statement'!AD11,'1. Income Statement'!AD13,'1. Income Statement'!AD15)-AD24</f>
        <v>-1.0000000656873453E-5</v>
      </c>
      <c r="AE25" s="110">
        <f>SUM('1. Income Statement'!AE9,'1. Income Statement'!AE11,'1. Income Statement'!AE13,'1. Income Statement'!AE15)-AE24</f>
        <v>-9.9999999747524271E-6</v>
      </c>
      <c r="AF25" s="110">
        <f>SUM('1. Income Statement'!AF9,'1. Income Statement'!AF11,'1. Income Statement'!AF13,'1. Income Statement'!AF15)-AF24</f>
        <v>9.9999999747524271E-6</v>
      </c>
      <c r="AG25" s="110">
        <f>SUM('1. Income Statement'!AG9,'1. Income Statement'!AG11,'1. Income Statement'!AG13,'1. Income Statement'!AG15)-AG24</f>
        <v>9.9999999747524271E-6</v>
      </c>
      <c r="AH25" s="110">
        <f>SUM('1. Income Statement'!AH9,'1. Income Statement'!AH11,'1. Income Statement'!AH13,'1. Income Statement'!AH15)-AH24</f>
        <v>0</v>
      </c>
      <c r="AI25" s="110">
        <f>SUM('1. Income Statement'!AI9,'1. Income Statement'!AI11,'1. Income Statement'!AI13,'1. Income Statement'!AI15)-AI24</f>
        <v>0</v>
      </c>
      <c r="AJ25" s="110">
        <f>SUM('1. Income Statement'!AJ9,'1. Income Statement'!AJ11,'1. Income Statement'!AJ13,'1. Income Statement'!AJ15)-AJ24</f>
        <v>-9.9999999747524271E-6</v>
      </c>
      <c r="AK25" s="110">
        <f>SUM('1. Income Statement'!AK9,'1. Income Statement'!AK11,'1. Income Statement'!AK13,'1. Income Statement'!AK15)-AK24</f>
        <v>0</v>
      </c>
      <c r="AL25" s="110">
        <f>SUM('1. Income Statement'!AL9,'1. Income Statement'!AL11,'1. Income Statement'!AL13,'1. Income Statement'!AL15)-AL24</f>
        <v>1.0000000031595846E-5</v>
      </c>
      <c r="AM25" s="110">
        <f>SUM('1. Income Statement'!AM9,'1. Income Statement'!AM11,'1. Income Statement'!AM13,'1. Income Statement'!AM15)-AM24</f>
        <v>0</v>
      </c>
      <c r="AN25" s="110">
        <f>SUM('1. Income Statement'!AN9,'1. Income Statement'!AN11,'1. Income Statement'!AN13,'1. Income Statement'!AN15)-AN24</f>
        <v>-2.0000000006348273E-5</v>
      </c>
      <c r="AO25" s="110">
        <f>SUM('1. Income Statement'!AO9,'1. Income Statement'!AO11,'1. Income Statement'!AO13,'1. Income Statement'!AO15)-AO24</f>
        <v>-1.0000000202126103E-5</v>
      </c>
      <c r="AP25" s="110">
        <f>SUM('1. Income Statement'!AP9,'1. Income Statement'!AP11,'1. Income Statement'!AP13,'1. Income Statement'!AP15)-AP24</f>
        <v>-2.0000000404252205E-5</v>
      </c>
    </row>
    <row r="27" spans="2:42" x14ac:dyDescent="0.2">
      <c r="B27" s="139" t="s">
        <v>5</v>
      </c>
    </row>
    <row r="28" spans="2:42" x14ac:dyDescent="0.2">
      <c r="B28" s="126" t="s">
        <v>68</v>
      </c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27" t="s">
        <v>63</v>
      </c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27" t="s">
        <v>63</v>
      </c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27" t="s">
        <v>64</v>
      </c>
      <c r="AP28" s="128" t="s">
        <v>65</v>
      </c>
    </row>
    <row r="29" spans="2:42" x14ac:dyDescent="0.2">
      <c r="B29" s="23" t="s">
        <v>246</v>
      </c>
      <c r="C29" s="129"/>
      <c r="D29" s="129"/>
      <c r="E29" s="130">
        <v>44957</v>
      </c>
      <c r="F29" s="130">
        <f>EOMONTH(E29,1)</f>
        <v>44985</v>
      </c>
      <c r="G29" s="130">
        <f t="shared" ref="G29" si="8">EOMONTH(F29,1)</f>
        <v>45016</v>
      </c>
      <c r="H29" s="130">
        <f t="shared" ref="H29" si="9">EOMONTH(G29,1)</f>
        <v>45046</v>
      </c>
      <c r="I29" s="130">
        <f t="shared" ref="I29" si="10">EOMONTH(H29,1)</f>
        <v>45077</v>
      </c>
      <c r="J29" s="130">
        <f t="shared" ref="J29" si="11">EOMONTH(I29,1)</f>
        <v>45107</v>
      </c>
      <c r="K29" s="130">
        <f t="shared" ref="K29" si="12">EOMONTH(J29,1)</f>
        <v>45138</v>
      </c>
      <c r="L29" s="130">
        <f t="shared" ref="L29" si="13">EOMONTH(K29,1)</f>
        <v>45169</v>
      </c>
      <c r="M29" s="130">
        <f t="shared" ref="M29" si="14">EOMONTH(L29,1)</f>
        <v>45199</v>
      </c>
      <c r="N29" s="130">
        <f t="shared" ref="N29" si="15">EOMONTH(M29,1)</f>
        <v>45230</v>
      </c>
      <c r="O29" s="130">
        <f t="shared" ref="O29" si="16">EOMONTH(N29,1)</f>
        <v>45260</v>
      </c>
      <c r="P29" s="130">
        <f t="shared" ref="P29" si="17">EOMONTH(O29,1)</f>
        <v>45291</v>
      </c>
      <c r="Q29" s="131">
        <f>YEAR(P29)</f>
        <v>2023</v>
      </c>
      <c r="R29" s="130">
        <f>EOMONTH(P29,1)</f>
        <v>45322</v>
      </c>
      <c r="S29" s="130">
        <f>EOMONTH(R29,1)</f>
        <v>45351</v>
      </c>
      <c r="T29" s="130">
        <f t="shared" ref="T29" si="18">EOMONTH(S29,1)</f>
        <v>45382</v>
      </c>
      <c r="U29" s="130">
        <f t="shared" ref="U29" si="19">EOMONTH(T29,1)</f>
        <v>45412</v>
      </c>
      <c r="V29" s="130">
        <f t="shared" ref="V29" si="20">EOMONTH(U29,1)</f>
        <v>45443</v>
      </c>
      <c r="W29" s="130">
        <f t="shared" ref="W29" si="21">EOMONTH(V29,1)</f>
        <v>45473</v>
      </c>
      <c r="X29" s="130">
        <f t="shared" ref="X29" si="22">EOMONTH(W29,1)</f>
        <v>45504</v>
      </c>
      <c r="Y29" s="130">
        <f t="shared" ref="Y29" si="23">EOMONTH(X29,1)</f>
        <v>45535</v>
      </c>
      <c r="Z29" s="130">
        <f t="shared" ref="Z29" si="24">EOMONTH(Y29,1)</f>
        <v>45565</v>
      </c>
      <c r="AA29" s="130">
        <f t="shared" ref="AA29" si="25">EOMONTH(Z29,1)</f>
        <v>45596</v>
      </c>
      <c r="AB29" s="130">
        <f t="shared" ref="AB29" si="26">EOMONTH(AA29,1)</f>
        <v>45626</v>
      </c>
      <c r="AC29" s="130">
        <f t="shared" ref="AC29" si="27">EOMONTH(AB29,1)</f>
        <v>45657</v>
      </c>
      <c r="AD29" s="131">
        <f>YEAR(AC29)</f>
        <v>2024</v>
      </c>
      <c r="AE29" s="130">
        <f>EOMONTH(AC29,1)</f>
        <v>45688</v>
      </c>
      <c r="AF29" s="130">
        <f>EOMONTH(AE29,1)</f>
        <v>45716</v>
      </c>
      <c r="AG29" s="130">
        <f t="shared" ref="AG29" si="28">EOMONTH(AF29,1)</f>
        <v>45747</v>
      </c>
      <c r="AH29" s="130">
        <f t="shared" ref="AH29" si="29">EOMONTH(AG29,1)</f>
        <v>45777</v>
      </c>
      <c r="AI29" s="130">
        <f t="shared" ref="AI29" si="30">EOMONTH(AH29,1)</f>
        <v>45808</v>
      </c>
      <c r="AJ29" s="130">
        <f t="shared" ref="AJ29" si="31">EOMONTH(AI29,1)</f>
        <v>45838</v>
      </c>
      <c r="AK29" s="130">
        <f t="shared" ref="AK29" si="32">EOMONTH(AJ29,1)</f>
        <v>45869</v>
      </c>
      <c r="AL29" s="130">
        <f t="shared" ref="AL29" si="33">EOMONTH(AK29,1)</f>
        <v>45900</v>
      </c>
      <c r="AM29" s="130">
        <f t="shared" ref="AM29" si="34">EOMONTH(AL29,1)</f>
        <v>45930</v>
      </c>
      <c r="AN29" s="130">
        <f t="shared" ref="AN29" si="35">EOMONTH(AM29,1)</f>
        <v>45961</v>
      </c>
      <c r="AO29" s="132">
        <f>+AN29</f>
        <v>45961</v>
      </c>
      <c r="AP29" s="37">
        <f>+AO29</f>
        <v>45961</v>
      </c>
    </row>
    <row r="30" spans="2:42" x14ac:dyDescent="0.2">
      <c r="B30" s="134" t="s">
        <v>249</v>
      </c>
      <c r="C30" s="135"/>
      <c r="D30" s="135"/>
      <c r="E30" s="136">
        <v>0</v>
      </c>
      <c r="F30" s="136">
        <v>0</v>
      </c>
      <c r="G30" s="136">
        <v>0</v>
      </c>
      <c r="H30" s="136">
        <v>0</v>
      </c>
      <c r="I30" s="136">
        <v>124.70043000000001</v>
      </c>
      <c r="J30" s="136">
        <v>0</v>
      </c>
      <c r="K30" s="136">
        <v>0</v>
      </c>
      <c r="L30" s="136">
        <v>0</v>
      </c>
      <c r="M30" s="136">
        <v>0</v>
      </c>
      <c r="N30" s="136">
        <v>0</v>
      </c>
      <c r="O30" s="136">
        <v>0</v>
      </c>
      <c r="P30" s="136">
        <v>0</v>
      </c>
      <c r="Q30" s="137">
        <f>SUM(E30:P30)</f>
        <v>124.70043000000001</v>
      </c>
      <c r="R30" s="136">
        <v>0</v>
      </c>
      <c r="S30" s="136">
        <v>0</v>
      </c>
      <c r="T30" s="136">
        <v>0</v>
      </c>
      <c r="U30" s="136">
        <v>0</v>
      </c>
      <c r="V30" s="136">
        <v>0</v>
      </c>
      <c r="W30" s="136">
        <v>0</v>
      </c>
      <c r="X30" s="136">
        <v>0</v>
      </c>
      <c r="Y30" s="136">
        <v>29.701379999999997</v>
      </c>
      <c r="Z30" s="136">
        <v>172.58197000000001</v>
      </c>
      <c r="AA30" s="136">
        <v>0</v>
      </c>
      <c r="AB30" s="136">
        <v>0</v>
      </c>
      <c r="AC30" s="136">
        <v>122.23012000000001</v>
      </c>
      <c r="AD30" s="137">
        <f>SUM(R30:AC30)</f>
        <v>324.51347000000004</v>
      </c>
      <c r="AE30" s="136">
        <v>0</v>
      </c>
      <c r="AF30" s="136">
        <v>94.878579999999999</v>
      </c>
      <c r="AG30" s="136">
        <v>0</v>
      </c>
      <c r="AH30" s="136">
        <v>0</v>
      </c>
      <c r="AI30" s="136">
        <v>0</v>
      </c>
      <c r="AJ30" s="136">
        <v>0</v>
      </c>
      <c r="AK30" s="136">
        <v>76.704030000000003</v>
      </c>
      <c r="AL30" s="136">
        <v>0</v>
      </c>
      <c r="AM30" s="136">
        <v>0</v>
      </c>
      <c r="AN30" s="136">
        <v>113.67766999999999</v>
      </c>
      <c r="AO30" s="137">
        <f>SUM(AE30:AN30)</f>
        <v>285.26027999999997</v>
      </c>
      <c r="AP30" s="138">
        <f>SUM(AO30,AB30:AC30)</f>
        <v>407.49039999999997</v>
      </c>
    </row>
    <row r="31" spans="2:42" x14ac:dyDescent="0.2">
      <c r="B31" s="87" t="s">
        <v>255</v>
      </c>
      <c r="C31" s="93"/>
      <c r="D31" s="93"/>
      <c r="E31" s="119">
        <v>0</v>
      </c>
      <c r="F31" s="119">
        <v>33.640010000000004</v>
      </c>
      <c r="G31" s="119">
        <v>0</v>
      </c>
      <c r="H31" s="119">
        <v>0</v>
      </c>
      <c r="I31" s="119">
        <v>0</v>
      </c>
      <c r="J31" s="119">
        <v>51.33531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119">
        <v>0</v>
      </c>
      <c r="Q31" s="98">
        <f t="shared" ref="Q31:Q44" si="36">SUM(E31:P31)</f>
        <v>84.975320000000011</v>
      </c>
      <c r="R31" s="119">
        <v>23.428099999999997</v>
      </c>
      <c r="S31" s="119">
        <v>0</v>
      </c>
      <c r="T31" s="119">
        <v>0</v>
      </c>
      <c r="U31" s="119">
        <v>24.259220000000003</v>
      </c>
      <c r="V31" s="119">
        <v>0</v>
      </c>
      <c r="W31" s="119">
        <v>205.64961</v>
      </c>
      <c r="X31" s="119">
        <v>43.477559999999997</v>
      </c>
      <c r="Y31" s="119">
        <v>0</v>
      </c>
      <c r="Z31" s="119">
        <v>0</v>
      </c>
      <c r="AA31" s="119">
        <v>0</v>
      </c>
      <c r="AB31" s="119">
        <v>31.976510000000001</v>
      </c>
      <c r="AC31" s="119">
        <v>0</v>
      </c>
      <c r="AD31" s="98">
        <f t="shared" ref="AD31:AD44" si="37">SUM(R31:AC31)</f>
        <v>328.791</v>
      </c>
      <c r="AE31" s="119">
        <v>0</v>
      </c>
      <c r="AF31" s="119">
        <v>33.832380000000001</v>
      </c>
      <c r="AG31" s="119">
        <v>0</v>
      </c>
      <c r="AH31" s="119">
        <v>180.38213999999999</v>
      </c>
      <c r="AI31" s="119">
        <v>0</v>
      </c>
      <c r="AJ31" s="119">
        <v>0</v>
      </c>
      <c r="AK31" s="119">
        <v>0</v>
      </c>
      <c r="AL31" s="119">
        <v>0</v>
      </c>
      <c r="AM31" s="119">
        <v>55.981999999999999</v>
      </c>
      <c r="AN31" s="119">
        <v>0</v>
      </c>
      <c r="AO31" s="98">
        <f t="shared" ref="AO31:AO44" si="38">SUM(AE31:AN31)</f>
        <v>270.19651999999996</v>
      </c>
      <c r="AP31" s="96">
        <f t="shared" ref="AP31:AP44" si="39">SUM(AO31,AB31:AC31)</f>
        <v>302.17302999999998</v>
      </c>
    </row>
    <row r="32" spans="2:42" x14ac:dyDescent="0.2">
      <c r="B32" s="134" t="s">
        <v>248</v>
      </c>
      <c r="C32" s="135"/>
      <c r="D32" s="135"/>
      <c r="E32" s="136">
        <v>0</v>
      </c>
      <c r="F32" s="136">
        <v>0</v>
      </c>
      <c r="G32" s="136">
        <v>0</v>
      </c>
      <c r="H32" s="136">
        <v>0</v>
      </c>
      <c r="I32" s="136">
        <v>0</v>
      </c>
      <c r="J32" s="136">
        <v>0</v>
      </c>
      <c r="K32" s="136">
        <v>0</v>
      </c>
      <c r="L32" s="136">
        <v>0</v>
      </c>
      <c r="M32" s="136">
        <v>0</v>
      </c>
      <c r="N32" s="136">
        <v>0</v>
      </c>
      <c r="O32" s="136">
        <v>0</v>
      </c>
      <c r="P32" s="136">
        <v>12.941930000000001</v>
      </c>
      <c r="Q32" s="137">
        <f t="shared" si="36"/>
        <v>12.941930000000001</v>
      </c>
      <c r="R32" s="136">
        <v>0</v>
      </c>
      <c r="S32" s="136">
        <v>0</v>
      </c>
      <c r="T32" s="136">
        <v>0</v>
      </c>
      <c r="U32" s="136">
        <v>0</v>
      </c>
      <c r="V32" s="136">
        <v>0</v>
      </c>
      <c r="W32" s="136">
        <v>0</v>
      </c>
      <c r="X32" s="136">
        <v>0</v>
      </c>
      <c r="Y32" s="136">
        <v>0</v>
      </c>
      <c r="Z32" s="136">
        <v>0</v>
      </c>
      <c r="AA32" s="136">
        <v>0</v>
      </c>
      <c r="AB32" s="136">
        <v>106.85863000000001</v>
      </c>
      <c r="AC32" s="136">
        <v>0</v>
      </c>
      <c r="AD32" s="137">
        <f t="shared" si="37"/>
        <v>106.85863000000001</v>
      </c>
      <c r="AE32" s="136">
        <v>0</v>
      </c>
      <c r="AF32" s="136">
        <v>0</v>
      </c>
      <c r="AG32" s="136">
        <v>0</v>
      </c>
      <c r="AH32" s="136">
        <v>0</v>
      </c>
      <c r="AI32" s="136">
        <v>0</v>
      </c>
      <c r="AJ32" s="136">
        <v>118.15541999999999</v>
      </c>
      <c r="AK32" s="136">
        <v>0</v>
      </c>
      <c r="AL32" s="136">
        <v>0</v>
      </c>
      <c r="AM32" s="136">
        <v>72.998279999999994</v>
      </c>
      <c r="AN32" s="136">
        <v>0</v>
      </c>
      <c r="AO32" s="137">
        <f t="shared" si="38"/>
        <v>191.15369999999999</v>
      </c>
      <c r="AP32" s="138">
        <f t="shared" si="39"/>
        <v>298.01233000000002</v>
      </c>
    </row>
    <row r="33" spans="2:42" x14ac:dyDescent="0.2">
      <c r="B33" s="87" t="s">
        <v>261</v>
      </c>
      <c r="C33" s="93"/>
      <c r="D33" s="93"/>
      <c r="E33" s="119">
        <v>0</v>
      </c>
      <c r="F33" s="119">
        <v>0</v>
      </c>
      <c r="G33" s="119">
        <v>0</v>
      </c>
      <c r="H33" s="119">
        <v>0</v>
      </c>
      <c r="I33" s="119">
        <v>0</v>
      </c>
      <c r="J33" s="119">
        <v>0</v>
      </c>
      <c r="K33" s="119">
        <v>21.275549999999999</v>
      </c>
      <c r="L33" s="119">
        <v>0</v>
      </c>
      <c r="M33" s="119">
        <v>46.095050000000001</v>
      </c>
      <c r="N33" s="119">
        <v>0</v>
      </c>
      <c r="O33" s="119">
        <v>0</v>
      </c>
      <c r="P33" s="119">
        <v>0</v>
      </c>
      <c r="Q33" s="98">
        <f t="shared" si="36"/>
        <v>67.370599999999996</v>
      </c>
      <c r="R33" s="119">
        <v>0</v>
      </c>
      <c r="S33" s="119">
        <v>0</v>
      </c>
      <c r="T33" s="119">
        <v>0</v>
      </c>
      <c r="U33" s="119">
        <v>0</v>
      </c>
      <c r="V33" s="119">
        <v>0</v>
      </c>
      <c r="W33" s="119">
        <v>0</v>
      </c>
      <c r="X33" s="119">
        <v>0</v>
      </c>
      <c r="Y33" s="119">
        <v>0</v>
      </c>
      <c r="Z33" s="119">
        <v>0</v>
      </c>
      <c r="AA33" s="119">
        <v>55.572749999999999</v>
      </c>
      <c r="AB33" s="119">
        <v>0</v>
      </c>
      <c r="AC33" s="119">
        <v>0</v>
      </c>
      <c r="AD33" s="98">
        <f t="shared" si="37"/>
        <v>55.572749999999999</v>
      </c>
      <c r="AE33" s="119">
        <v>0</v>
      </c>
      <c r="AF33" s="119">
        <v>0</v>
      </c>
      <c r="AG33" s="119">
        <v>154.37443999999999</v>
      </c>
      <c r="AH33" s="119">
        <v>0</v>
      </c>
      <c r="AI33" s="119">
        <v>56.935679999999998</v>
      </c>
      <c r="AJ33" s="119">
        <v>2.3368800000000003</v>
      </c>
      <c r="AK33" s="119">
        <v>0</v>
      </c>
      <c r="AL33" s="119">
        <v>0</v>
      </c>
      <c r="AM33" s="119">
        <v>30.925239999999999</v>
      </c>
      <c r="AN33" s="119">
        <v>0</v>
      </c>
      <c r="AO33" s="98">
        <f t="shared" si="38"/>
        <v>244.57223999999999</v>
      </c>
      <c r="AP33" s="96">
        <f t="shared" si="39"/>
        <v>244.57223999999999</v>
      </c>
    </row>
    <row r="34" spans="2:42" x14ac:dyDescent="0.2">
      <c r="B34" s="134" t="s">
        <v>258</v>
      </c>
      <c r="C34" s="135"/>
      <c r="D34" s="135"/>
      <c r="E34" s="136">
        <v>0</v>
      </c>
      <c r="F34" s="136">
        <v>0</v>
      </c>
      <c r="G34" s="136">
        <v>0</v>
      </c>
      <c r="H34" s="136">
        <v>55.929819999999999</v>
      </c>
      <c r="I34" s="136">
        <v>0</v>
      </c>
      <c r="J34" s="136">
        <v>0</v>
      </c>
      <c r="K34" s="136">
        <v>0</v>
      </c>
      <c r="L34" s="136">
        <v>0</v>
      </c>
      <c r="M34" s="136">
        <v>0</v>
      </c>
      <c r="N34" s="136">
        <v>0</v>
      </c>
      <c r="O34" s="136">
        <v>0</v>
      </c>
      <c r="P34" s="136">
        <v>0</v>
      </c>
      <c r="Q34" s="137">
        <f t="shared" si="36"/>
        <v>55.929819999999999</v>
      </c>
      <c r="R34" s="136">
        <v>23.775830000000003</v>
      </c>
      <c r="S34" s="136">
        <v>26.588470000000001</v>
      </c>
      <c r="T34" s="136">
        <v>0</v>
      </c>
      <c r="U34" s="136">
        <v>0</v>
      </c>
      <c r="V34" s="136">
        <v>0</v>
      </c>
      <c r="W34" s="136">
        <v>0</v>
      </c>
      <c r="X34" s="136">
        <v>0</v>
      </c>
      <c r="Y34" s="136">
        <v>0</v>
      </c>
      <c r="Z34" s="136">
        <v>0</v>
      </c>
      <c r="AA34" s="136">
        <v>0</v>
      </c>
      <c r="AB34" s="136">
        <v>0</v>
      </c>
      <c r="AC34" s="136">
        <v>0</v>
      </c>
      <c r="AD34" s="137">
        <f t="shared" si="37"/>
        <v>50.3643</v>
      </c>
      <c r="AE34" s="136">
        <v>0</v>
      </c>
      <c r="AF34" s="136">
        <v>0</v>
      </c>
      <c r="AG34" s="136">
        <v>0</v>
      </c>
      <c r="AH34" s="136">
        <v>0</v>
      </c>
      <c r="AI34" s="136">
        <v>0</v>
      </c>
      <c r="AJ34" s="136">
        <v>0</v>
      </c>
      <c r="AK34" s="136">
        <v>0</v>
      </c>
      <c r="AL34" s="136">
        <v>149.85593</v>
      </c>
      <c r="AM34" s="136">
        <v>0</v>
      </c>
      <c r="AN34" s="136">
        <v>0</v>
      </c>
      <c r="AO34" s="137">
        <f t="shared" si="38"/>
        <v>149.85593</v>
      </c>
      <c r="AP34" s="138">
        <f t="shared" si="39"/>
        <v>149.85593</v>
      </c>
    </row>
    <row r="35" spans="2:42" x14ac:dyDescent="0.2">
      <c r="B35" s="87" t="s">
        <v>259</v>
      </c>
      <c r="C35" s="93"/>
      <c r="D35" s="93"/>
      <c r="E35" s="119">
        <v>94.662610000000001</v>
      </c>
      <c r="F35" s="119">
        <v>0</v>
      </c>
      <c r="G35" s="119">
        <v>0</v>
      </c>
      <c r="H35" s="119">
        <v>60.768349999999998</v>
      </c>
      <c r="I35" s="119">
        <v>0</v>
      </c>
      <c r="J35" s="119">
        <v>0</v>
      </c>
      <c r="K35" s="119">
        <v>0</v>
      </c>
      <c r="L35" s="119">
        <v>0</v>
      </c>
      <c r="M35" s="119">
        <v>0</v>
      </c>
      <c r="N35" s="119">
        <v>0</v>
      </c>
      <c r="O35" s="119">
        <v>92.353059999999999</v>
      </c>
      <c r="P35" s="119">
        <v>0</v>
      </c>
      <c r="Q35" s="98">
        <f t="shared" si="36"/>
        <v>247.78402</v>
      </c>
      <c r="R35" s="119">
        <v>0</v>
      </c>
      <c r="S35" s="119">
        <v>0</v>
      </c>
      <c r="T35" s="119">
        <v>0</v>
      </c>
      <c r="U35" s="119">
        <v>0</v>
      </c>
      <c r="V35" s="119">
        <v>0</v>
      </c>
      <c r="W35" s="119">
        <v>0</v>
      </c>
      <c r="X35" s="119">
        <v>163.04463000000001</v>
      </c>
      <c r="Y35" s="119">
        <v>0</v>
      </c>
      <c r="Z35" s="119">
        <v>0</v>
      </c>
      <c r="AA35" s="119">
        <v>0</v>
      </c>
      <c r="AB35" s="119">
        <v>0</v>
      </c>
      <c r="AC35" s="119">
        <v>0</v>
      </c>
      <c r="AD35" s="98">
        <f t="shared" si="37"/>
        <v>163.04463000000001</v>
      </c>
      <c r="AE35" s="119">
        <v>127.52363999999999</v>
      </c>
      <c r="AF35" s="119">
        <v>0</v>
      </c>
      <c r="AG35" s="119">
        <v>0</v>
      </c>
      <c r="AH35" s="119">
        <v>0</v>
      </c>
      <c r="AI35" s="119">
        <v>0</v>
      </c>
      <c r="AJ35" s="119">
        <v>0</v>
      </c>
      <c r="AK35" s="119">
        <v>0</v>
      </c>
      <c r="AL35" s="119">
        <v>0</v>
      </c>
      <c r="AM35" s="119">
        <v>0</v>
      </c>
      <c r="AN35" s="119">
        <v>0</v>
      </c>
      <c r="AO35" s="98">
        <f t="shared" si="38"/>
        <v>127.52363999999999</v>
      </c>
      <c r="AP35" s="96">
        <f t="shared" si="39"/>
        <v>127.52363999999999</v>
      </c>
    </row>
    <row r="36" spans="2:42" x14ac:dyDescent="0.2">
      <c r="B36" s="134" t="s">
        <v>254</v>
      </c>
      <c r="C36" s="135"/>
      <c r="D36" s="135"/>
      <c r="E36" s="136">
        <v>0</v>
      </c>
      <c r="F36" s="136">
        <v>0</v>
      </c>
      <c r="G36" s="136">
        <v>109.05162999999999</v>
      </c>
      <c r="H36" s="136">
        <v>0</v>
      </c>
      <c r="I36" s="136">
        <v>0</v>
      </c>
      <c r="J36" s="136">
        <v>0</v>
      </c>
      <c r="K36" s="136">
        <v>0</v>
      </c>
      <c r="L36" s="136">
        <v>121.31437999999999</v>
      </c>
      <c r="M36" s="136">
        <v>0</v>
      </c>
      <c r="N36" s="136">
        <v>91.424090000000007</v>
      </c>
      <c r="O36" s="136">
        <v>0</v>
      </c>
      <c r="P36" s="136">
        <v>0</v>
      </c>
      <c r="Q36" s="137">
        <f t="shared" si="36"/>
        <v>321.79009999999994</v>
      </c>
      <c r="R36" s="136">
        <v>0</v>
      </c>
      <c r="S36" s="136">
        <v>0</v>
      </c>
      <c r="T36" s="136">
        <v>122.06175</v>
      </c>
      <c r="U36" s="136">
        <v>0</v>
      </c>
      <c r="V36" s="136">
        <v>0</v>
      </c>
      <c r="W36" s="136">
        <v>0</v>
      </c>
      <c r="X36" s="136">
        <v>0</v>
      </c>
      <c r="Y36" s="136">
        <v>0</v>
      </c>
      <c r="Z36" s="136">
        <v>0</v>
      </c>
      <c r="AA36" s="136">
        <v>0</v>
      </c>
      <c r="AB36" s="136">
        <v>0</v>
      </c>
      <c r="AC36" s="136">
        <v>0</v>
      </c>
      <c r="AD36" s="137">
        <f t="shared" si="37"/>
        <v>122.06175</v>
      </c>
      <c r="AE36" s="136">
        <v>0</v>
      </c>
      <c r="AF36" s="136">
        <v>0</v>
      </c>
      <c r="AG36" s="136">
        <v>0</v>
      </c>
      <c r="AH36" s="136">
        <v>0</v>
      </c>
      <c r="AI36" s="136">
        <v>0</v>
      </c>
      <c r="AJ36" s="136">
        <v>0</v>
      </c>
      <c r="AK36" s="136">
        <v>118.56976</v>
      </c>
      <c r="AL36" s="136">
        <v>0</v>
      </c>
      <c r="AM36" s="136">
        <v>0</v>
      </c>
      <c r="AN36" s="136">
        <v>0</v>
      </c>
      <c r="AO36" s="137">
        <f t="shared" si="38"/>
        <v>118.56976</v>
      </c>
      <c r="AP36" s="138">
        <f t="shared" si="39"/>
        <v>118.56976</v>
      </c>
    </row>
    <row r="37" spans="2:42" x14ac:dyDescent="0.2">
      <c r="B37" s="87" t="s">
        <v>256</v>
      </c>
      <c r="C37" s="93"/>
      <c r="D37" s="93"/>
      <c r="E37" s="119">
        <v>0</v>
      </c>
      <c r="F37" s="119">
        <v>0</v>
      </c>
      <c r="G37" s="119">
        <v>0</v>
      </c>
      <c r="H37" s="119">
        <v>0</v>
      </c>
      <c r="I37" s="119">
        <v>0</v>
      </c>
      <c r="J37" s="119">
        <v>29.685689999999997</v>
      </c>
      <c r="K37" s="119">
        <v>0</v>
      </c>
      <c r="L37" s="119">
        <v>0</v>
      </c>
      <c r="M37" s="119">
        <v>0</v>
      </c>
      <c r="N37" s="119">
        <v>0</v>
      </c>
      <c r="O37" s="119">
        <v>0</v>
      </c>
      <c r="P37" s="119">
        <v>0</v>
      </c>
      <c r="Q37" s="98">
        <f t="shared" si="36"/>
        <v>29.685689999999997</v>
      </c>
      <c r="R37" s="119">
        <v>0</v>
      </c>
      <c r="S37" s="119">
        <v>0</v>
      </c>
      <c r="T37" s="119">
        <v>0</v>
      </c>
      <c r="U37" s="119">
        <v>145.13454000000002</v>
      </c>
      <c r="V37" s="119">
        <v>0</v>
      </c>
      <c r="W37" s="119">
        <v>0</v>
      </c>
      <c r="X37" s="119">
        <v>0</v>
      </c>
      <c r="Y37" s="119">
        <v>174.46611999999999</v>
      </c>
      <c r="Z37" s="119">
        <v>0</v>
      </c>
      <c r="AA37" s="119">
        <v>0</v>
      </c>
      <c r="AB37" s="119">
        <v>0</v>
      </c>
      <c r="AC37" s="119">
        <v>0</v>
      </c>
      <c r="AD37" s="98">
        <f t="shared" si="37"/>
        <v>319.60066</v>
      </c>
      <c r="AE37" s="119">
        <v>0</v>
      </c>
      <c r="AF37" s="119">
        <v>0</v>
      </c>
      <c r="AG37" s="119">
        <v>0</v>
      </c>
      <c r="AH37" s="119">
        <v>0</v>
      </c>
      <c r="AI37" s="119">
        <v>116.11748999999999</v>
      </c>
      <c r="AJ37" s="119">
        <v>0</v>
      </c>
      <c r="AK37" s="119">
        <v>0</v>
      </c>
      <c r="AL37" s="119">
        <v>0</v>
      </c>
      <c r="AM37" s="119">
        <v>0</v>
      </c>
      <c r="AN37" s="119">
        <v>0</v>
      </c>
      <c r="AO37" s="98">
        <f t="shared" si="38"/>
        <v>116.11748999999999</v>
      </c>
      <c r="AP37" s="96">
        <f t="shared" si="39"/>
        <v>116.11748999999999</v>
      </c>
    </row>
    <row r="38" spans="2:42" x14ac:dyDescent="0.2">
      <c r="B38" s="134" t="s">
        <v>252</v>
      </c>
      <c r="C38" s="135"/>
      <c r="D38" s="135"/>
      <c r="E38" s="136">
        <v>0</v>
      </c>
      <c r="F38" s="136">
        <v>0</v>
      </c>
      <c r="G38" s="136">
        <v>0</v>
      </c>
      <c r="H38" s="136">
        <v>0</v>
      </c>
      <c r="I38" s="136">
        <v>4.6890499999999999</v>
      </c>
      <c r="J38" s="136">
        <v>0</v>
      </c>
      <c r="K38" s="136">
        <v>0</v>
      </c>
      <c r="L38" s="136">
        <v>0</v>
      </c>
      <c r="M38" s="136">
        <v>85.969920000000016</v>
      </c>
      <c r="N38" s="136">
        <v>0</v>
      </c>
      <c r="O38" s="136">
        <v>0</v>
      </c>
      <c r="P38" s="136">
        <v>0</v>
      </c>
      <c r="Q38" s="137">
        <f t="shared" si="36"/>
        <v>90.658970000000011</v>
      </c>
      <c r="R38" s="136">
        <v>0</v>
      </c>
      <c r="S38" s="136">
        <v>23.847069999999999</v>
      </c>
      <c r="T38" s="136">
        <v>0</v>
      </c>
      <c r="U38" s="136">
        <v>0</v>
      </c>
      <c r="V38" s="136">
        <v>0</v>
      </c>
      <c r="W38" s="136">
        <v>0</v>
      </c>
      <c r="X38" s="136">
        <v>0</v>
      </c>
      <c r="Y38" s="136">
        <v>0</v>
      </c>
      <c r="Z38" s="136">
        <v>0</v>
      </c>
      <c r="AA38" s="136">
        <v>0</v>
      </c>
      <c r="AB38" s="136">
        <v>0</v>
      </c>
      <c r="AC38" s="136">
        <v>0</v>
      </c>
      <c r="AD38" s="137">
        <f t="shared" si="37"/>
        <v>23.847069999999999</v>
      </c>
      <c r="AE38" s="136">
        <v>0</v>
      </c>
      <c r="AF38" s="136">
        <v>0</v>
      </c>
      <c r="AG38" s="136">
        <v>0</v>
      </c>
      <c r="AH38" s="136">
        <v>0</v>
      </c>
      <c r="AI38" s="136">
        <v>0</v>
      </c>
      <c r="AJ38" s="136">
        <v>85.534100000000009</v>
      </c>
      <c r="AK38" s="136">
        <v>0</v>
      </c>
      <c r="AL38" s="136">
        <v>0</v>
      </c>
      <c r="AM38" s="136">
        <v>0</v>
      </c>
      <c r="AN38" s="136">
        <v>0</v>
      </c>
      <c r="AO38" s="137">
        <f t="shared" si="38"/>
        <v>85.534100000000009</v>
      </c>
      <c r="AP38" s="138">
        <f t="shared" si="39"/>
        <v>85.534100000000009</v>
      </c>
    </row>
    <row r="39" spans="2:42" x14ac:dyDescent="0.2">
      <c r="B39" s="87" t="s">
        <v>250</v>
      </c>
      <c r="C39" s="93"/>
      <c r="D39" s="93"/>
      <c r="E39" s="119">
        <v>0</v>
      </c>
      <c r="F39" s="119">
        <v>0</v>
      </c>
      <c r="G39" s="119">
        <v>0</v>
      </c>
      <c r="H39" s="119">
        <v>0</v>
      </c>
      <c r="I39" s="119">
        <v>0</v>
      </c>
      <c r="J39" s="119">
        <v>58.187800000000003</v>
      </c>
      <c r="K39" s="119">
        <v>0</v>
      </c>
      <c r="L39" s="119">
        <v>0</v>
      </c>
      <c r="M39" s="119">
        <v>0</v>
      </c>
      <c r="N39" s="119">
        <v>0</v>
      </c>
      <c r="O39" s="119">
        <v>0</v>
      </c>
      <c r="P39" s="119">
        <v>86.558120000000002</v>
      </c>
      <c r="Q39" s="98">
        <f t="shared" si="36"/>
        <v>144.74592000000001</v>
      </c>
      <c r="R39" s="119">
        <v>0</v>
      </c>
      <c r="S39" s="119">
        <v>0</v>
      </c>
      <c r="T39" s="119">
        <v>0</v>
      </c>
      <c r="U39" s="119">
        <v>0</v>
      </c>
      <c r="V39" s="119">
        <v>179.57191</v>
      </c>
      <c r="W39" s="119">
        <v>0</v>
      </c>
      <c r="X39" s="119">
        <v>0</v>
      </c>
      <c r="Y39" s="119">
        <v>0</v>
      </c>
      <c r="Z39" s="119">
        <v>0</v>
      </c>
      <c r="AA39" s="119">
        <v>0</v>
      </c>
      <c r="AB39" s="119">
        <v>0</v>
      </c>
      <c r="AC39" s="119">
        <v>0</v>
      </c>
      <c r="AD39" s="98">
        <f t="shared" si="37"/>
        <v>179.57191</v>
      </c>
      <c r="AE39" s="119">
        <v>0</v>
      </c>
      <c r="AF39" s="119">
        <v>0</v>
      </c>
      <c r="AG39" s="119">
        <v>0</v>
      </c>
      <c r="AH39" s="119">
        <v>0</v>
      </c>
      <c r="AI39" s="119">
        <v>0</v>
      </c>
      <c r="AJ39" s="119">
        <v>0</v>
      </c>
      <c r="AK39" s="119">
        <v>0</v>
      </c>
      <c r="AL39" s="119">
        <v>0</v>
      </c>
      <c r="AM39" s="119">
        <v>20.820509999999999</v>
      </c>
      <c r="AN39" s="119">
        <v>62.9709</v>
      </c>
      <c r="AO39" s="98">
        <f t="shared" si="38"/>
        <v>83.791409999999999</v>
      </c>
      <c r="AP39" s="96">
        <f t="shared" si="39"/>
        <v>83.791409999999999</v>
      </c>
    </row>
    <row r="40" spans="2:42" x14ac:dyDescent="0.2">
      <c r="B40" s="134" t="s">
        <v>257</v>
      </c>
      <c r="C40" s="135"/>
      <c r="D40" s="135"/>
      <c r="E40" s="136">
        <v>0</v>
      </c>
      <c r="F40" s="136">
        <v>0</v>
      </c>
      <c r="G40" s="136">
        <v>0</v>
      </c>
      <c r="H40" s="136">
        <v>0</v>
      </c>
      <c r="I40" s="136">
        <v>0</v>
      </c>
      <c r="J40" s="136">
        <v>0</v>
      </c>
      <c r="K40" s="136">
        <v>0</v>
      </c>
      <c r="L40" s="136">
        <v>0</v>
      </c>
      <c r="M40" s="136">
        <v>0</v>
      </c>
      <c r="N40" s="136">
        <v>0</v>
      </c>
      <c r="O40" s="136">
        <v>0</v>
      </c>
      <c r="P40" s="136">
        <v>0</v>
      </c>
      <c r="Q40" s="137">
        <f t="shared" si="36"/>
        <v>0</v>
      </c>
      <c r="R40" s="136">
        <v>0</v>
      </c>
      <c r="S40" s="136">
        <v>0</v>
      </c>
      <c r="T40" s="136">
        <v>0</v>
      </c>
      <c r="U40" s="136">
        <v>0</v>
      </c>
      <c r="V40" s="136">
        <v>0</v>
      </c>
      <c r="W40" s="136">
        <v>0</v>
      </c>
      <c r="X40" s="136">
        <v>0</v>
      </c>
      <c r="Y40" s="136">
        <v>0</v>
      </c>
      <c r="Z40" s="136">
        <v>0</v>
      </c>
      <c r="AA40" s="136">
        <v>0</v>
      </c>
      <c r="AB40" s="136">
        <v>0</v>
      </c>
      <c r="AC40" s="136">
        <v>0</v>
      </c>
      <c r="AD40" s="137">
        <f t="shared" si="37"/>
        <v>0</v>
      </c>
      <c r="AE40" s="136">
        <v>0</v>
      </c>
      <c r="AF40" s="136">
        <v>0</v>
      </c>
      <c r="AG40" s="136">
        <v>0</v>
      </c>
      <c r="AH40" s="136">
        <v>0</v>
      </c>
      <c r="AI40" s="136">
        <v>0</v>
      </c>
      <c r="AJ40" s="136">
        <v>0</v>
      </c>
      <c r="AK40" s="136">
        <v>0</v>
      </c>
      <c r="AL40" s="136">
        <v>30.049040000000002</v>
      </c>
      <c r="AM40" s="136">
        <v>0</v>
      </c>
      <c r="AN40" s="136">
        <v>0</v>
      </c>
      <c r="AO40" s="137">
        <f t="shared" si="38"/>
        <v>30.049040000000002</v>
      </c>
      <c r="AP40" s="138">
        <f t="shared" si="39"/>
        <v>30.049040000000002</v>
      </c>
    </row>
    <row r="41" spans="2:42" x14ac:dyDescent="0.2">
      <c r="B41" s="87" t="s">
        <v>251</v>
      </c>
      <c r="C41" s="93"/>
      <c r="D41" s="93"/>
      <c r="E41" s="119">
        <v>0</v>
      </c>
      <c r="F41" s="119">
        <v>0</v>
      </c>
      <c r="G41" s="119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>
        <v>0</v>
      </c>
      <c r="N41" s="119">
        <v>0</v>
      </c>
      <c r="O41" s="119">
        <v>0</v>
      </c>
      <c r="P41" s="119">
        <v>0</v>
      </c>
      <c r="Q41" s="98">
        <f t="shared" si="36"/>
        <v>0</v>
      </c>
      <c r="R41" s="119">
        <v>0</v>
      </c>
      <c r="S41" s="119">
        <v>0</v>
      </c>
      <c r="T41" s="119">
        <v>0</v>
      </c>
      <c r="U41" s="119">
        <v>0</v>
      </c>
      <c r="V41" s="119">
        <v>0</v>
      </c>
      <c r="W41" s="119">
        <v>0</v>
      </c>
      <c r="X41" s="119">
        <v>0</v>
      </c>
      <c r="Y41" s="119">
        <v>0</v>
      </c>
      <c r="Z41" s="119">
        <v>0</v>
      </c>
      <c r="AA41" s="119">
        <v>0</v>
      </c>
      <c r="AB41" s="119">
        <v>0</v>
      </c>
      <c r="AC41" s="119">
        <v>0</v>
      </c>
      <c r="AD41" s="98">
        <f t="shared" si="37"/>
        <v>0</v>
      </c>
      <c r="AE41" s="119">
        <v>0</v>
      </c>
      <c r="AF41" s="119">
        <v>0</v>
      </c>
      <c r="AG41" s="119">
        <v>0</v>
      </c>
      <c r="AH41" s="119">
        <v>0</v>
      </c>
      <c r="AI41" s="119">
        <v>0</v>
      </c>
      <c r="AJ41" s="119">
        <v>0</v>
      </c>
      <c r="AK41" s="119">
        <v>0</v>
      </c>
      <c r="AL41" s="119">
        <v>0</v>
      </c>
      <c r="AM41" s="119">
        <v>12.57907</v>
      </c>
      <c r="AN41" s="119">
        <v>0</v>
      </c>
      <c r="AO41" s="98">
        <f t="shared" si="38"/>
        <v>12.57907</v>
      </c>
      <c r="AP41" s="96">
        <f t="shared" si="39"/>
        <v>12.57907</v>
      </c>
    </row>
    <row r="42" spans="2:42" x14ac:dyDescent="0.2">
      <c r="B42" s="134" t="s">
        <v>247</v>
      </c>
      <c r="C42" s="135"/>
      <c r="D42" s="135"/>
      <c r="E42" s="136">
        <v>0</v>
      </c>
      <c r="F42" s="136">
        <v>0</v>
      </c>
      <c r="G42" s="136">
        <v>0</v>
      </c>
      <c r="H42" s="136">
        <v>0</v>
      </c>
      <c r="I42" s="136">
        <v>0</v>
      </c>
      <c r="J42" s="136">
        <v>0</v>
      </c>
      <c r="K42" s="136">
        <v>107.50099999999999</v>
      </c>
      <c r="L42" s="136">
        <v>0</v>
      </c>
      <c r="M42" s="136">
        <v>0</v>
      </c>
      <c r="N42" s="136">
        <v>23.972750000000001</v>
      </c>
      <c r="O42" s="136">
        <v>0</v>
      </c>
      <c r="P42" s="136">
        <v>0</v>
      </c>
      <c r="Q42" s="137">
        <f t="shared" si="36"/>
        <v>131.47375</v>
      </c>
      <c r="R42" s="136">
        <v>74.311170000000004</v>
      </c>
      <c r="S42" s="136">
        <v>75.269340000000014</v>
      </c>
      <c r="T42" s="136">
        <v>0</v>
      </c>
      <c r="U42" s="136">
        <v>0</v>
      </c>
      <c r="V42" s="136">
        <v>0</v>
      </c>
      <c r="W42" s="136">
        <v>0</v>
      </c>
      <c r="X42" s="136">
        <v>0</v>
      </c>
      <c r="Y42" s="136">
        <v>0</v>
      </c>
      <c r="Z42" s="136">
        <v>0</v>
      </c>
      <c r="AA42" s="136">
        <v>0</v>
      </c>
      <c r="AB42" s="136">
        <v>11.663969999999999</v>
      </c>
      <c r="AC42" s="136">
        <v>0</v>
      </c>
      <c r="AD42" s="137">
        <f t="shared" si="37"/>
        <v>161.24448000000001</v>
      </c>
      <c r="AE42" s="136">
        <v>0</v>
      </c>
      <c r="AF42" s="136">
        <v>0</v>
      </c>
      <c r="AG42" s="136">
        <v>0</v>
      </c>
      <c r="AH42" s="136">
        <v>0</v>
      </c>
      <c r="AI42" s="136">
        <v>0</v>
      </c>
      <c r="AJ42" s="136">
        <v>0</v>
      </c>
      <c r="AK42" s="136">
        <v>0</v>
      </c>
      <c r="AL42" s="136">
        <v>0</v>
      </c>
      <c r="AM42" s="136">
        <v>0</v>
      </c>
      <c r="AN42" s="136">
        <v>0</v>
      </c>
      <c r="AO42" s="137">
        <f t="shared" si="38"/>
        <v>0</v>
      </c>
      <c r="AP42" s="138">
        <f t="shared" si="39"/>
        <v>11.663969999999999</v>
      </c>
    </row>
    <row r="43" spans="2:42" x14ac:dyDescent="0.2">
      <c r="B43" s="87" t="s">
        <v>260</v>
      </c>
      <c r="C43" s="93"/>
      <c r="D43" s="93"/>
      <c r="E43" s="119">
        <v>0</v>
      </c>
      <c r="F43" s="119">
        <v>63.98104</v>
      </c>
      <c r="G43" s="119">
        <v>0</v>
      </c>
      <c r="H43" s="119">
        <v>0</v>
      </c>
      <c r="I43" s="119">
        <v>0</v>
      </c>
      <c r="J43" s="119">
        <v>0</v>
      </c>
      <c r="K43" s="119">
        <v>0</v>
      </c>
      <c r="L43" s="119">
        <v>0</v>
      </c>
      <c r="M43" s="119">
        <v>0</v>
      </c>
      <c r="N43" s="119">
        <v>0</v>
      </c>
      <c r="O43" s="119">
        <v>0</v>
      </c>
      <c r="P43" s="119">
        <v>0</v>
      </c>
      <c r="Q43" s="98">
        <f t="shared" si="36"/>
        <v>63.98104</v>
      </c>
      <c r="R43" s="119">
        <v>0</v>
      </c>
      <c r="S43" s="119">
        <v>0</v>
      </c>
      <c r="T43" s="119">
        <v>17.222660000000001</v>
      </c>
      <c r="U43" s="119">
        <v>0</v>
      </c>
      <c r="V43" s="119">
        <v>0</v>
      </c>
      <c r="W43" s="119">
        <v>0</v>
      </c>
      <c r="X43" s="119">
        <v>0</v>
      </c>
      <c r="Y43" s="119">
        <v>0</v>
      </c>
      <c r="Z43" s="119">
        <v>0</v>
      </c>
      <c r="AA43" s="119">
        <v>93.461330000000004</v>
      </c>
      <c r="AB43" s="119">
        <v>0</v>
      </c>
      <c r="AC43" s="119">
        <v>0</v>
      </c>
      <c r="AD43" s="98">
        <f t="shared" si="37"/>
        <v>110.68399000000001</v>
      </c>
      <c r="AE43" s="119">
        <v>0</v>
      </c>
      <c r="AF43" s="119">
        <v>0</v>
      </c>
      <c r="AG43" s="119">
        <v>0</v>
      </c>
      <c r="AH43" s="119">
        <v>0</v>
      </c>
      <c r="AI43" s="119">
        <v>0</v>
      </c>
      <c r="AJ43" s="119">
        <v>0</v>
      </c>
      <c r="AK43" s="119">
        <v>8.8372900000000012</v>
      </c>
      <c r="AL43" s="119">
        <v>0</v>
      </c>
      <c r="AM43" s="119">
        <v>0</v>
      </c>
      <c r="AN43" s="119">
        <v>0</v>
      </c>
      <c r="AO43" s="98">
        <f t="shared" si="38"/>
        <v>8.8372900000000012</v>
      </c>
      <c r="AP43" s="96">
        <f t="shared" si="39"/>
        <v>8.8372900000000012</v>
      </c>
    </row>
    <row r="44" spans="2:42" x14ac:dyDescent="0.2">
      <c r="B44" s="134" t="s">
        <v>253</v>
      </c>
      <c r="C44" s="135"/>
      <c r="D44" s="135"/>
      <c r="E44" s="136">
        <v>0</v>
      </c>
      <c r="F44" s="136">
        <v>0</v>
      </c>
      <c r="G44" s="136">
        <v>0</v>
      </c>
      <c r="H44" s="136">
        <v>0</v>
      </c>
      <c r="I44" s="136">
        <v>0</v>
      </c>
      <c r="J44" s="136">
        <v>0</v>
      </c>
      <c r="K44" s="136">
        <v>0</v>
      </c>
      <c r="L44" s="136">
        <v>0</v>
      </c>
      <c r="M44" s="136">
        <v>0</v>
      </c>
      <c r="N44" s="136">
        <v>0</v>
      </c>
      <c r="O44" s="136">
        <v>0</v>
      </c>
      <c r="P44" s="136">
        <v>0</v>
      </c>
      <c r="Q44" s="137">
        <f t="shared" si="36"/>
        <v>0</v>
      </c>
      <c r="R44" s="136">
        <v>0</v>
      </c>
      <c r="S44" s="136">
        <v>0</v>
      </c>
      <c r="T44" s="136">
        <v>0</v>
      </c>
      <c r="U44" s="136">
        <v>0</v>
      </c>
      <c r="V44" s="136">
        <v>0</v>
      </c>
      <c r="W44" s="136">
        <v>0</v>
      </c>
      <c r="X44" s="136">
        <v>0</v>
      </c>
      <c r="Y44" s="136">
        <v>0</v>
      </c>
      <c r="Z44" s="136">
        <v>0</v>
      </c>
      <c r="AA44" s="136">
        <v>0</v>
      </c>
      <c r="AB44" s="136">
        <v>0</v>
      </c>
      <c r="AC44" s="136">
        <v>0</v>
      </c>
      <c r="AD44" s="137">
        <f t="shared" si="37"/>
        <v>0</v>
      </c>
      <c r="AE44" s="136">
        <v>0</v>
      </c>
      <c r="AF44" s="136">
        <v>0</v>
      </c>
      <c r="AG44" s="136">
        <v>0</v>
      </c>
      <c r="AH44" s="136">
        <v>0</v>
      </c>
      <c r="AI44" s="136">
        <v>0</v>
      </c>
      <c r="AJ44" s="136">
        <v>0</v>
      </c>
      <c r="AK44" s="136">
        <v>0</v>
      </c>
      <c r="AL44" s="136">
        <v>0</v>
      </c>
      <c r="AM44" s="136">
        <v>0</v>
      </c>
      <c r="AN44" s="136">
        <v>0</v>
      </c>
      <c r="AO44" s="137">
        <f t="shared" si="38"/>
        <v>0</v>
      </c>
      <c r="AP44" s="138">
        <f t="shared" si="39"/>
        <v>0</v>
      </c>
    </row>
    <row r="45" spans="2:42" x14ac:dyDescent="0.2">
      <c r="B45" s="105" t="s">
        <v>245</v>
      </c>
      <c r="C45" s="106"/>
      <c r="D45" s="106"/>
      <c r="E45" s="112">
        <f>SUM(E30:E44)</f>
        <v>94.662610000000001</v>
      </c>
      <c r="F45" s="112">
        <f t="shared" ref="F45" si="40">SUM(F30:F44)</f>
        <v>97.621049999999997</v>
      </c>
      <c r="G45" s="112">
        <f t="shared" ref="G45" si="41">SUM(G30:G44)</f>
        <v>109.05162999999999</v>
      </c>
      <c r="H45" s="112">
        <f t="shared" ref="H45" si="42">SUM(H30:H44)</f>
        <v>116.69817</v>
      </c>
      <c r="I45" s="112">
        <f t="shared" ref="I45" si="43">SUM(I30:I44)</f>
        <v>129.38948000000002</v>
      </c>
      <c r="J45" s="112">
        <f t="shared" ref="J45" si="44">SUM(J30:J44)</f>
        <v>139.2088</v>
      </c>
      <c r="K45" s="112">
        <f t="shared" ref="K45" si="45">SUM(K30:K44)</f>
        <v>128.77654999999999</v>
      </c>
      <c r="L45" s="112">
        <f t="shared" ref="L45" si="46">SUM(L30:L44)</f>
        <v>121.31437999999999</v>
      </c>
      <c r="M45" s="112">
        <f t="shared" ref="M45" si="47">SUM(M30:M44)</f>
        <v>132.06497000000002</v>
      </c>
      <c r="N45" s="112">
        <f t="shared" ref="N45" si="48">SUM(N30:N44)</f>
        <v>115.39684000000001</v>
      </c>
      <c r="O45" s="112">
        <f t="shared" ref="O45" si="49">SUM(O30:O44)</f>
        <v>92.353059999999999</v>
      </c>
      <c r="P45" s="112">
        <f t="shared" ref="P45" si="50">SUM(P30:P44)</f>
        <v>99.500050000000002</v>
      </c>
      <c r="Q45" s="133">
        <f t="shared" ref="Q45" si="51">SUM(Q30:Q44)</f>
        <v>1376.0375900000001</v>
      </c>
      <c r="R45" s="112">
        <f t="shared" ref="R45" si="52">SUM(R30:R44)</f>
        <v>121.5151</v>
      </c>
      <c r="S45" s="112">
        <f t="shared" ref="S45" si="53">SUM(S30:S44)</f>
        <v>125.70488000000002</v>
      </c>
      <c r="T45" s="112">
        <f t="shared" ref="T45" si="54">SUM(T30:T44)</f>
        <v>139.28441000000001</v>
      </c>
      <c r="U45" s="112">
        <f t="shared" ref="U45" si="55">SUM(U30:U44)</f>
        <v>169.39376000000001</v>
      </c>
      <c r="V45" s="112">
        <f t="shared" ref="V45" si="56">SUM(V30:V44)</f>
        <v>179.57191</v>
      </c>
      <c r="W45" s="112">
        <f t="shared" ref="W45" si="57">SUM(W30:W44)</f>
        <v>205.64961</v>
      </c>
      <c r="X45" s="112">
        <f t="shared" ref="X45" si="58">SUM(X30:X44)</f>
        <v>206.52219000000002</v>
      </c>
      <c r="Y45" s="112">
        <f t="shared" ref="Y45" si="59">SUM(Y30:Y44)</f>
        <v>204.16749999999999</v>
      </c>
      <c r="Z45" s="112">
        <f t="shared" ref="Z45" si="60">SUM(Z30:Z44)</f>
        <v>172.58197000000001</v>
      </c>
      <c r="AA45" s="112">
        <f t="shared" ref="AA45" si="61">SUM(AA30:AA44)</f>
        <v>149.03408000000002</v>
      </c>
      <c r="AB45" s="112">
        <f t="shared" ref="AB45" si="62">SUM(AB30:AB44)</f>
        <v>150.49911</v>
      </c>
      <c r="AC45" s="112">
        <f t="shared" ref="AC45" si="63">SUM(AC30:AC44)</f>
        <v>122.23012000000001</v>
      </c>
      <c r="AD45" s="133">
        <f t="shared" ref="AD45" si="64">SUM(AD30:AD44)</f>
        <v>1946.1546400000004</v>
      </c>
      <c r="AE45" s="112">
        <f t="shared" ref="AE45" si="65">SUM(AE30:AE44)</f>
        <v>127.52363999999999</v>
      </c>
      <c r="AF45" s="112">
        <f t="shared" ref="AF45" si="66">SUM(AF30:AF44)</f>
        <v>128.71096</v>
      </c>
      <c r="AG45" s="112">
        <f t="shared" ref="AG45" si="67">SUM(AG30:AG44)</f>
        <v>154.37443999999999</v>
      </c>
      <c r="AH45" s="112">
        <f t="shared" ref="AH45" si="68">SUM(AH30:AH44)</f>
        <v>180.38213999999999</v>
      </c>
      <c r="AI45" s="112">
        <f t="shared" ref="AI45" si="69">SUM(AI30:AI44)</f>
        <v>173.05316999999999</v>
      </c>
      <c r="AJ45" s="112">
        <f t="shared" ref="AJ45" si="70">SUM(AJ30:AJ44)</f>
        <v>206.0264</v>
      </c>
      <c r="AK45" s="112">
        <f t="shared" ref="AK45" si="71">SUM(AK30:AK44)</f>
        <v>204.11108000000002</v>
      </c>
      <c r="AL45" s="112">
        <f t="shared" ref="AL45" si="72">SUM(AL30:AL44)</f>
        <v>179.90496999999999</v>
      </c>
      <c r="AM45" s="112">
        <f t="shared" ref="AM45" si="73">SUM(AM30:AM44)</f>
        <v>193.30509999999998</v>
      </c>
      <c r="AN45" s="112">
        <f t="shared" ref="AN45" si="74">SUM(AN30:AN44)</f>
        <v>176.64857000000001</v>
      </c>
      <c r="AO45" s="133">
        <f t="shared" ref="AO45" si="75">SUM(AO30:AO44)</f>
        <v>1724.0404700000001</v>
      </c>
      <c r="AP45" s="125">
        <f t="shared" ref="AP45" si="76">SUM(AP30:AP44)</f>
        <v>1996.7697000000003</v>
      </c>
    </row>
    <row r="46" spans="2:42" s="39" customFormat="1" ht="11.25" outlineLevel="1" x14ac:dyDescent="0.2">
      <c r="B46" s="39" t="s">
        <v>212</v>
      </c>
      <c r="E46" s="110">
        <f>+'1. Income Statement'!E9-'6. Billing by Customer'!E45</f>
        <v>9.9999999889632818E-6</v>
      </c>
      <c r="F46" s="110">
        <f>+'1. Income Statement'!F9-'6. Billing by Customer'!F45</f>
        <v>-1.0000000003174137E-5</v>
      </c>
      <c r="G46" s="110">
        <f>+'1. Income Statement'!G9-'6. Billing by Customer'!G45</f>
        <v>0</v>
      </c>
      <c r="H46" s="110">
        <f>+'1. Income Statement'!H9-'6. Billing by Customer'!H45</f>
        <v>0</v>
      </c>
      <c r="I46" s="110">
        <f>+'1. Income Statement'!I9-'6. Billing by Customer'!I45</f>
        <v>9.9999999747524271E-6</v>
      </c>
      <c r="J46" s="110">
        <f>+'1. Income Statement'!J9-'6. Billing by Customer'!J45</f>
        <v>-9.9999999747524271E-6</v>
      </c>
      <c r="K46" s="110">
        <f>+'1. Income Statement'!K9-'6. Billing by Customer'!K45</f>
        <v>0</v>
      </c>
      <c r="L46" s="110">
        <f>+'1. Income Statement'!L9-'6. Billing by Customer'!L45</f>
        <v>0</v>
      </c>
      <c r="M46" s="110">
        <f>+'1. Income Statement'!M9-'6. Billing by Customer'!M45</f>
        <v>0</v>
      </c>
      <c r="N46" s="110">
        <f>+'1. Income Statement'!N9-'6. Billing by Customer'!N45</f>
        <v>0</v>
      </c>
      <c r="O46" s="110">
        <f>+'1. Income Statement'!O9-'6. Billing by Customer'!O45</f>
        <v>1.0000000003174137E-5</v>
      </c>
      <c r="P46" s="110">
        <f>+'1. Income Statement'!P9-'6. Billing by Customer'!P45</f>
        <v>9.9999999889632818E-6</v>
      </c>
      <c r="Q46" s="110">
        <f>+'1. Income Statement'!Q9-'6. Billing by Customer'!Q45</f>
        <v>1.9999999949504854E-5</v>
      </c>
      <c r="R46" s="110">
        <f>+'1. Income Statement'!R9-'6. Billing by Customer'!R45</f>
        <v>0</v>
      </c>
      <c r="S46" s="110">
        <f>+'1. Income Statement'!S9-'6. Billing by Customer'!S45</f>
        <v>0</v>
      </c>
      <c r="T46" s="110">
        <f>+'1. Income Statement'!T9-'6. Billing by Customer'!T45</f>
        <v>0</v>
      </c>
      <c r="U46" s="110">
        <f>+'1. Income Statement'!U9-'6. Billing by Customer'!U45</f>
        <v>0</v>
      </c>
      <c r="V46" s="110">
        <f>+'1. Income Statement'!V9-'6. Billing by Customer'!V45</f>
        <v>0</v>
      </c>
      <c r="W46" s="110">
        <f>+'1. Income Statement'!W9-'6. Billing by Customer'!W45</f>
        <v>1.0000000003174137E-5</v>
      </c>
      <c r="X46" s="110">
        <f>+'1. Income Statement'!X9-'6. Billing by Customer'!X45</f>
        <v>0</v>
      </c>
      <c r="Y46" s="110">
        <f>+'1. Income Statement'!Y9-'6. Billing by Customer'!Y45</f>
        <v>0</v>
      </c>
      <c r="Z46" s="110">
        <f>+'1. Income Statement'!Z9-'6. Billing by Customer'!Z45</f>
        <v>1.0000000003174137E-5</v>
      </c>
      <c r="AA46" s="110">
        <f>+'1. Income Statement'!AA9-'6. Billing by Customer'!AA45</f>
        <v>0</v>
      </c>
      <c r="AB46" s="110">
        <f>+'1. Income Statement'!AB9-'6. Billing by Customer'!AB45</f>
        <v>0</v>
      </c>
      <c r="AC46" s="110">
        <f>+'1. Income Statement'!AC9-'6. Billing by Customer'!AC45</f>
        <v>0</v>
      </c>
      <c r="AD46" s="110">
        <f>+'1. Income Statement'!AD9-'6. Billing by Customer'!AD45</f>
        <v>1.9999999494757503E-5</v>
      </c>
      <c r="AE46" s="110">
        <f>+'1. Income Statement'!AE9-'6. Billing by Customer'!AE45</f>
        <v>0</v>
      </c>
      <c r="AF46" s="110">
        <f>+'1. Income Statement'!AF9-'6. Billing by Customer'!AF45</f>
        <v>0</v>
      </c>
      <c r="AG46" s="110">
        <f>+'1. Income Statement'!AG9-'6. Billing by Customer'!AG45</f>
        <v>-1.0000000003174137E-5</v>
      </c>
      <c r="AH46" s="110">
        <f>+'1. Income Statement'!AH9-'6. Billing by Customer'!AH45</f>
        <v>0</v>
      </c>
      <c r="AI46" s="110">
        <f>+'1. Income Statement'!AI9-'6. Billing by Customer'!AI45</f>
        <v>1.0000000003174137E-5</v>
      </c>
      <c r="AJ46" s="110">
        <f>+'1. Income Statement'!AJ9-'6. Billing by Customer'!AJ45</f>
        <v>-9.9999999747524271E-6</v>
      </c>
      <c r="AK46" s="110">
        <f>+'1. Income Statement'!AK9-'6. Billing by Customer'!AK45</f>
        <v>0</v>
      </c>
      <c r="AL46" s="110">
        <f>+'1. Income Statement'!AL9-'6. Billing by Customer'!AL45</f>
        <v>1.0000000031595846E-5</v>
      </c>
      <c r="AM46" s="110">
        <f>+'1. Income Statement'!AM9-'6. Billing by Customer'!AM45</f>
        <v>1.0000000003174137E-5</v>
      </c>
      <c r="AN46" s="110">
        <f>+'1. Income Statement'!AN9-'6. Billing by Customer'!AN45</f>
        <v>0</v>
      </c>
      <c r="AO46" s="110">
        <f>+'1. Income Statement'!AO9-'6. Billing by Customer'!AO45</f>
        <v>9.9999999747524271E-6</v>
      </c>
      <c r="AP46" s="110">
        <f>+'1. Income Statement'!AP9-'6. Billing by Customer'!AP45</f>
        <v>9.9999997473787516E-6</v>
      </c>
    </row>
    <row r="48" spans="2:42" x14ac:dyDescent="0.2">
      <c r="B48" s="139" t="s">
        <v>6</v>
      </c>
    </row>
    <row r="49" spans="2:42" x14ac:dyDescent="0.2">
      <c r="B49" s="126" t="s">
        <v>68</v>
      </c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27" t="s">
        <v>63</v>
      </c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27" t="s">
        <v>63</v>
      </c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27" t="s">
        <v>64</v>
      </c>
      <c r="AP49" s="128" t="s">
        <v>65</v>
      </c>
    </row>
    <row r="50" spans="2:42" x14ac:dyDescent="0.2">
      <c r="B50" s="23" t="s">
        <v>246</v>
      </c>
      <c r="C50" s="129"/>
      <c r="D50" s="129"/>
      <c r="E50" s="130">
        <v>44957</v>
      </c>
      <c r="F50" s="130">
        <f>EOMONTH(E50,1)</f>
        <v>44985</v>
      </c>
      <c r="G50" s="130">
        <f t="shared" ref="G50" si="77">EOMONTH(F50,1)</f>
        <v>45016</v>
      </c>
      <c r="H50" s="130">
        <f t="shared" ref="H50" si="78">EOMONTH(G50,1)</f>
        <v>45046</v>
      </c>
      <c r="I50" s="130">
        <f t="shared" ref="I50" si="79">EOMONTH(H50,1)</f>
        <v>45077</v>
      </c>
      <c r="J50" s="130">
        <f t="shared" ref="J50" si="80">EOMONTH(I50,1)</f>
        <v>45107</v>
      </c>
      <c r="K50" s="130">
        <f t="shared" ref="K50" si="81">EOMONTH(J50,1)</f>
        <v>45138</v>
      </c>
      <c r="L50" s="130">
        <f t="shared" ref="L50" si="82">EOMONTH(K50,1)</f>
        <v>45169</v>
      </c>
      <c r="M50" s="130">
        <f t="shared" ref="M50" si="83">EOMONTH(L50,1)</f>
        <v>45199</v>
      </c>
      <c r="N50" s="130">
        <f t="shared" ref="N50" si="84">EOMONTH(M50,1)</f>
        <v>45230</v>
      </c>
      <c r="O50" s="130">
        <f t="shared" ref="O50" si="85">EOMONTH(N50,1)</f>
        <v>45260</v>
      </c>
      <c r="P50" s="130">
        <f t="shared" ref="P50" si="86">EOMONTH(O50,1)</f>
        <v>45291</v>
      </c>
      <c r="Q50" s="131">
        <f>YEAR(P50)</f>
        <v>2023</v>
      </c>
      <c r="R50" s="130">
        <f>EOMONTH(P50,1)</f>
        <v>45322</v>
      </c>
      <c r="S50" s="130">
        <f>EOMONTH(R50,1)</f>
        <v>45351</v>
      </c>
      <c r="T50" s="130">
        <f t="shared" ref="T50" si="87">EOMONTH(S50,1)</f>
        <v>45382</v>
      </c>
      <c r="U50" s="130">
        <f t="shared" ref="U50" si="88">EOMONTH(T50,1)</f>
        <v>45412</v>
      </c>
      <c r="V50" s="130">
        <f t="shared" ref="V50" si="89">EOMONTH(U50,1)</f>
        <v>45443</v>
      </c>
      <c r="W50" s="130">
        <f t="shared" ref="W50" si="90">EOMONTH(V50,1)</f>
        <v>45473</v>
      </c>
      <c r="X50" s="130">
        <f t="shared" ref="X50" si="91">EOMONTH(W50,1)</f>
        <v>45504</v>
      </c>
      <c r="Y50" s="130">
        <f t="shared" ref="Y50" si="92">EOMONTH(X50,1)</f>
        <v>45535</v>
      </c>
      <c r="Z50" s="130">
        <f t="shared" ref="Z50" si="93">EOMONTH(Y50,1)</f>
        <v>45565</v>
      </c>
      <c r="AA50" s="130">
        <f t="shared" ref="AA50" si="94">EOMONTH(Z50,1)</f>
        <v>45596</v>
      </c>
      <c r="AB50" s="130">
        <f t="shared" ref="AB50" si="95">EOMONTH(AA50,1)</f>
        <v>45626</v>
      </c>
      <c r="AC50" s="130">
        <f t="shared" ref="AC50" si="96">EOMONTH(AB50,1)</f>
        <v>45657</v>
      </c>
      <c r="AD50" s="131">
        <f>YEAR(AC50)</f>
        <v>2024</v>
      </c>
      <c r="AE50" s="130">
        <f>EOMONTH(AC50,1)</f>
        <v>45688</v>
      </c>
      <c r="AF50" s="130">
        <f>EOMONTH(AE50,1)</f>
        <v>45716</v>
      </c>
      <c r="AG50" s="130">
        <f t="shared" ref="AG50" si="97">EOMONTH(AF50,1)</f>
        <v>45747</v>
      </c>
      <c r="AH50" s="130">
        <f t="shared" ref="AH50" si="98">EOMONTH(AG50,1)</f>
        <v>45777</v>
      </c>
      <c r="AI50" s="130">
        <f t="shared" ref="AI50" si="99">EOMONTH(AH50,1)</f>
        <v>45808</v>
      </c>
      <c r="AJ50" s="130">
        <f t="shared" ref="AJ50" si="100">EOMONTH(AI50,1)</f>
        <v>45838</v>
      </c>
      <c r="AK50" s="130">
        <f t="shared" ref="AK50" si="101">EOMONTH(AJ50,1)</f>
        <v>45869</v>
      </c>
      <c r="AL50" s="130">
        <f t="shared" ref="AL50" si="102">EOMONTH(AK50,1)</f>
        <v>45900</v>
      </c>
      <c r="AM50" s="130">
        <f t="shared" ref="AM50" si="103">EOMONTH(AL50,1)</f>
        <v>45930</v>
      </c>
      <c r="AN50" s="130">
        <f t="shared" ref="AN50" si="104">EOMONTH(AM50,1)</f>
        <v>45961</v>
      </c>
      <c r="AO50" s="132">
        <f>+AN50</f>
        <v>45961</v>
      </c>
      <c r="AP50" s="37">
        <f>+AO50</f>
        <v>45961</v>
      </c>
    </row>
    <row r="51" spans="2:42" x14ac:dyDescent="0.2">
      <c r="B51" s="134" t="s">
        <v>261</v>
      </c>
      <c r="C51" s="135"/>
      <c r="D51" s="135"/>
      <c r="E51" s="136">
        <v>0</v>
      </c>
      <c r="F51" s="136">
        <v>0</v>
      </c>
      <c r="G51" s="136">
        <v>0</v>
      </c>
      <c r="H51" s="136">
        <v>0</v>
      </c>
      <c r="I51" s="136">
        <v>0</v>
      </c>
      <c r="J51" s="136">
        <v>17.100930000000002</v>
      </c>
      <c r="K51" s="136">
        <v>0</v>
      </c>
      <c r="L51" s="136">
        <v>0</v>
      </c>
      <c r="M51" s="136">
        <v>0</v>
      </c>
      <c r="N51" s="136">
        <v>0</v>
      </c>
      <c r="O51" s="136">
        <v>59.316189999999999</v>
      </c>
      <c r="P51" s="136">
        <v>46.432270000000003</v>
      </c>
      <c r="Q51" s="137">
        <f>SUM(E51:P51)</f>
        <v>122.84939</v>
      </c>
      <c r="R51" s="136">
        <v>0</v>
      </c>
      <c r="S51" s="136">
        <v>0</v>
      </c>
      <c r="T51" s="136">
        <v>0</v>
      </c>
      <c r="U51" s="136">
        <v>0</v>
      </c>
      <c r="V51" s="136">
        <v>66.874679999999998</v>
      </c>
      <c r="W51" s="136">
        <v>92.138459999999995</v>
      </c>
      <c r="X51" s="136">
        <v>0</v>
      </c>
      <c r="Y51" s="136">
        <v>0</v>
      </c>
      <c r="Z51" s="136">
        <v>0</v>
      </c>
      <c r="AA51" s="136">
        <v>0</v>
      </c>
      <c r="AB51" s="136">
        <v>0</v>
      </c>
      <c r="AC51" s="136">
        <v>0</v>
      </c>
      <c r="AD51" s="137">
        <f>SUM(R51:AC51)</f>
        <v>159.01313999999999</v>
      </c>
      <c r="AE51" s="136">
        <v>24.144410000000004</v>
      </c>
      <c r="AF51" s="136">
        <v>0</v>
      </c>
      <c r="AG51" s="136">
        <v>4.2436099999999994</v>
      </c>
      <c r="AH51" s="136">
        <v>53.3125</v>
      </c>
      <c r="AI51" s="136">
        <v>0</v>
      </c>
      <c r="AJ51" s="136">
        <v>30.005749999999999</v>
      </c>
      <c r="AK51" s="136">
        <v>110.06385</v>
      </c>
      <c r="AL51" s="136">
        <v>80.101579999999998</v>
      </c>
      <c r="AM51" s="136">
        <v>0</v>
      </c>
      <c r="AN51" s="136">
        <v>13.356870000000001</v>
      </c>
      <c r="AO51" s="137">
        <f>SUM(AE51:AN51)</f>
        <v>315.22857000000005</v>
      </c>
      <c r="AP51" s="138">
        <f>SUM(AO51,AB51:AC51)</f>
        <v>315.22857000000005</v>
      </c>
    </row>
    <row r="52" spans="2:42" x14ac:dyDescent="0.2">
      <c r="B52" s="87" t="s">
        <v>254</v>
      </c>
      <c r="C52" s="93"/>
      <c r="D52" s="93"/>
      <c r="E52" s="119">
        <v>0</v>
      </c>
      <c r="F52" s="119">
        <v>19.93843</v>
      </c>
      <c r="G52" s="119">
        <v>0</v>
      </c>
      <c r="H52" s="119">
        <v>0</v>
      </c>
      <c r="I52" s="119">
        <v>0</v>
      </c>
      <c r="J52" s="119">
        <v>0</v>
      </c>
      <c r="K52" s="119">
        <v>0</v>
      </c>
      <c r="L52" s="119">
        <v>0</v>
      </c>
      <c r="M52" s="119">
        <v>48.675059999999995</v>
      </c>
      <c r="N52" s="119">
        <v>108.33408</v>
      </c>
      <c r="O52" s="119">
        <v>0</v>
      </c>
      <c r="P52" s="119">
        <v>0</v>
      </c>
      <c r="Q52" s="98">
        <f t="shared" ref="Q52:Q65" si="105">SUM(E52:P52)</f>
        <v>176.94756999999998</v>
      </c>
      <c r="R52" s="119">
        <v>0</v>
      </c>
      <c r="S52" s="119">
        <v>86.647639999999996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19">
        <v>35.595960000000005</v>
      </c>
      <c r="AC52" s="119">
        <v>38.720559999999999</v>
      </c>
      <c r="AD52" s="98">
        <f t="shared" ref="AD52:AD65" si="106">SUM(R52:AC52)</f>
        <v>160.96415999999999</v>
      </c>
      <c r="AE52" s="119">
        <v>0</v>
      </c>
      <c r="AF52" s="119">
        <v>0</v>
      </c>
      <c r="AG52" s="119">
        <v>0</v>
      </c>
      <c r="AH52" s="119">
        <v>0</v>
      </c>
      <c r="AI52" s="119">
        <v>0</v>
      </c>
      <c r="AJ52" s="119">
        <v>100.57073000000001</v>
      </c>
      <c r="AK52" s="119">
        <v>0</v>
      </c>
      <c r="AL52" s="119">
        <v>10.048530000000001</v>
      </c>
      <c r="AM52" s="119">
        <v>34.310370000000006</v>
      </c>
      <c r="AN52" s="119">
        <v>0</v>
      </c>
      <c r="AO52" s="98">
        <f t="shared" ref="AO52:AO65" si="107">SUM(AE52:AN52)</f>
        <v>144.92963000000003</v>
      </c>
      <c r="AP52" s="96">
        <f t="shared" ref="AP52:AP65" si="108">SUM(AO52,AB52:AC52)</f>
        <v>219.24615000000003</v>
      </c>
    </row>
    <row r="53" spans="2:42" x14ac:dyDescent="0.2">
      <c r="B53" s="134" t="s">
        <v>255</v>
      </c>
      <c r="C53" s="135"/>
      <c r="D53" s="135"/>
      <c r="E53" s="136">
        <v>1.9824200000000001</v>
      </c>
      <c r="F53" s="136">
        <v>0</v>
      </c>
      <c r="G53" s="136">
        <v>0</v>
      </c>
      <c r="H53" s="136">
        <v>0</v>
      </c>
      <c r="I53" s="136">
        <v>0</v>
      </c>
      <c r="J53" s="136">
        <v>55.601150000000004</v>
      </c>
      <c r="K53" s="136">
        <v>0</v>
      </c>
      <c r="L53" s="136">
        <v>0</v>
      </c>
      <c r="M53" s="136">
        <v>0</v>
      </c>
      <c r="N53" s="136">
        <v>0</v>
      </c>
      <c r="O53" s="136">
        <v>0</v>
      </c>
      <c r="P53" s="136">
        <v>0</v>
      </c>
      <c r="Q53" s="137">
        <f t="shared" si="105"/>
        <v>57.583570000000002</v>
      </c>
      <c r="R53" s="136">
        <v>0</v>
      </c>
      <c r="S53" s="136">
        <v>0</v>
      </c>
      <c r="T53" s="136">
        <v>0</v>
      </c>
      <c r="U53" s="136">
        <v>0</v>
      </c>
      <c r="V53" s="136">
        <v>2.7471799999999997</v>
      </c>
      <c r="W53" s="136">
        <v>0</v>
      </c>
      <c r="X53" s="136">
        <v>0</v>
      </c>
      <c r="Y53" s="136">
        <v>0</v>
      </c>
      <c r="Z53" s="136">
        <v>0</v>
      </c>
      <c r="AA53" s="136">
        <v>0</v>
      </c>
      <c r="AB53" s="136">
        <v>0</v>
      </c>
      <c r="AC53" s="136">
        <v>0</v>
      </c>
      <c r="AD53" s="137">
        <f t="shared" si="106"/>
        <v>2.7471799999999997</v>
      </c>
      <c r="AE53" s="136">
        <v>0</v>
      </c>
      <c r="AF53" s="136">
        <v>97.323340000000002</v>
      </c>
      <c r="AG53" s="136">
        <v>0</v>
      </c>
      <c r="AH53" s="136">
        <v>56.793770000000002</v>
      </c>
      <c r="AI53" s="136">
        <v>0</v>
      </c>
      <c r="AJ53" s="136">
        <v>0</v>
      </c>
      <c r="AK53" s="136">
        <v>0</v>
      </c>
      <c r="AL53" s="136">
        <v>0</v>
      </c>
      <c r="AM53" s="136">
        <v>0</v>
      </c>
      <c r="AN53" s="136">
        <v>0</v>
      </c>
      <c r="AO53" s="137">
        <f t="shared" si="107"/>
        <v>154.11711</v>
      </c>
      <c r="AP53" s="138">
        <f t="shared" si="108"/>
        <v>154.11711</v>
      </c>
    </row>
    <row r="54" spans="2:42" x14ac:dyDescent="0.2">
      <c r="B54" s="87" t="s">
        <v>252</v>
      </c>
      <c r="C54" s="93"/>
      <c r="D54" s="93"/>
      <c r="E54" s="119">
        <v>0</v>
      </c>
      <c r="F54" s="119">
        <v>0</v>
      </c>
      <c r="G54" s="119">
        <v>0</v>
      </c>
      <c r="H54" s="119">
        <v>0</v>
      </c>
      <c r="I54" s="119">
        <v>101.76325</v>
      </c>
      <c r="J54" s="119">
        <v>0</v>
      </c>
      <c r="K54" s="119">
        <v>42.226949999999995</v>
      </c>
      <c r="L54" s="119">
        <v>0</v>
      </c>
      <c r="M54" s="119">
        <v>0</v>
      </c>
      <c r="N54" s="119">
        <v>0</v>
      </c>
      <c r="O54" s="119">
        <v>0</v>
      </c>
      <c r="P54" s="119">
        <v>0</v>
      </c>
      <c r="Q54" s="98">
        <f t="shared" si="105"/>
        <v>143.99019999999999</v>
      </c>
      <c r="R54" s="119">
        <v>74.87191</v>
      </c>
      <c r="S54" s="119">
        <v>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19">
        <v>50.710320000000003</v>
      </c>
      <c r="AC54" s="119">
        <v>54.322249999999997</v>
      </c>
      <c r="AD54" s="98">
        <f t="shared" si="106"/>
        <v>179.90448000000001</v>
      </c>
      <c r="AE54" s="119">
        <v>21.40738</v>
      </c>
      <c r="AF54" s="119">
        <v>0</v>
      </c>
      <c r="AG54" s="119">
        <v>0</v>
      </c>
      <c r="AH54" s="119">
        <v>0</v>
      </c>
      <c r="AI54" s="119">
        <v>0</v>
      </c>
      <c r="AJ54" s="119">
        <v>0</v>
      </c>
      <c r="AK54" s="119">
        <v>1.52094</v>
      </c>
      <c r="AL54" s="119">
        <v>0</v>
      </c>
      <c r="AM54" s="119">
        <v>0</v>
      </c>
      <c r="AN54" s="119">
        <v>0</v>
      </c>
      <c r="AO54" s="98">
        <f t="shared" si="107"/>
        <v>22.928319999999999</v>
      </c>
      <c r="AP54" s="96">
        <f t="shared" si="108"/>
        <v>127.96089000000001</v>
      </c>
    </row>
    <row r="55" spans="2:42" x14ac:dyDescent="0.2">
      <c r="B55" s="134" t="s">
        <v>259</v>
      </c>
      <c r="C55" s="135"/>
      <c r="D55" s="135"/>
      <c r="E55" s="136">
        <v>0</v>
      </c>
      <c r="F55" s="136">
        <v>43.87097</v>
      </c>
      <c r="G55" s="136">
        <v>0</v>
      </c>
      <c r="H55" s="136">
        <v>0</v>
      </c>
      <c r="I55" s="136">
        <v>0</v>
      </c>
      <c r="J55" s="136">
        <v>0</v>
      </c>
      <c r="K55" s="136">
        <v>0</v>
      </c>
      <c r="L55" s="136">
        <v>0</v>
      </c>
      <c r="M55" s="136">
        <v>0</v>
      </c>
      <c r="N55" s="136">
        <v>0</v>
      </c>
      <c r="O55" s="136">
        <v>0</v>
      </c>
      <c r="P55" s="136">
        <v>0</v>
      </c>
      <c r="Q55" s="137">
        <f t="shared" si="105"/>
        <v>43.87097</v>
      </c>
      <c r="R55" s="136">
        <v>0</v>
      </c>
      <c r="S55" s="136">
        <v>0</v>
      </c>
      <c r="T55" s="136">
        <v>0</v>
      </c>
      <c r="U55" s="136">
        <v>0</v>
      </c>
      <c r="V55" s="136">
        <v>0</v>
      </c>
      <c r="W55" s="136">
        <v>0</v>
      </c>
      <c r="X55" s="136">
        <v>0</v>
      </c>
      <c r="Y55" s="136">
        <v>0</v>
      </c>
      <c r="Z55" s="136">
        <v>0</v>
      </c>
      <c r="AA55" s="136">
        <v>14.224159999999999</v>
      </c>
      <c r="AB55" s="136">
        <v>0</v>
      </c>
      <c r="AC55" s="136">
        <v>0</v>
      </c>
      <c r="AD55" s="137">
        <f t="shared" si="106"/>
        <v>14.224159999999999</v>
      </c>
      <c r="AE55" s="136">
        <v>0</v>
      </c>
      <c r="AF55" s="136">
        <v>0</v>
      </c>
      <c r="AG55" s="136">
        <v>0</v>
      </c>
      <c r="AH55" s="136">
        <v>0</v>
      </c>
      <c r="AI55" s="136">
        <v>116.15572999999999</v>
      </c>
      <c r="AJ55" s="136">
        <v>0</v>
      </c>
      <c r="AK55" s="136">
        <v>0</v>
      </c>
      <c r="AL55" s="136">
        <v>0</v>
      </c>
      <c r="AM55" s="136">
        <v>0</v>
      </c>
      <c r="AN55" s="136">
        <v>0</v>
      </c>
      <c r="AO55" s="137">
        <f t="shared" si="107"/>
        <v>116.15572999999999</v>
      </c>
      <c r="AP55" s="138">
        <f t="shared" si="108"/>
        <v>116.15572999999999</v>
      </c>
    </row>
    <row r="56" spans="2:42" x14ac:dyDescent="0.2">
      <c r="B56" s="87" t="s">
        <v>257</v>
      </c>
      <c r="C56" s="93"/>
      <c r="D56" s="93"/>
      <c r="E56" s="119">
        <v>0</v>
      </c>
      <c r="F56" s="119">
        <v>0</v>
      </c>
      <c r="G56" s="119">
        <v>0</v>
      </c>
      <c r="H56" s="119">
        <v>0</v>
      </c>
      <c r="I56" s="119">
        <v>0</v>
      </c>
      <c r="J56" s="119">
        <v>0</v>
      </c>
      <c r="K56" s="119">
        <v>0</v>
      </c>
      <c r="L56" s="119">
        <v>0</v>
      </c>
      <c r="M56" s="119">
        <v>0</v>
      </c>
      <c r="N56" s="119">
        <v>0</v>
      </c>
      <c r="O56" s="119">
        <v>0</v>
      </c>
      <c r="P56" s="119">
        <v>27.750830000000001</v>
      </c>
      <c r="Q56" s="98">
        <f t="shared" si="105"/>
        <v>27.750830000000001</v>
      </c>
      <c r="R56" s="119">
        <v>0</v>
      </c>
      <c r="S56" s="119">
        <v>0</v>
      </c>
      <c r="T56" s="119">
        <v>0</v>
      </c>
      <c r="U56" s="119">
        <v>9.1102699999999999</v>
      </c>
      <c r="V56" s="119">
        <v>0</v>
      </c>
      <c r="W56" s="119">
        <v>0</v>
      </c>
      <c r="X56" s="119">
        <v>0</v>
      </c>
      <c r="Y56" s="119">
        <v>0</v>
      </c>
      <c r="Z56" s="119">
        <v>108.45174</v>
      </c>
      <c r="AA56" s="119">
        <v>0</v>
      </c>
      <c r="AB56" s="119">
        <v>0</v>
      </c>
      <c r="AC56" s="119">
        <v>0</v>
      </c>
      <c r="AD56" s="98">
        <f t="shared" si="106"/>
        <v>117.56201</v>
      </c>
      <c r="AE56" s="119">
        <v>0</v>
      </c>
      <c r="AF56" s="119">
        <v>0</v>
      </c>
      <c r="AG56" s="119">
        <v>90.897850000000005</v>
      </c>
      <c r="AH56" s="119">
        <v>0</v>
      </c>
      <c r="AI56" s="119">
        <v>0</v>
      </c>
      <c r="AJ56" s="119">
        <v>0</v>
      </c>
      <c r="AK56" s="119">
        <v>0</v>
      </c>
      <c r="AL56" s="119">
        <v>0</v>
      </c>
      <c r="AM56" s="119">
        <v>0</v>
      </c>
      <c r="AN56" s="119">
        <v>0</v>
      </c>
      <c r="AO56" s="98">
        <f t="shared" si="107"/>
        <v>90.897850000000005</v>
      </c>
      <c r="AP56" s="96">
        <f t="shared" si="108"/>
        <v>90.897850000000005</v>
      </c>
    </row>
    <row r="57" spans="2:42" x14ac:dyDescent="0.2">
      <c r="B57" s="134" t="s">
        <v>250</v>
      </c>
      <c r="C57" s="135"/>
      <c r="D57" s="135"/>
      <c r="E57" s="136">
        <v>0</v>
      </c>
      <c r="F57" s="136">
        <v>20.659689999999998</v>
      </c>
      <c r="G57" s="136">
        <v>0</v>
      </c>
      <c r="H57" s="136">
        <v>0</v>
      </c>
      <c r="I57" s="136">
        <v>0</v>
      </c>
      <c r="J57" s="136">
        <v>0</v>
      </c>
      <c r="K57" s="136">
        <v>87.54034</v>
      </c>
      <c r="L57" s="136">
        <v>0</v>
      </c>
      <c r="M57" s="136">
        <v>0</v>
      </c>
      <c r="N57" s="136">
        <v>0</v>
      </c>
      <c r="O57" s="136">
        <v>0</v>
      </c>
      <c r="P57" s="136">
        <v>3.0364599999999999</v>
      </c>
      <c r="Q57" s="137">
        <f t="shared" si="105"/>
        <v>111.23649</v>
      </c>
      <c r="R57" s="136">
        <v>10.475650000000002</v>
      </c>
      <c r="S57" s="136">
        <v>0</v>
      </c>
      <c r="T57" s="136">
        <v>0</v>
      </c>
      <c r="U57" s="136">
        <v>0</v>
      </c>
      <c r="V57" s="136">
        <v>47.759909999999998</v>
      </c>
      <c r="W57" s="136">
        <v>0</v>
      </c>
      <c r="X57" s="136">
        <v>38.116639999999997</v>
      </c>
      <c r="Y57" s="136">
        <v>0</v>
      </c>
      <c r="Z57" s="136">
        <v>0</v>
      </c>
      <c r="AA57" s="136">
        <v>0</v>
      </c>
      <c r="AB57" s="136">
        <v>0</v>
      </c>
      <c r="AC57" s="136">
        <v>0</v>
      </c>
      <c r="AD57" s="137">
        <f t="shared" si="106"/>
        <v>96.352199999999996</v>
      </c>
      <c r="AE57" s="136">
        <v>0</v>
      </c>
      <c r="AF57" s="136">
        <v>0</v>
      </c>
      <c r="AG57" s="136">
        <v>0</v>
      </c>
      <c r="AH57" s="136">
        <v>0</v>
      </c>
      <c r="AI57" s="136">
        <v>0</v>
      </c>
      <c r="AJ57" s="136">
        <v>0</v>
      </c>
      <c r="AK57" s="136">
        <v>0</v>
      </c>
      <c r="AL57" s="136">
        <v>29.980930000000001</v>
      </c>
      <c r="AM57" s="136">
        <v>0</v>
      </c>
      <c r="AN57" s="136">
        <v>57.916289999999996</v>
      </c>
      <c r="AO57" s="137">
        <f t="shared" si="107"/>
        <v>87.897220000000004</v>
      </c>
      <c r="AP57" s="138">
        <f t="shared" si="108"/>
        <v>87.897220000000004</v>
      </c>
    </row>
    <row r="58" spans="2:42" x14ac:dyDescent="0.2">
      <c r="B58" s="87" t="s">
        <v>248</v>
      </c>
      <c r="C58" s="93"/>
      <c r="D58" s="93"/>
      <c r="E58" s="119">
        <v>55.336760000000005</v>
      </c>
      <c r="F58" s="119">
        <v>0</v>
      </c>
      <c r="G58" s="119">
        <v>0</v>
      </c>
      <c r="H58" s="119">
        <v>0</v>
      </c>
      <c r="I58" s="119">
        <v>0</v>
      </c>
      <c r="J58" s="119">
        <v>0.80212000000000006</v>
      </c>
      <c r="K58" s="119">
        <v>0</v>
      </c>
      <c r="L58" s="119">
        <v>0</v>
      </c>
      <c r="M58" s="119">
        <v>20.779810000000001</v>
      </c>
      <c r="N58" s="119">
        <v>0</v>
      </c>
      <c r="O58" s="119">
        <v>0</v>
      </c>
      <c r="P58" s="119">
        <v>0</v>
      </c>
      <c r="Q58" s="98">
        <f t="shared" si="105"/>
        <v>76.918690000000012</v>
      </c>
      <c r="R58" s="119">
        <v>0</v>
      </c>
      <c r="S58" s="119">
        <v>0</v>
      </c>
      <c r="T58" s="119">
        <v>0</v>
      </c>
      <c r="U58" s="119">
        <v>0</v>
      </c>
      <c r="V58" s="119">
        <v>0</v>
      </c>
      <c r="W58" s="119">
        <v>27.564550000000001</v>
      </c>
      <c r="X58" s="119">
        <v>0</v>
      </c>
      <c r="Y58" s="119">
        <v>58.060230000000004</v>
      </c>
      <c r="Z58" s="119">
        <v>0</v>
      </c>
      <c r="AA58" s="119">
        <v>99.349890000000016</v>
      </c>
      <c r="AB58" s="119">
        <v>0</v>
      </c>
      <c r="AC58" s="119">
        <v>0</v>
      </c>
      <c r="AD58" s="98">
        <f t="shared" si="106"/>
        <v>184.97467</v>
      </c>
      <c r="AE58" s="119">
        <v>0</v>
      </c>
      <c r="AF58" s="119">
        <v>0</v>
      </c>
      <c r="AG58" s="119">
        <v>0</v>
      </c>
      <c r="AH58" s="119">
        <v>3.4424299999999999</v>
      </c>
      <c r="AI58" s="119">
        <v>0</v>
      </c>
      <c r="AJ58" s="119">
        <v>0</v>
      </c>
      <c r="AK58" s="119">
        <v>0</v>
      </c>
      <c r="AL58" s="119">
        <v>0</v>
      </c>
      <c r="AM58" s="119">
        <v>81.75</v>
      </c>
      <c r="AN58" s="119">
        <v>0</v>
      </c>
      <c r="AO58" s="98">
        <f t="shared" si="107"/>
        <v>85.192430000000002</v>
      </c>
      <c r="AP58" s="96">
        <f t="shared" si="108"/>
        <v>85.192430000000002</v>
      </c>
    </row>
    <row r="59" spans="2:42" x14ac:dyDescent="0.2">
      <c r="B59" s="134" t="s">
        <v>253</v>
      </c>
      <c r="C59" s="135"/>
      <c r="D59" s="135"/>
      <c r="E59" s="136">
        <v>0</v>
      </c>
      <c r="F59" s="136">
        <v>2.0787100000000001</v>
      </c>
      <c r="G59" s="136">
        <v>0</v>
      </c>
      <c r="H59" s="136">
        <v>0</v>
      </c>
      <c r="I59" s="136">
        <v>0</v>
      </c>
      <c r="J59" s="136">
        <v>14.658100000000001</v>
      </c>
      <c r="K59" s="136">
        <v>0</v>
      </c>
      <c r="L59" s="136">
        <v>0</v>
      </c>
      <c r="M59" s="136">
        <v>0</v>
      </c>
      <c r="N59" s="136">
        <v>0</v>
      </c>
      <c r="O59" s="136">
        <v>0</v>
      </c>
      <c r="P59" s="136">
        <v>0</v>
      </c>
      <c r="Q59" s="137">
        <f t="shared" si="105"/>
        <v>16.736810000000002</v>
      </c>
      <c r="R59" s="136">
        <v>0</v>
      </c>
      <c r="S59" s="136">
        <v>0</v>
      </c>
      <c r="T59" s="136">
        <v>0</v>
      </c>
      <c r="U59" s="136">
        <v>96.617679999999993</v>
      </c>
      <c r="V59" s="136">
        <v>0</v>
      </c>
      <c r="W59" s="136">
        <v>0</v>
      </c>
      <c r="X59" s="136">
        <v>0</v>
      </c>
      <c r="Y59" s="136">
        <v>47.84695</v>
      </c>
      <c r="Z59" s="136">
        <v>0</v>
      </c>
      <c r="AA59" s="136">
        <v>0</v>
      </c>
      <c r="AB59" s="136">
        <v>0</v>
      </c>
      <c r="AC59" s="136">
        <v>0</v>
      </c>
      <c r="AD59" s="137">
        <f t="shared" si="106"/>
        <v>144.46463</v>
      </c>
      <c r="AE59" s="136">
        <v>14.833810000000001</v>
      </c>
      <c r="AF59" s="136">
        <v>0</v>
      </c>
      <c r="AG59" s="136">
        <v>0</v>
      </c>
      <c r="AH59" s="136">
        <v>0</v>
      </c>
      <c r="AI59" s="136">
        <v>0</v>
      </c>
      <c r="AJ59" s="136">
        <v>0</v>
      </c>
      <c r="AK59" s="136">
        <v>0</v>
      </c>
      <c r="AL59" s="136">
        <v>0</v>
      </c>
      <c r="AM59" s="136">
        <v>0</v>
      </c>
      <c r="AN59" s="136">
        <v>32.857239999999997</v>
      </c>
      <c r="AO59" s="137">
        <f t="shared" si="107"/>
        <v>47.691049999999997</v>
      </c>
      <c r="AP59" s="138">
        <f t="shared" si="108"/>
        <v>47.691049999999997</v>
      </c>
    </row>
    <row r="60" spans="2:42" x14ac:dyDescent="0.2">
      <c r="B60" s="87" t="s">
        <v>251</v>
      </c>
      <c r="C60" s="93"/>
      <c r="D60" s="93"/>
      <c r="E60" s="119">
        <v>20.28979</v>
      </c>
      <c r="F60" s="119">
        <v>0</v>
      </c>
      <c r="G60" s="119">
        <v>84.034519999999986</v>
      </c>
      <c r="H60" s="119">
        <v>100.14305</v>
      </c>
      <c r="I60" s="119">
        <v>0</v>
      </c>
      <c r="J60" s="119">
        <v>28.280660000000001</v>
      </c>
      <c r="K60" s="119">
        <v>0</v>
      </c>
      <c r="L60" s="119">
        <v>114.08081999999999</v>
      </c>
      <c r="M60" s="119">
        <v>12.38194</v>
      </c>
      <c r="N60" s="119">
        <v>0</v>
      </c>
      <c r="O60" s="119">
        <v>29.720739999999999</v>
      </c>
      <c r="P60" s="119">
        <v>0</v>
      </c>
      <c r="Q60" s="98">
        <f t="shared" si="105"/>
        <v>388.93151999999998</v>
      </c>
      <c r="R60" s="119">
        <v>0</v>
      </c>
      <c r="S60" s="119">
        <v>0</v>
      </c>
      <c r="T60" s="119">
        <v>0</v>
      </c>
      <c r="U60" s="119">
        <v>0</v>
      </c>
      <c r="V60" s="119">
        <v>0</v>
      </c>
      <c r="W60" s="119">
        <v>0</v>
      </c>
      <c r="X60" s="119">
        <v>79.148630000000011</v>
      </c>
      <c r="Y60" s="119">
        <v>24.929870000000001</v>
      </c>
      <c r="Z60" s="119">
        <v>0</v>
      </c>
      <c r="AA60" s="119">
        <v>0</v>
      </c>
      <c r="AB60" s="119">
        <v>12.03046</v>
      </c>
      <c r="AC60" s="119">
        <v>0</v>
      </c>
      <c r="AD60" s="98">
        <f t="shared" si="106"/>
        <v>116.10896000000002</v>
      </c>
      <c r="AE60" s="119">
        <v>28.000679999999999</v>
      </c>
      <c r="AF60" s="119">
        <v>0</v>
      </c>
      <c r="AG60" s="119">
        <v>0</v>
      </c>
      <c r="AH60" s="119">
        <v>0</v>
      </c>
      <c r="AI60" s="119">
        <v>0</v>
      </c>
      <c r="AJ60" s="119">
        <v>2.0195699999999999</v>
      </c>
      <c r="AK60" s="119">
        <v>0</v>
      </c>
      <c r="AL60" s="119">
        <v>0</v>
      </c>
      <c r="AM60" s="119">
        <v>0</v>
      </c>
      <c r="AN60" s="119">
        <v>0</v>
      </c>
      <c r="AO60" s="98">
        <f t="shared" si="107"/>
        <v>30.020249999999997</v>
      </c>
      <c r="AP60" s="96">
        <f t="shared" si="108"/>
        <v>42.050709999999995</v>
      </c>
    </row>
    <row r="61" spans="2:42" x14ac:dyDescent="0.2">
      <c r="B61" s="134" t="s">
        <v>247</v>
      </c>
      <c r="C61" s="135"/>
      <c r="D61" s="135"/>
      <c r="E61" s="136">
        <v>0</v>
      </c>
      <c r="F61" s="136">
        <v>0</v>
      </c>
      <c r="G61" s="136">
        <v>0</v>
      </c>
      <c r="H61" s="136">
        <v>0</v>
      </c>
      <c r="I61" s="136">
        <v>0</v>
      </c>
      <c r="J61" s="136">
        <v>0</v>
      </c>
      <c r="K61" s="136">
        <v>0</v>
      </c>
      <c r="L61" s="136">
        <v>0</v>
      </c>
      <c r="M61" s="136">
        <v>25.878070000000001</v>
      </c>
      <c r="N61" s="136">
        <v>0</v>
      </c>
      <c r="O61" s="136">
        <v>0</v>
      </c>
      <c r="P61" s="136">
        <v>0</v>
      </c>
      <c r="Q61" s="137">
        <f t="shared" si="105"/>
        <v>25.878070000000001</v>
      </c>
      <c r="R61" s="136">
        <v>0</v>
      </c>
      <c r="S61" s="136">
        <v>0</v>
      </c>
      <c r="T61" s="136">
        <v>94.090929999999986</v>
      </c>
      <c r="U61" s="136">
        <v>0</v>
      </c>
      <c r="V61" s="136">
        <v>0</v>
      </c>
      <c r="W61" s="136">
        <v>0</v>
      </c>
      <c r="X61" s="136">
        <v>0</v>
      </c>
      <c r="Y61" s="136">
        <v>0</v>
      </c>
      <c r="Z61" s="136">
        <v>0</v>
      </c>
      <c r="AA61" s="136">
        <v>0</v>
      </c>
      <c r="AB61" s="136">
        <v>0</v>
      </c>
      <c r="AC61" s="136">
        <v>0</v>
      </c>
      <c r="AD61" s="137">
        <f t="shared" si="106"/>
        <v>94.090929999999986</v>
      </c>
      <c r="AE61" s="136">
        <v>0</v>
      </c>
      <c r="AF61" s="136">
        <v>0</v>
      </c>
      <c r="AG61" s="136">
        <v>0</v>
      </c>
      <c r="AH61" s="136">
        <v>0</v>
      </c>
      <c r="AI61" s="136">
        <v>0</v>
      </c>
      <c r="AJ61" s="136">
        <v>0</v>
      </c>
      <c r="AK61" s="136">
        <v>15.09403</v>
      </c>
      <c r="AL61" s="136">
        <v>0</v>
      </c>
      <c r="AM61" s="136">
        <v>0</v>
      </c>
      <c r="AN61" s="136">
        <v>0</v>
      </c>
      <c r="AO61" s="137">
        <f t="shared" si="107"/>
        <v>15.09403</v>
      </c>
      <c r="AP61" s="138">
        <f t="shared" si="108"/>
        <v>15.09403</v>
      </c>
    </row>
    <row r="62" spans="2:42" x14ac:dyDescent="0.2">
      <c r="B62" s="87" t="s">
        <v>249</v>
      </c>
      <c r="C62" s="93"/>
      <c r="D62" s="93"/>
      <c r="E62" s="119">
        <v>0</v>
      </c>
      <c r="F62" s="119">
        <v>0</v>
      </c>
      <c r="G62" s="119">
        <v>0</v>
      </c>
      <c r="H62" s="119">
        <v>0</v>
      </c>
      <c r="I62" s="119">
        <v>0</v>
      </c>
      <c r="J62" s="119">
        <v>0</v>
      </c>
      <c r="K62" s="119">
        <v>0</v>
      </c>
      <c r="L62" s="119">
        <v>0</v>
      </c>
      <c r="M62" s="119">
        <v>0</v>
      </c>
      <c r="N62" s="119">
        <v>0</v>
      </c>
      <c r="O62" s="119">
        <v>0</v>
      </c>
      <c r="P62" s="119">
        <v>0</v>
      </c>
      <c r="Q62" s="98">
        <f t="shared" si="105"/>
        <v>0</v>
      </c>
      <c r="R62" s="119">
        <v>0</v>
      </c>
      <c r="S62" s="119">
        <v>0</v>
      </c>
      <c r="T62" s="119">
        <v>0</v>
      </c>
      <c r="U62" s="119">
        <v>0</v>
      </c>
      <c r="V62" s="119">
        <v>0</v>
      </c>
      <c r="W62" s="119">
        <v>0</v>
      </c>
      <c r="X62" s="119">
        <v>0</v>
      </c>
      <c r="Y62" s="119">
        <v>0</v>
      </c>
      <c r="Z62" s="119">
        <v>0</v>
      </c>
      <c r="AA62" s="119">
        <v>0</v>
      </c>
      <c r="AB62" s="119">
        <v>0</v>
      </c>
      <c r="AC62" s="119">
        <v>0</v>
      </c>
      <c r="AD62" s="98">
        <f t="shared" si="106"/>
        <v>0</v>
      </c>
      <c r="AE62" s="119">
        <v>0</v>
      </c>
      <c r="AF62" s="119">
        <v>0</v>
      </c>
      <c r="AG62" s="119">
        <v>0</v>
      </c>
      <c r="AH62" s="119">
        <v>0</v>
      </c>
      <c r="AI62" s="119">
        <v>0</v>
      </c>
      <c r="AJ62" s="119">
        <v>0</v>
      </c>
      <c r="AK62" s="119">
        <v>0</v>
      </c>
      <c r="AL62" s="119">
        <v>0</v>
      </c>
      <c r="AM62" s="119">
        <v>0</v>
      </c>
      <c r="AN62" s="119">
        <v>0</v>
      </c>
      <c r="AO62" s="98">
        <f t="shared" si="107"/>
        <v>0</v>
      </c>
      <c r="AP62" s="96">
        <f t="shared" si="108"/>
        <v>0</v>
      </c>
    </row>
    <row r="63" spans="2:42" x14ac:dyDescent="0.2">
      <c r="B63" s="134" t="s">
        <v>258</v>
      </c>
      <c r="C63" s="135"/>
      <c r="D63" s="135"/>
      <c r="E63" s="136">
        <v>0</v>
      </c>
      <c r="F63" s="136">
        <v>0</v>
      </c>
      <c r="G63" s="136">
        <v>0</v>
      </c>
      <c r="H63" s="136">
        <v>0</v>
      </c>
      <c r="I63" s="136">
        <v>0</v>
      </c>
      <c r="J63" s="136">
        <v>0</v>
      </c>
      <c r="K63" s="136">
        <v>0</v>
      </c>
      <c r="L63" s="136">
        <v>0</v>
      </c>
      <c r="M63" s="136">
        <v>0</v>
      </c>
      <c r="N63" s="136">
        <v>0</v>
      </c>
      <c r="O63" s="136">
        <v>0</v>
      </c>
      <c r="P63" s="136">
        <v>0</v>
      </c>
      <c r="Q63" s="137">
        <f t="shared" si="105"/>
        <v>0</v>
      </c>
      <c r="R63" s="136">
        <v>0</v>
      </c>
      <c r="S63" s="136">
        <v>0</v>
      </c>
      <c r="T63" s="136">
        <v>0</v>
      </c>
      <c r="U63" s="136">
        <v>0</v>
      </c>
      <c r="V63" s="136">
        <v>0</v>
      </c>
      <c r="W63" s="136">
        <v>0</v>
      </c>
      <c r="X63" s="136">
        <v>0</v>
      </c>
      <c r="Y63" s="136">
        <v>0</v>
      </c>
      <c r="Z63" s="136">
        <v>0</v>
      </c>
      <c r="AA63" s="136">
        <v>0</v>
      </c>
      <c r="AB63" s="136">
        <v>0</v>
      </c>
      <c r="AC63" s="136">
        <v>0</v>
      </c>
      <c r="AD63" s="137">
        <f t="shared" si="106"/>
        <v>0</v>
      </c>
      <c r="AE63" s="136">
        <v>0</v>
      </c>
      <c r="AF63" s="136">
        <v>0</v>
      </c>
      <c r="AG63" s="136">
        <v>0</v>
      </c>
      <c r="AH63" s="136">
        <v>0</v>
      </c>
      <c r="AI63" s="136">
        <v>0</v>
      </c>
      <c r="AJ63" s="136">
        <v>0</v>
      </c>
      <c r="AK63" s="136">
        <v>0</v>
      </c>
      <c r="AL63" s="136">
        <v>0</v>
      </c>
      <c r="AM63" s="136">
        <v>0</v>
      </c>
      <c r="AN63" s="136">
        <v>0</v>
      </c>
      <c r="AO63" s="137">
        <f t="shared" si="107"/>
        <v>0</v>
      </c>
      <c r="AP63" s="138">
        <f t="shared" si="108"/>
        <v>0</v>
      </c>
    </row>
    <row r="64" spans="2:42" x14ac:dyDescent="0.2">
      <c r="B64" s="87" t="s">
        <v>256</v>
      </c>
      <c r="C64" s="93"/>
      <c r="D64" s="93"/>
      <c r="E64" s="119">
        <v>0</v>
      </c>
      <c r="F64" s="119">
        <v>0</v>
      </c>
      <c r="G64" s="119">
        <v>0</v>
      </c>
      <c r="H64" s="119">
        <v>0</v>
      </c>
      <c r="I64" s="119">
        <v>0</v>
      </c>
      <c r="J64" s="119">
        <v>0</v>
      </c>
      <c r="K64" s="119">
        <v>0</v>
      </c>
      <c r="L64" s="119">
        <v>0</v>
      </c>
      <c r="M64" s="119">
        <v>0</v>
      </c>
      <c r="N64" s="119">
        <v>0</v>
      </c>
      <c r="O64" s="119">
        <v>0</v>
      </c>
      <c r="P64" s="119">
        <v>0</v>
      </c>
      <c r="Q64" s="98">
        <f t="shared" si="105"/>
        <v>0</v>
      </c>
      <c r="R64" s="119">
        <v>0</v>
      </c>
      <c r="S64" s="119">
        <v>0</v>
      </c>
      <c r="T64" s="119">
        <v>0</v>
      </c>
      <c r="U64" s="119">
        <v>0</v>
      </c>
      <c r="V64" s="119">
        <v>0</v>
      </c>
      <c r="W64" s="119">
        <v>0</v>
      </c>
      <c r="X64" s="119">
        <v>0</v>
      </c>
      <c r="Y64" s="119">
        <v>0</v>
      </c>
      <c r="Z64" s="119">
        <v>0</v>
      </c>
      <c r="AA64" s="119">
        <v>0</v>
      </c>
      <c r="AB64" s="119">
        <v>0</v>
      </c>
      <c r="AC64" s="119">
        <v>0</v>
      </c>
      <c r="AD64" s="98">
        <f t="shared" si="106"/>
        <v>0</v>
      </c>
      <c r="AE64" s="119">
        <v>0</v>
      </c>
      <c r="AF64" s="119">
        <v>0</v>
      </c>
      <c r="AG64" s="119">
        <v>0</v>
      </c>
      <c r="AH64" s="119">
        <v>0</v>
      </c>
      <c r="AI64" s="119">
        <v>0</v>
      </c>
      <c r="AJ64" s="119">
        <v>0</v>
      </c>
      <c r="AK64" s="119">
        <v>0</v>
      </c>
      <c r="AL64" s="119">
        <v>0</v>
      </c>
      <c r="AM64" s="119">
        <v>0</v>
      </c>
      <c r="AN64" s="119">
        <v>0</v>
      </c>
      <c r="AO64" s="98">
        <f t="shared" si="107"/>
        <v>0</v>
      </c>
      <c r="AP64" s="96">
        <f t="shared" si="108"/>
        <v>0</v>
      </c>
    </row>
    <row r="65" spans="2:42" x14ac:dyDescent="0.2">
      <c r="B65" s="134" t="s">
        <v>260</v>
      </c>
      <c r="C65" s="135"/>
      <c r="D65" s="135"/>
      <c r="E65" s="136">
        <v>0</v>
      </c>
      <c r="F65" s="136">
        <v>0</v>
      </c>
      <c r="G65" s="136">
        <v>0</v>
      </c>
      <c r="H65" s="136">
        <v>0</v>
      </c>
      <c r="I65" s="136">
        <v>0</v>
      </c>
      <c r="J65" s="136">
        <v>0</v>
      </c>
      <c r="K65" s="136">
        <v>0</v>
      </c>
      <c r="L65" s="136">
        <v>0</v>
      </c>
      <c r="M65" s="136">
        <v>0</v>
      </c>
      <c r="N65" s="136">
        <v>0</v>
      </c>
      <c r="O65" s="136">
        <v>0</v>
      </c>
      <c r="P65" s="136">
        <v>0</v>
      </c>
      <c r="Q65" s="137">
        <f t="shared" si="105"/>
        <v>0</v>
      </c>
      <c r="R65" s="136">
        <v>0</v>
      </c>
      <c r="S65" s="136">
        <v>0</v>
      </c>
      <c r="T65" s="136">
        <v>0</v>
      </c>
      <c r="U65" s="136">
        <v>0</v>
      </c>
      <c r="V65" s="136">
        <v>0</v>
      </c>
      <c r="W65" s="136">
        <v>0</v>
      </c>
      <c r="X65" s="136">
        <v>0</v>
      </c>
      <c r="Y65" s="136">
        <v>0</v>
      </c>
      <c r="Z65" s="136">
        <v>0</v>
      </c>
      <c r="AA65" s="136">
        <v>0</v>
      </c>
      <c r="AB65" s="136">
        <v>0</v>
      </c>
      <c r="AC65" s="136">
        <v>0</v>
      </c>
      <c r="AD65" s="137">
        <f t="shared" si="106"/>
        <v>0</v>
      </c>
      <c r="AE65" s="136">
        <v>0</v>
      </c>
      <c r="AF65" s="136">
        <v>0</v>
      </c>
      <c r="AG65" s="136">
        <v>0</v>
      </c>
      <c r="AH65" s="136">
        <v>0</v>
      </c>
      <c r="AI65" s="136">
        <v>0</v>
      </c>
      <c r="AJ65" s="136">
        <v>0</v>
      </c>
      <c r="AK65" s="136">
        <v>0</v>
      </c>
      <c r="AL65" s="136">
        <v>0</v>
      </c>
      <c r="AM65" s="136">
        <v>0</v>
      </c>
      <c r="AN65" s="136">
        <v>0</v>
      </c>
      <c r="AO65" s="137">
        <f t="shared" si="107"/>
        <v>0</v>
      </c>
      <c r="AP65" s="138">
        <f t="shared" si="108"/>
        <v>0</v>
      </c>
    </row>
    <row r="66" spans="2:42" x14ac:dyDescent="0.2">
      <c r="B66" s="105" t="s">
        <v>245</v>
      </c>
      <c r="C66" s="106"/>
      <c r="D66" s="106"/>
      <c r="E66" s="112">
        <f>SUM(E51:E65)</f>
        <v>77.608969999999999</v>
      </c>
      <c r="F66" s="112">
        <f t="shared" ref="F66" si="109">SUM(F51:F65)</f>
        <v>86.547799999999995</v>
      </c>
      <c r="G66" s="112">
        <f t="shared" ref="G66" si="110">SUM(G51:G65)</f>
        <v>84.034519999999986</v>
      </c>
      <c r="H66" s="112">
        <f t="shared" ref="H66" si="111">SUM(H51:H65)</f>
        <v>100.14305</v>
      </c>
      <c r="I66" s="112">
        <f t="shared" ref="I66" si="112">SUM(I51:I65)</f>
        <v>101.76325</v>
      </c>
      <c r="J66" s="112">
        <f t="shared" ref="J66" si="113">SUM(J51:J65)</f>
        <v>116.44296000000001</v>
      </c>
      <c r="K66" s="112">
        <f t="shared" ref="K66" si="114">SUM(K51:K65)</f>
        <v>129.76729</v>
      </c>
      <c r="L66" s="112">
        <f t="shared" ref="L66" si="115">SUM(L51:L65)</f>
        <v>114.08081999999999</v>
      </c>
      <c r="M66" s="112">
        <f t="shared" ref="M66" si="116">SUM(M51:M65)</f>
        <v>107.71487999999999</v>
      </c>
      <c r="N66" s="112">
        <f t="shared" ref="N66" si="117">SUM(N51:N65)</f>
        <v>108.33408</v>
      </c>
      <c r="O66" s="112">
        <f t="shared" ref="O66" si="118">SUM(O51:O65)</f>
        <v>89.036929999999998</v>
      </c>
      <c r="P66" s="112">
        <f t="shared" ref="P66" si="119">SUM(P51:P65)</f>
        <v>77.219560000000001</v>
      </c>
      <c r="Q66" s="133">
        <f t="shared" ref="Q66" si="120">SUM(Q51:Q65)</f>
        <v>1192.6941099999999</v>
      </c>
      <c r="R66" s="112">
        <f t="shared" ref="R66" si="121">SUM(R51:R65)</f>
        <v>85.347560000000001</v>
      </c>
      <c r="S66" s="112">
        <f t="shared" ref="S66" si="122">SUM(S51:S65)</f>
        <v>86.647639999999996</v>
      </c>
      <c r="T66" s="112">
        <f t="shared" ref="T66" si="123">SUM(T51:T65)</f>
        <v>94.090929999999986</v>
      </c>
      <c r="U66" s="112">
        <f t="shared" ref="U66" si="124">SUM(U51:U65)</f>
        <v>105.72794999999999</v>
      </c>
      <c r="V66" s="112">
        <f t="shared" ref="V66" si="125">SUM(V51:V65)</f>
        <v>117.38176999999999</v>
      </c>
      <c r="W66" s="112">
        <f t="shared" ref="W66" si="126">SUM(W51:W65)</f>
        <v>119.70300999999999</v>
      </c>
      <c r="X66" s="112">
        <f t="shared" ref="X66" si="127">SUM(X51:X65)</f>
        <v>117.26527000000002</v>
      </c>
      <c r="Y66" s="112">
        <f t="shared" ref="Y66" si="128">SUM(Y51:Y65)</f>
        <v>130.83705</v>
      </c>
      <c r="Z66" s="112">
        <f t="shared" ref="Z66" si="129">SUM(Z51:Z65)</f>
        <v>108.45174</v>
      </c>
      <c r="AA66" s="112">
        <f t="shared" ref="AA66" si="130">SUM(AA51:AA65)</f>
        <v>113.57405000000001</v>
      </c>
      <c r="AB66" s="112">
        <f t="shared" ref="AB66" si="131">SUM(AB51:AB65)</f>
        <v>98.33674000000002</v>
      </c>
      <c r="AC66" s="112">
        <f t="shared" ref="AC66" si="132">SUM(AC51:AC65)</f>
        <v>93.042810000000003</v>
      </c>
      <c r="AD66" s="133">
        <f t="shared" ref="AD66" si="133">SUM(AD51:AD65)</f>
        <v>1270.40652</v>
      </c>
      <c r="AE66" s="112">
        <f t="shared" ref="AE66" si="134">SUM(AE51:AE65)</f>
        <v>88.386279999999999</v>
      </c>
      <c r="AF66" s="112">
        <f t="shared" ref="AF66" si="135">SUM(AF51:AF65)</f>
        <v>97.323340000000002</v>
      </c>
      <c r="AG66" s="112">
        <f t="shared" ref="AG66" si="136">SUM(AG51:AG65)</f>
        <v>95.141460000000009</v>
      </c>
      <c r="AH66" s="112">
        <f t="shared" ref="AH66" si="137">SUM(AH51:AH65)</f>
        <v>113.5487</v>
      </c>
      <c r="AI66" s="112">
        <f t="shared" ref="AI66" si="138">SUM(AI51:AI65)</f>
        <v>116.15572999999999</v>
      </c>
      <c r="AJ66" s="112">
        <f t="shared" ref="AJ66" si="139">SUM(AJ51:AJ65)</f>
        <v>132.59604999999999</v>
      </c>
      <c r="AK66" s="112">
        <f t="shared" ref="AK66" si="140">SUM(AK51:AK65)</f>
        <v>126.67882</v>
      </c>
      <c r="AL66" s="112">
        <f t="shared" ref="AL66" si="141">SUM(AL51:AL65)</f>
        <v>120.13104</v>
      </c>
      <c r="AM66" s="112">
        <f t="shared" ref="AM66" si="142">SUM(AM51:AM65)</f>
        <v>116.06037000000001</v>
      </c>
      <c r="AN66" s="112">
        <f t="shared" ref="AN66" si="143">SUM(AN51:AN65)</f>
        <v>104.13039999999998</v>
      </c>
      <c r="AO66" s="133">
        <f t="shared" ref="AO66" si="144">SUM(AO51:AO65)</f>
        <v>1110.15219</v>
      </c>
      <c r="AP66" s="125">
        <f t="shared" ref="AP66" si="145">SUM(AP51:AP65)</f>
        <v>1301.5317400000001</v>
      </c>
    </row>
    <row r="67" spans="2:42" s="39" customFormat="1" ht="11.25" outlineLevel="1" x14ac:dyDescent="0.2">
      <c r="B67" s="39" t="s">
        <v>212</v>
      </c>
      <c r="E67" s="110">
        <f>+'1. Income Statement'!E11-'6. Billing by Customer'!E66</f>
        <v>-9.9999999889632818E-6</v>
      </c>
      <c r="F67" s="110">
        <f>+'1. Income Statement'!F11-'6. Billing by Customer'!F66</f>
        <v>0</v>
      </c>
      <c r="G67" s="110">
        <f>+'1. Income Statement'!G11-'6. Billing by Customer'!G66</f>
        <v>0</v>
      </c>
      <c r="H67" s="110">
        <f>+'1. Income Statement'!H11-'6. Billing by Customer'!H66</f>
        <v>-1.0000000003174137E-5</v>
      </c>
      <c r="I67" s="110">
        <f>+'1. Income Statement'!I11-'6. Billing by Customer'!I66</f>
        <v>9.9999999889632818E-6</v>
      </c>
      <c r="J67" s="110">
        <f>+'1. Income Statement'!J11-'6. Billing by Customer'!J66</f>
        <v>-1.0000000017384991E-5</v>
      </c>
      <c r="K67" s="110">
        <f>+'1. Income Statement'!K11-'6. Billing by Customer'!K66</f>
        <v>0</v>
      </c>
      <c r="L67" s="110">
        <f>+'1. Income Statement'!L11-'6. Billing by Customer'!L66</f>
        <v>2.0000000006348273E-5</v>
      </c>
      <c r="M67" s="110">
        <f>+'1. Income Statement'!M11-'6. Billing by Customer'!M66</f>
        <v>1.0000000003174137E-5</v>
      </c>
      <c r="N67" s="110">
        <f>+'1. Income Statement'!N11-'6. Billing by Customer'!N66</f>
        <v>1.0000000003174137E-5</v>
      </c>
      <c r="O67" s="110">
        <f>+'1. Income Statement'!O11-'6. Billing by Customer'!O66</f>
        <v>1.0000000003174137E-5</v>
      </c>
      <c r="P67" s="110">
        <f>+'1. Income Statement'!P11-'6. Billing by Customer'!P66</f>
        <v>0</v>
      </c>
      <c r="Q67" s="110">
        <f>+'1. Income Statement'!Q11-'6. Billing by Customer'!Q66</f>
        <v>2.9999999924257281E-5</v>
      </c>
      <c r="R67" s="110">
        <f>+'1. Income Statement'!R11-'6. Billing by Customer'!R66</f>
        <v>-1.0000000003174137E-5</v>
      </c>
      <c r="S67" s="110">
        <f>+'1. Income Statement'!S11-'6. Billing by Customer'!S66</f>
        <v>0</v>
      </c>
      <c r="T67" s="110">
        <f>+'1. Income Statement'!T11-'6. Billing by Customer'!T66</f>
        <v>1.0000000017384991E-5</v>
      </c>
      <c r="U67" s="110">
        <f>+'1. Income Statement'!U11-'6. Billing by Customer'!U66</f>
        <v>0</v>
      </c>
      <c r="V67" s="110">
        <f>+'1. Income Statement'!V11-'6. Billing by Customer'!V66</f>
        <v>0</v>
      </c>
      <c r="W67" s="110">
        <f>+'1. Income Statement'!W11-'6. Billing by Customer'!W66</f>
        <v>1.0000000017384991E-5</v>
      </c>
      <c r="X67" s="110">
        <f>+'1. Income Statement'!X11-'6. Billing by Customer'!X66</f>
        <v>0</v>
      </c>
      <c r="Y67" s="110">
        <f>+'1. Income Statement'!Y11-'6. Billing by Customer'!Y66</f>
        <v>1.0000000003174137E-5</v>
      </c>
      <c r="Z67" s="110">
        <f>+'1. Income Statement'!Z11-'6. Billing by Customer'!Z66</f>
        <v>0</v>
      </c>
      <c r="AA67" s="110">
        <f>+'1. Income Statement'!AA11-'6. Billing by Customer'!AA66</f>
        <v>9.9999999889632818E-6</v>
      </c>
      <c r="AB67" s="110">
        <f>+'1. Income Statement'!AB11-'6. Billing by Customer'!AB66</f>
        <v>0</v>
      </c>
      <c r="AC67" s="110">
        <f>+'1. Income Statement'!AC11-'6. Billing by Customer'!AC66</f>
        <v>-1.0000000003174137E-5</v>
      </c>
      <c r="AD67" s="110">
        <f>+'1. Income Statement'!AD11-'6. Billing by Customer'!AD66</f>
        <v>1.9999999722131179E-5</v>
      </c>
      <c r="AE67" s="110">
        <f>+'1. Income Statement'!AE11-'6. Billing by Customer'!AE66</f>
        <v>-9.9999999889632818E-6</v>
      </c>
      <c r="AF67" s="110">
        <f>+'1. Income Statement'!AF11-'6. Billing by Customer'!AF66</f>
        <v>1.0000000003174137E-5</v>
      </c>
      <c r="AG67" s="110">
        <f>+'1. Income Statement'!AG11-'6. Billing by Customer'!AG66</f>
        <v>9.9999999889632818E-6</v>
      </c>
      <c r="AH67" s="110">
        <f>+'1. Income Statement'!AH11-'6. Billing by Customer'!AH66</f>
        <v>-9.9999999889632818E-6</v>
      </c>
      <c r="AI67" s="110">
        <f>+'1. Income Statement'!AI11-'6. Billing by Customer'!AI66</f>
        <v>1.0000000017384991E-5</v>
      </c>
      <c r="AJ67" s="110">
        <f>+'1. Income Statement'!AJ11-'6. Billing by Customer'!AJ66</f>
        <v>0</v>
      </c>
      <c r="AK67" s="110">
        <f>+'1. Income Statement'!AK11-'6. Billing by Customer'!AK66</f>
        <v>0</v>
      </c>
      <c r="AL67" s="110">
        <f>+'1. Income Statement'!AL11-'6. Billing by Customer'!AL66</f>
        <v>0</v>
      </c>
      <c r="AM67" s="110">
        <f>+'1. Income Statement'!AM11-'6. Billing by Customer'!AM66</f>
        <v>1.0000000003174137E-5</v>
      </c>
      <c r="AN67" s="110">
        <f>+'1. Income Statement'!AN11-'6. Billing by Customer'!AN66</f>
        <v>0</v>
      </c>
      <c r="AO67" s="110">
        <f>+'1. Income Statement'!AO11-'6. Billing by Customer'!AO66</f>
        <v>1.9999999949504854E-5</v>
      </c>
      <c r="AP67" s="110">
        <f>+'1. Income Statement'!AP11-'6. Billing by Customer'!AP66</f>
        <v>9.9999997473787516E-6</v>
      </c>
    </row>
    <row r="69" spans="2:42" x14ac:dyDescent="0.2">
      <c r="B69" s="139" t="s">
        <v>262</v>
      </c>
    </row>
    <row r="70" spans="2:42" x14ac:dyDescent="0.2">
      <c r="B70" s="126" t="s">
        <v>68</v>
      </c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27" t="s">
        <v>63</v>
      </c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27" t="s">
        <v>63</v>
      </c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27" t="s">
        <v>64</v>
      </c>
      <c r="AP70" s="128" t="s">
        <v>65</v>
      </c>
    </row>
    <row r="71" spans="2:42" x14ac:dyDescent="0.2">
      <c r="B71" s="23" t="s">
        <v>246</v>
      </c>
      <c r="C71" s="129"/>
      <c r="D71" s="129"/>
      <c r="E71" s="130">
        <v>44957</v>
      </c>
      <c r="F71" s="130">
        <f>EOMONTH(E71,1)</f>
        <v>44985</v>
      </c>
      <c r="G71" s="130">
        <f t="shared" ref="G71" si="146">EOMONTH(F71,1)</f>
        <v>45016</v>
      </c>
      <c r="H71" s="130">
        <f t="shared" ref="H71" si="147">EOMONTH(G71,1)</f>
        <v>45046</v>
      </c>
      <c r="I71" s="130">
        <f t="shared" ref="I71" si="148">EOMONTH(H71,1)</f>
        <v>45077</v>
      </c>
      <c r="J71" s="130">
        <f t="shared" ref="J71" si="149">EOMONTH(I71,1)</f>
        <v>45107</v>
      </c>
      <c r="K71" s="130">
        <f t="shared" ref="K71" si="150">EOMONTH(J71,1)</f>
        <v>45138</v>
      </c>
      <c r="L71" s="130">
        <f t="shared" ref="L71" si="151">EOMONTH(K71,1)</f>
        <v>45169</v>
      </c>
      <c r="M71" s="130">
        <f t="shared" ref="M71" si="152">EOMONTH(L71,1)</f>
        <v>45199</v>
      </c>
      <c r="N71" s="130">
        <f t="shared" ref="N71" si="153">EOMONTH(M71,1)</f>
        <v>45230</v>
      </c>
      <c r="O71" s="130">
        <f t="shared" ref="O71" si="154">EOMONTH(N71,1)</f>
        <v>45260</v>
      </c>
      <c r="P71" s="130">
        <f t="shared" ref="P71" si="155">EOMONTH(O71,1)</f>
        <v>45291</v>
      </c>
      <c r="Q71" s="131">
        <f>YEAR(P71)</f>
        <v>2023</v>
      </c>
      <c r="R71" s="130">
        <f>EOMONTH(P71,1)</f>
        <v>45322</v>
      </c>
      <c r="S71" s="130">
        <f>EOMONTH(R71,1)</f>
        <v>45351</v>
      </c>
      <c r="T71" s="130">
        <f t="shared" ref="T71" si="156">EOMONTH(S71,1)</f>
        <v>45382</v>
      </c>
      <c r="U71" s="130">
        <f t="shared" ref="U71" si="157">EOMONTH(T71,1)</f>
        <v>45412</v>
      </c>
      <c r="V71" s="130">
        <f t="shared" ref="V71" si="158">EOMONTH(U71,1)</f>
        <v>45443</v>
      </c>
      <c r="W71" s="130">
        <f t="shared" ref="W71" si="159">EOMONTH(V71,1)</f>
        <v>45473</v>
      </c>
      <c r="X71" s="130">
        <f t="shared" ref="X71" si="160">EOMONTH(W71,1)</f>
        <v>45504</v>
      </c>
      <c r="Y71" s="130">
        <f t="shared" ref="Y71" si="161">EOMONTH(X71,1)</f>
        <v>45535</v>
      </c>
      <c r="Z71" s="130">
        <f t="shared" ref="Z71" si="162">EOMONTH(Y71,1)</f>
        <v>45565</v>
      </c>
      <c r="AA71" s="130">
        <f t="shared" ref="AA71" si="163">EOMONTH(Z71,1)</f>
        <v>45596</v>
      </c>
      <c r="AB71" s="130">
        <f t="shared" ref="AB71" si="164">EOMONTH(AA71,1)</f>
        <v>45626</v>
      </c>
      <c r="AC71" s="130">
        <f t="shared" ref="AC71" si="165">EOMONTH(AB71,1)</f>
        <v>45657</v>
      </c>
      <c r="AD71" s="131">
        <f>YEAR(AC71)</f>
        <v>2024</v>
      </c>
      <c r="AE71" s="130">
        <f>EOMONTH(AC71,1)</f>
        <v>45688</v>
      </c>
      <c r="AF71" s="130">
        <f>EOMONTH(AE71,1)</f>
        <v>45716</v>
      </c>
      <c r="AG71" s="130">
        <f t="shared" ref="AG71" si="166">EOMONTH(AF71,1)</f>
        <v>45747</v>
      </c>
      <c r="AH71" s="130">
        <f t="shared" ref="AH71" si="167">EOMONTH(AG71,1)</f>
        <v>45777</v>
      </c>
      <c r="AI71" s="130">
        <f t="shared" ref="AI71" si="168">EOMONTH(AH71,1)</f>
        <v>45808</v>
      </c>
      <c r="AJ71" s="130">
        <f t="shared" ref="AJ71" si="169">EOMONTH(AI71,1)</f>
        <v>45838</v>
      </c>
      <c r="AK71" s="130">
        <f t="shared" ref="AK71" si="170">EOMONTH(AJ71,1)</f>
        <v>45869</v>
      </c>
      <c r="AL71" s="130">
        <f t="shared" ref="AL71" si="171">EOMONTH(AK71,1)</f>
        <v>45900</v>
      </c>
      <c r="AM71" s="130">
        <f t="shared" ref="AM71" si="172">EOMONTH(AL71,1)</f>
        <v>45930</v>
      </c>
      <c r="AN71" s="130">
        <f t="shared" ref="AN71" si="173">EOMONTH(AM71,1)</f>
        <v>45961</v>
      </c>
      <c r="AO71" s="132">
        <f>+AN71</f>
        <v>45961</v>
      </c>
      <c r="AP71" s="37">
        <f>+AO71</f>
        <v>45961</v>
      </c>
    </row>
    <row r="72" spans="2:42" x14ac:dyDescent="0.2">
      <c r="B72" s="134" t="s">
        <v>257</v>
      </c>
      <c r="C72" s="135"/>
      <c r="D72" s="135"/>
      <c r="E72" s="136">
        <v>0</v>
      </c>
      <c r="F72" s="136">
        <v>16.17849</v>
      </c>
      <c r="G72" s="136">
        <v>10.25334</v>
      </c>
      <c r="H72" s="136">
        <v>10.334440000000001</v>
      </c>
      <c r="I72" s="136">
        <v>4.4564700000000004</v>
      </c>
      <c r="J72" s="136">
        <v>0</v>
      </c>
      <c r="K72" s="136">
        <v>15.097940000000001</v>
      </c>
      <c r="L72" s="136">
        <v>20.061199999999999</v>
      </c>
      <c r="M72" s="136">
        <v>0</v>
      </c>
      <c r="N72" s="136">
        <v>0</v>
      </c>
      <c r="O72" s="136">
        <v>8.0062700000000007</v>
      </c>
      <c r="P72" s="136">
        <v>0.70701000000000003</v>
      </c>
      <c r="Q72" s="137">
        <f>SUM(E72:P72)</f>
        <v>85.095159999999993</v>
      </c>
      <c r="R72" s="136">
        <v>0</v>
      </c>
      <c r="S72" s="136">
        <v>0</v>
      </c>
      <c r="T72" s="136">
        <v>10.278090000000001</v>
      </c>
      <c r="U72" s="136">
        <v>0</v>
      </c>
      <c r="V72" s="136">
        <v>1.7589300000000001</v>
      </c>
      <c r="W72" s="136">
        <v>0</v>
      </c>
      <c r="X72" s="136">
        <v>0</v>
      </c>
      <c r="Y72" s="136">
        <v>4.2711000000000006</v>
      </c>
      <c r="Z72" s="136">
        <v>1.44997</v>
      </c>
      <c r="AA72" s="136">
        <v>0</v>
      </c>
      <c r="AB72" s="136">
        <v>24.997129999999999</v>
      </c>
      <c r="AC72" s="136">
        <v>5.6941600000000001</v>
      </c>
      <c r="AD72" s="137">
        <f>SUM(R72:AC72)</f>
        <v>48.449380000000005</v>
      </c>
      <c r="AE72" s="136">
        <v>6.6863299999999999</v>
      </c>
      <c r="AF72" s="136">
        <v>13.384270000000001</v>
      </c>
      <c r="AG72" s="136">
        <v>5.0026599999999997</v>
      </c>
      <c r="AH72" s="136">
        <v>14.190239999999998</v>
      </c>
      <c r="AI72" s="136">
        <v>0</v>
      </c>
      <c r="AJ72" s="136">
        <v>8.2301800000000007</v>
      </c>
      <c r="AK72" s="136">
        <v>6.1352500000000001</v>
      </c>
      <c r="AL72" s="136">
        <v>0</v>
      </c>
      <c r="AM72" s="136">
        <v>0</v>
      </c>
      <c r="AN72" s="136">
        <v>0</v>
      </c>
      <c r="AO72" s="137">
        <f>SUM(AE72:AN72)</f>
        <v>53.628929999999997</v>
      </c>
      <c r="AP72" s="138">
        <f>SUM(AO72,AB72:AC72)</f>
        <v>84.320219999999992</v>
      </c>
    </row>
    <row r="73" spans="2:42" x14ac:dyDescent="0.2">
      <c r="B73" s="87" t="s">
        <v>248</v>
      </c>
      <c r="C73" s="93"/>
      <c r="D73" s="93"/>
      <c r="E73" s="119">
        <v>0</v>
      </c>
      <c r="F73" s="119">
        <v>0</v>
      </c>
      <c r="G73" s="119">
        <v>0</v>
      </c>
      <c r="H73" s="119">
        <v>0.73896000000000006</v>
      </c>
      <c r="I73" s="119">
        <v>0</v>
      </c>
      <c r="J73" s="119">
        <v>7.2791499999999996</v>
      </c>
      <c r="K73" s="119">
        <v>0</v>
      </c>
      <c r="L73" s="119">
        <v>0</v>
      </c>
      <c r="M73" s="119">
        <v>0</v>
      </c>
      <c r="N73" s="119">
        <v>6.3011800000000004</v>
      </c>
      <c r="O73" s="119">
        <v>0</v>
      </c>
      <c r="P73" s="119">
        <v>14.478039999999998</v>
      </c>
      <c r="Q73" s="98">
        <f t="shared" ref="Q73:Q86" si="174">SUM(E73:P73)</f>
        <v>28.797329999999999</v>
      </c>
      <c r="R73" s="119">
        <v>6.6238400000000013</v>
      </c>
      <c r="S73" s="119">
        <v>0</v>
      </c>
      <c r="T73" s="119">
        <v>15.196680000000001</v>
      </c>
      <c r="U73" s="119">
        <v>14.681299999999997</v>
      </c>
      <c r="V73" s="119">
        <v>4.4740500000000001</v>
      </c>
      <c r="W73" s="119">
        <v>0</v>
      </c>
      <c r="X73" s="119">
        <v>17.410569999999996</v>
      </c>
      <c r="Y73" s="119">
        <v>0</v>
      </c>
      <c r="Z73" s="119">
        <v>1.0546600000000002</v>
      </c>
      <c r="AA73" s="119">
        <v>18.42146</v>
      </c>
      <c r="AB73" s="119">
        <v>0</v>
      </c>
      <c r="AC73" s="119">
        <v>17.486639999999998</v>
      </c>
      <c r="AD73" s="98">
        <f t="shared" ref="AD73:AD86" si="175">SUM(R73:AC73)</f>
        <v>95.349199999999982</v>
      </c>
      <c r="AE73" s="119">
        <v>7.4410400000000001</v>
      </c>
      <c r="AF73" s="119">
        <v>0</v>
      </c>
      <c r="AG73" s="119">
        <v>21.0854</v>
      </c>
      <c r="AH73" s="119">
        <v>0</v>
      </c>
      <c r="AI73" s="119">
        <v>3.6057700000000001</v>
      </c>
      <c r="AJ73" s="119">
        <v>0</v>
      </c>
      <c r="AK73" s="119">
        <v>0</v>
      </c>
      <c r="AL73" s="119">
        <v>18.68177</v>
      </c>
      <c r="AM73" s="119">
        <v>0</v>
      </c>
      <c r="AN73" s="119">
        <v>10.96336</v>
      </c>
      <c r="AO73" s="98">
        <f t="shared" ref="AO73:AO86" si="176">SUM(AE73:AN73)</f>
        <v>61.777340000000002</v>
      </c>
      <c r="AP73" s="96">
        <f t="shared" ref="AP73:AP86" si="177">SUM(AO73,AB73:AC73)</f>
        <v>79.263980000000004</v>
      </c>
    </row>
    <row r="74" spans="2:42" x14ac:dyDescent="0.2">
      <c r="B74" s="134" t="s">
        <v>255</v>
      </c>
      <c r="C74" s="135"/>
      <c r="D74" s="135"/>
      <c r="E74" s="136">
        <v>0</v>
      </c>
      <c r="F74" s="136">
        <v>0</v>
      </c>
      <c r="G74" s="136">
        <v>11.228680000000001</v>
      </c>
      <c r="H74" s="136">
        <v>9.1981300000000008</v>
      </c>
      <c r="I74" s="136">
        <v>0</v>
      </c>
      <c r="J74" s="136">
        <v>0</v>
      </c>
      <c r="K74" s="136">
        <v>0</v>
      </c>
      <c r="L74" s="136">
        <v>0.25463000000000002</v>
      </c>
      <c r="M74" s="136">
        <v>0</v>
      </c>
      <c r="N74" s="136">
        <v>0.33541000000000004</v>
      </c>
      <c r="O74" s="136">
        <v>0</v>
      </c>
      <c r="P74" s="136">
        <v>0</v>
      </c>
      <c r="Q74" s="137">
        <f t="shared" si="174"/>
        <v>21.016850000000002</v>
      </c>
      <c r="R74" s="136">
        <v>1.3428</v>
      </c>
      <c r="S74" s="136">
        <v>19.448779999999999</v>
      </c>
      <c r="T74" s="136">
        <v>0</v>
      </c>
      <c r="U74" s="136">
        <v>0</v>
      </c>
      <c r="V74" s="136">
        <v>9.3563699999999983</v>
      </c>
      <c r="W74" s="136">
        <v>0</v>
      </c>
      <c r="X74" s="136">
        <v>0</v>
      </c>
      <c r="Y74" s="136">
        <v>23.506649999999997</v>
      </c>
      <c r="Z74" s="136">
        <v>0</v>
      </c>
      <c r="AA74" s="136">
        <v>0</v>
      </c>
      <c r="AB74" s="136">
        <v>1.4041300000000001</v>
      </c>
      <c r="AC74" s="136">
        <v>2.3647399999999998</v>
      </c>
      <c r="AD74" s="137">
        <f t="shared" si="175"/>
        <v>57.423469999999995</v>
      </c>
      <c r="AE74" s="136">
        <v>0</v>
      </c>
      <c r="AF74" s="136">
        <v>2.4500000000000002</v>
      </c>
      <c r="AG74" s="136">
        <v>0</v>
      </c>
      <c r="AH74" s="136">
        <v>0</v>
      </c>
      <c r="AI74" s="136">
        <v>7.5709199999999992</v>
      </c>
      <c r="AJ74" s="136">
        <v>6.6917099999999996</v>
      </c>
      <c r="AK74" s="136">
        <v>0</v>
      </c>
      <c r="AL74" s="136">
        <v>0</v>
      </c>
      <c r="AM74" s="136">
        <v>44.260090000000005</v>
      </c>
      <c r="AN74" s="136">
        <v>0</v>
      </c>
      <c r="AO74" s="137">
        <f t="shared" si="176"/>
        <v>60.97272000000001</v>
      </c>
      <c r="AP74" s="138">
        <f t="shared" si="177"/>
        <v>64.741590000000016</v>
      </c>
    </row>
    <row r="75" spans="2:42" x14ac:dyDescent="0.2">
      <c r="B75" s="87" t="s">
        <v>250</v>
      </c>
      <c r="C75" s="93"/>
      <c r="D75" s="93"/>
      <c r="E75" s="119">
        <v>9.1607500000000002</v>
      </c>
      <c r="F75" s="119">
        <v>0</v>
      </c>
      <c r="G75" s="119">
        <v>6.8005499999999994</v>
      </c>
      <c r="H75" s="119">
        <v>13.73227</v>
      </c>
      <c r="I75" s="119">
        <v>11.046809999999999</v>
      </c>
      <c r="J75" s="119">
        <v>28.452260000000003</v>
      </c>
      <c r="K75" s="119">
        <v>12.41788</v>
      </c>
      <c r="L75" s="119">
        <v>7.3695400000000006</v>
      </c>
      <c r="M75" s="119">
        <v>9.2986699999999995</v>
      </c>
      <c r="N75" s="119">
        <v>0.55535999999999996</v>
      </c>
      <c r="O75" s="119">
        <v>0</v>
      </c>
      <c r="P75" s="119">
        <v>0</v>
      </c>
      <c r="Q75" s="98">
        <f t="shared" si="174"/>
        <v>98.834090000000003</v>
      </c>
      <c r="R75" s="119">
        <v>14.202440000000001</v>
      </c>
      <c r="S75" s="119">
        <v>0</v>
      </c>
      <c r="T75" s="119">
        <v>13.9018</v>
      </c>
      <c r="U75" s="119">
        <v>0.67915000000000003</v>
      </c>
      <c r="V75" s="119">
        <v>9.9021000000000008</v>
      </c>
      <c r="W75" s="119">
        <v>0</v>
      </c>
      <c r="X75" s="119">
        <v>4.06548</v>
      </c>
      <c r="Y75" s="119">
        <v>8.0853200000000012</v>
      </c>
      <c r="Z75" s="119">
        <v>0</v>
      </c>
      <c r="AA75" s="119">
        <v>11.085739999999999</v>
      </c>
      <c r="AB75" s="119">
        <v>0.24587000000000001</v>
      </c>
      <c r="AC75" s="119">
        <v>4.8090499999999992</v>
      </c>
      <c r="AD75" s="98">
        <f t="shared" si="175"/>
        <v>66.976950000000002</v>
      </c>
      <c r="AE75" s="119">
        <v>4.2508500000000007</v>
      </c>
      <c r="AF75" s="119">
        <v>0</v>
      </c>
      <c r="AG75" s="119">
        <v>6.4862099999999998</v>
      </c>
      <c r="AH75" s="119">
        <v>0</v>
      </c>
      <c r="AI75" s="119">
        <v>0.62024999999999997</v>
      </c>
      <c r="AJ75" s="119">
        <v>19.388729999999999</v>
      </c>
      <c r="AK75" s="119">
        <v>3.3893199999999997</v>
      </c>
      <c r="AL75" s="119">
        <v>14.729040000000001</v>
      </c>
      <c r="AM75" s="119">
        <v>0.72366999999999992</v>
      </c>
      <c r="AN75" s="119">
        <v>9.8593099999999989</v>
      </c>
      <c r="AO75" s="98">
        <f t="shared" si="176"/>
        <v>59.447380000000003</v>
      </c>
      <c r="AP75" s="96">
        <f t="shared" si="177"/>
        <v>64.502299999999991</v>
      </c>
    </row>
    <row r="76" spans="2:42" x14ac:dyDescent="0.2">
      <c r="B76" s="134" t="s">
        <v>254</v>
      </c>
      <c r="C76" s="135"/>
      <c r="D76" s="135"/>
      <c r="E76" s="136">
        <v>0</v>
      </c>
      <c r="F76" s="136">
        <v>0</v>
      </c>
      <c r="G76" s="136">
        <v>9.5992900000000017</v>
      </c>
      <c r="H76" s="136">
        <v>2.7511999999999999</v>
      </c>
      <c r="I76" s="136">
        <v>0</v>
      </c>
      <c r="J76" s="136">
        <v>0</v>
      </c>
      <c r="K76" s="136">
        <v>0</v>
      </c>
      <c r="L76" s="136">
        <v>14.142010000000001</v>
      </c>
      <c r="M76" s="136">
        <v>0</v>
      </c>
      <c r="N76" s="136">
        <v>0</v>
      </c>
      <c r="O76" s="136">
        <v>0</v>
      </c>
      <c r="P76" s="136">
        <v>0.60933000000000004</v>
      </c>
      <c r="Q76" s="137">
        <f t="shared" si="174"/>
        <v>27.10183</v>
      </c>
      <c r="R76" s="136">
        <v>11.327420000000002</v>
      </c>
      <c r="S76" s="136">
        <v>0</v>
      </c>
      <c r="T76" s="136">
        <v>0</v>
      </c>
      <c r="U76" s="136">
        <v>0</v>
      </c>
      <c r="V76" s="136">
        <v>0</v>
      </c>
      <c r="W76" s="136">
        <v>15.572950000000001</v>
      </c>
      <c r="X76" s="136">
        <v>0</v>
      </c>
      <c r="Y76" s="136">
        <v>4.8209999999999997</v>
      </c>
      <c r="Z76" s="136">
        <v>0</v>
      </c>
      <c r="AA76" s="136">
        <v>0</v>
      </c>
      <c r="AB76" s="136">
        <v>6.8136699999999992</v>
      </c>
      <c r="AC76" s="136">
        <v>0</v>
      </c>
      <c r="AD76" s="137">
        <f t="shared" si="175"/>
        <v>38.535040000000002</v>
      </c>
      <c r="AE76" s="136">
        <v>0</v>
      </c>
      <c r="AF76" s="136">
        <v>5.7554499999999997</v>
      </c>
      <c r="AG76" s="136">
        <v>13.88503</v>
      </c>
      <c r="AH76" s="136">
        <v>13.82202</v>
      </c>
      <c r="AI76" s="136">
        <v>0</v>
      </c>
      <c r="AJ76" s="136">
        <v>0</v>
      </c>
      <c r="AK76" s="136">
        <v>21.752670000000002</v>
      </c>
      <c r="AL76" s="136">
        <v>0</v>
      </c>
      <c r="AM76" s="136">
        <v>0</v>
      </c>
      <c r="AN76" s="136">
        <v>0</v>
      </c>
      <c r="AO76" s="137">
        <f t="shared" si="176"/>
        <v>55.215170000000001</v>
      </c>
      <c r="AP76" s="138">
        <f t="shared" si="177"/>
        <v>62.028840000000002</v>
      </c>
    </row>
    <row r="77" spans="2:42" x14ac:dyDescent="0.2">
      <c r="B77" s="87" t="s">
        <v>253</v>
      </c>
      <c r="C77" s="93"/>
      <c r="D77" s="93"/>
      <c r="E77" s="119">
        <v>0</v>
      </c>
      <c r="F77" s="119">
        <v>0</v>
      </c>
      <c r="G77" s="119">
        <v>1.7971900000000001</v>
      </c>
      <c r="H77" s="119">
        <v>0</v>
      </c>
      <c r="I77" s="119">
        <v>11.5908</v>
      </c>
      <c r="J77" s="119">
        <v>4.2623600000000001</v>
      </c>
      <c r="K77" s="119">
        <v>2.0967999999999996</v>
      </c>
      <c r="L77" s="119">
        <v>0</v>
      </c>
      <c r="M77" s="119">
        <v>0</v>
      </c>
      <c r="N77" s="119">
        <v>0</v>
      </c>
      <c r="O77" s="119">
        <v>0.2056</v>
      </c>
      <c r="P77" s="119">
        <v>6.0596699999999997</v>
      </c>
      <c r="Q77" s="98">
        <f t="shared" si="174"/>
        <v>26.012419999999999</v>
      </c>
      <c r="R77" s="119">
        <v>10.67149</v>
      </c>
      <c r="S77" s="119">
        <v>0</v>
      </c>
      <c r="T77" s="119">
        <v>0</v>
      </c>
      <c r="U77" s="119">
        <v>14.709430000000001</v>
      </c>
      <c r="V77" s="119">
        <v>1.8495299999999999</v>
      </c>
      <c r="W77" s="119">
        <v>17.229939999999999</v>
      </c>
      <c r="X77" s="119">
        <v>4.6066000000000003</v>
      </c>
      <c r="Y77" s="119">
        <v>1.67475</v>
      </c>
      <c r="Z77" s="119">
        <v>25.945589999999999</v>
      </c>
      <c r="AA77" s="119">
        <v>1.06308</v>
      </c>
      <c r="AB77" s="119">
        <v>0</v>
      </c>
      <c r="AC77" s="119">
        <v>0</v>
      </c>
      <c r="AD77" s="98">
        <f t="shared" si="175"/>
        <v>77.750410000000002</v>
      </c>
      <c r="AE77" s="119">
        <v>0</v>
      </c>
      <c r="AF77" s="119">
        <v>10.10707</v>
      </c>
      <c r="AG77" s="119">
        <v>0</v>
      </c>
      <c r="AH77" s="119">
        <v>0</v>
      </c>
      <c r="AI77" s="119">
        <v>22.121279999999999</v>
      </c>
      <c r="AJ77" s="119">
        <v>0</v>
      </c>
      <c r="AK77" s="119">
        <v>2.8305700000000003</v>
      </c>
      <c r="AL77" s="119">
        <v>3.3286899999999999</v>
      </c>
      <c r="AM77" s="119">
        <v>2.7206300000000003</v>
      </c>
      <c r="AN77" s="119">
        <v>18.366139999999998</v>
      </c>
      <c r="AO77" s="98">
        <f t="shared" si="176"/>
        <v>59.474379999999996</v>
      </c>
      <c r="AP77" s="96">
        <f t="shared" si="177"/>
        <v>59.474379999999996</v>
      </c>
    </row>
    <row r="78" spans="2:42" x14ac:dyDescent="0.2">
      <c r="B78" s="134" t="s">
        <v>251</v>
      </c>
      <c r="C78" s="135"/>
      <c r="D78" s="135"/>
      <c r="E78" s="136">
        <v>0</v>
      </c>
      <c r="F78" s="136">
        <v>4.1851199999999995</v>
      </c>
      <c r="G78" s="136">
        <v>3.98014</v>
      </c>
      <c r="H78" s="136">
        <v>0</v>
      </c>
      <c r="I78" s="136">
        <v>11.728389999999999</v>
      </c>
      <c r="J78" s="136">
        <v>0</v>
      </c>
      <c r="K78" s="136">
        <v>14.340120000000001</v>
      </c>
      <c r="L78" s="136">
        <v>0</v>
      </c>
      <c r="M78" s="136">
        <v>7.9200200000000001</v>
      </c>
      <c r="N78" s="136">
        <v>11.078599999999998</v>
      </c>
      <c r="O78" s="136">
        <v>21.862110000000001</v>
      </c>
      <c r="P78" s="136">
        <v>4.2137500000000001</v>
      </c>
      <c r="Q78" s="137">
        <f t="shared" si="174"/>
        <v>79.308250000000001</v>
      </c>
      <c r="R78" s="136">
        <v>0</v>
      </c>
      <c r="S78" s="136">
        <v>4.2401</v>
      </c>
      <c r="T78" s="136">
        <v>0</v>
      </c>
      <c r="U78" s="136">
        <v>0</v>
      </c>
      <c r="V78" s="136">
        <v>0</v>
      </c>
      <c r="W78" s="136">
        <v>0</v>
      </c>
      <c r="X78" s="136">
        <v>0</v>
      </c>
      <c r="Y78" s="136">
        <v>0</v>
      </c>
      <c r="Z78" s="136">
        <v>0</v>
      </c>
      <c r="AA78" s="136">
        <v>0</v>
      </c>
      <c r="AB78" s="136">
        <v>0</v>
      </c>
      <c r="AC78" s="136">
        <v>2.2814000000000001</v>
      </c>
      <c r="AD78" s="137">
        <f t="shared" si="175"/>
        <v>6.5214999999999996</v>
      </c>
      <c r="AE78" s="136">
        <v>2.8729</v>
      </c>
      <c r="AF78" s="136">
        <v>7.0823299999999998</v>
      </c>
      <c r="AG78" s="136">
        <v>0</v>
      </c>
      <c r="AH78" s="136">
        <v>1.1997800000000001</v>
      </c>
      <c r="AI78" s="136">
        <v>1.5932299999999997</v>
      </c>
      <c r="AJ78" s="136">
        <v>4.4108199999999993</v>
      </c>
      <c r="AK78" s="136">
        <v>0.98029999999999995</v>
      </c>
      <c r="AL78" s="136">
        <v>2.7419799999999999</v>
      </c>
      <c r="AM78" s="136">
        <v>0</v>
      </c>
      <c r="AN78" s="136">
        <v>8.8954199999999997</v>
      </c>
      <c r="AO78" s="137">
        <f t="shared" si="176"/>
        <v>29.776760000000003</v>
      </c>
      <c r="AP78" s="138">
        <f t="shared" si="177"/>
        <v>32.058160000000001</v>
      </c>
    </row>
    <row r="79" spans="2:42" x14ac:dyDescent="0.2">
      <c r="B79" s="87" t="s">
        <v>256</v>
      </c>
      <c r="C79" s="93"/>
      <c r="D79" s="93"/>
      <c r="E79" s="119">
        <v>16.867319999999999</v>
      </c>
      <c r="F79" s="119">
        <v>0</v>
      </c>
      <c r="G79" s="119">
        <v>0</v>
      </c>
      <c r="H79" s="119">
        <v>0</v>
      </c>
      <c r="I79" s="119">
        <v>1.0714999999999999</v>
      </c>
      <c r="J79" s="119">
        <v>0</v>
      </c>
      <c r="K79" s="119">
        <v>0</v>
      </c>
      <c r="L79" s="119">
        <v>0</v>
      </c>
      <c r="M79" s="119">
        <v>0</v>
      </c>
      <c r="N79" s="119">
        <v>4.7229999999999994E-2</v>
      </c>
      <c r="O79" s="119">
        <v>0</v>
      </c>
      <c r="P79" s="119">
        <v>0</v>
      </c>
      <c r="Q79" s="98">
        <f t="shared" si="174"/>
        <v>17.986049999999999</v>
      </c>
      <c r="R79" s="119">
        <v>0</v>
      </c>
      <c r="S79" s="119">
        <v>0</v>
      </c>
      <c r="T79" s="119">
        <v>0</v>
      </c>
      <c r="U79" s="119">
        <v>14.508109999999999</v>
      </c>
      <c r="V79" s="119">
        <v>0</v>
      </c>
      <c r="W79" s="119">
        <v>0</v>
      </c>
      <c r="X79" s="119">
        <v>0</v>
      </c>
      <c r="Y79" s="119">
        <v>0</v>
      </c>
      <c r="Z79" s="119">
        <v>0</v>
      </c>
      <c r="AA79" s="119">
        <v>0</v>
      </c>
      <c r="AB79" s="119">
        <v>0</v>
      </c>
      <c r="AC79" s="119">
        <v>4.1180399999999997</v>
      </c>
      <c r="AD79" s="98">
        <f t="shared" si="175"/>
        <v>18.626149999999999</v>
      </c>
      <c r="AE79" s="119">
        <v>0</v>
      </c>
      <c r="AF79" s="119">
        <v>0</v>
      </c>
      <c r="AG79" s="119">
        <v>0</v>
      </c>
      <c r="AH79" s="119">
        <v>0</v>
      </c>
      <c r="AI79" s="119">
        <v>13.181649999999999</v>
      </c>
      <c r="AJ79" s="119">
        <v>8.2311199999999989</v>
      </c>
      <c r="AK79" s="119">
        <v>0</v>
      </c>
      <c r="AL79" s="119">
        <v>4.1533100000000003</v>
      </c>
      <c r="AM79" s="119">
        <v>0</v>
      </c>
      <c r="AN79" s="119">
        <v>0</v>
      </c>
      <c r="AO79" s="98">
        <f t="shared" si="176"/>
        <v>25.566079999999999</v>
      </c>
      <c r="AP79" s="96">
        <f t="shared" si="177"/>
        <v>29.68412</v>
      </c>
    </row>
    <row r="80" spans="2:42" x14ac:dyDescent="0.2">
      <c r="B80" s="134" t="s">
        <v>247</v>
      </c>
      <c r="C80" s="135"/>
      <c r="D80" s="135"/>
      <c r="E80" s="136">
        <v>16.676350000000003</v>
      </c>
      <c r="F80" s="136">
        <v>22.747280000000003</v>
      </c>
      <c r="G80" s="136">
        <v>0</v>
      </c>
      <c r="H80" s="136">
        <v>5.047629999999999</v>
      </c>
      <c r="I80" s="136">
        <v>0</v>
      </c>
      <c r="J80" s="136">
        <v>1.07376</v>
      </c>
      <c r="K80" s="136">
        <v>0</v>
      </c>
      <c r="L80" s="136">
        <v>0</v>
      </c>
      <c r="M80" s="136">
        <v>2.6556899999999999</v>
      </c>
      <c r="N80" s="136">
        <v>25.10633</v>
      </c>
      <c r="O80" s="136">
        <v>5.9093299999999997</v>
      </c>
      <c r="P80" s="136">
        <v>2.4445999999999999</v>
      </c>
      <c r="Q80" s="137">
        <f t="shared" si="174"/>
        <v>81.660969999999992</v>
      </c>
      <c r="R80" s="136">
        <v>0</v>
      </c>
      <c r="S80" s="136">
        <v>5.799170000000001</v>
      </c>
      <c r="T80" s="136">
        <v>1.2037099999999998</v>
      </c>
      <c r="U80" s="136">
        <v>0</v>
      </c>
      <c r="V80" s="136">
        <v>7.0153299999999996</v>
      </c>
      <c r="W80" s="136">
        <v>11.128500000000001</v>
      </c>
      <c r="X80" s="136">
        <v>21.235709999999997</v>
      </c>
      <c r="Y80" s="136">
        <v>0</v>
      </c>
      <c r="Z80" s="136">
        <v>15.416360000000001</v>
      </c>
      <c r="AA80" s="136">
        <v>0</v>
      </c>
      <c r="AB80" s="136">
        <v>0</v>
      </c>
      <c r="AC80" s="136">
        <v>6.7098799999999992</v>
      </c>
      <c r="AD80" s="137">
        <f t="shared" si="175"/>
        <v>68.508659999999992</v>
      </c>
      <c r="AE80" s="136">
        <v>11.299470000000001</v>
      </c>
      <c r="AF80" s="136">
        <v>2.6726700000000001</v>
      </c>
      <c r="AG80" s="136">
        <v>0</v>
      </c>
      <c r="AH80" s="136">
        <v>4.9634300000000007</v>
      </c>
      <c r="AI80" s="136">
        <v>0</v>
      </c>
      <c r="AJ80" s="136">
        <v>0</v>
      </c>
      <c r="AK80" s="136">
        <v>0</v>
      </c>
      <c r="AL80" s="136">
        <v>0</v>
      </c>
      <c r="AM80" s="136">
        <v>0</v>
      </c>
      <c r="AN80" s="136">
        <v>0</v>
      </c>
      <c r="AO80" s="137">
        <f t="shared" si="176"/>
        <v>18.935570000000002</v>
      </c>
      <c r="AP80" s="138">
        <f t="shared" si="177"/>
        <v>25.64545</v>
      </c>
    </row>
    <row r="81" spans="2:42" x14ac:dyDescent="0.2">
      <c r="B81" s="87" t="s">
        <v>259</v>
      </c>
      <c r="C81" s="93"/>
      <c r="D81" s="93"/>
      <c r="E81" s="119">
        <v>0</v>
      </c>
      <c r="F81" s="119">
        <v>0</v>
      </c>
      <c r="G81" s="119">
        <v>0</v>
      </c>
      <c r="H81" s="119">
        <v>0</v>
      </c>
      <c r="I81" s="119">
        <v>0</v>
      </c>
      <c r="J81" s="119">
        <v>0</v>
      </c>
      <c r="K81" s="119">
        <v>0</v>
      </c>
      <c r="L81" s="119">
        <v>0</v>
      </c>
      <c r="M81" s="119">
        <v>0</v>
      </c>
      <c r="N81" s="119">
        <v>0</v>
      </c>
      <c r="O81" s="119">
        <v>0</v>
      </c>
      <c r="P81" s="119">
        <v>0</v>
      </c>
      <c r="Q81" s="98">
        <f t="shared" si="174"/>
        <v>0</v>
      </c>
      <c r="R81" s="119">
        <v>0</v>
      </c>
      <c r="S81" s="119">
        <v>0</v>
      </c>
      <c r="T81" s="119">
        <v>0</v>
      </c>
      <c r="U81" s="119">
        <v>0</v>
      </c>
      <c r="V81" s="119">
        <v>0</v>
      </c>
      <c r="W81" s="119">
        <v>0</v>
      </c>
      <c r="X81" s="119">
        <v>0</v>
      </c>
      <c r="Y81" s="119">
        <v>3.21075</v>
      </c>
      <c r="Z81" s="119">
        <v>0</v>
      </c>
      <c r="AA81" s="119">
        <v>3.5291399999999999</v>
      </c>
      <c r="AB81" s="119">
        <v>0</v>
      </c>
      <c r="AC81" s="119">
        <v>2.6478899999999999</v>
      </c>
      <c r="AD81" s="98">
        <f t="shared" si="175"/>
        <v>9.3877799999999993</v>
      </c>
      <c r="AE81" s="119">
        <v>16.877849999999999</v>
      </c>
      <c r="AF81" s="119">
        <v>5.6384099999999995</v>
      </c>
      <c r="AG81" s="119">
        <v>0</v>
      </c>
      <c r="AH81" s="119">
        <v>0</v>
      </c>
      <c r="AI81" s="119">
        <v>0</v>
      </c>
      <c r="AJ81" s="119">
        <v>0</v>
      </c>
      <c r="AK81" s="119">
        <v>0</v>
      </c>
      <c r="AL81" s="119">
        <v>0.10690000000000001</v>
      </c>
      <c r="AM81" s="119">
        <v>0</v>
      </c>
      <c r="AN81" s="119">
        <v>0</v>
      </c>
      <c r="AO81" s="98">
        <f t="shared" si="176"/>
        <v>22.623159999999999</v>
      </c>
      <c r="AP81" s="96">
        <f t="shared" si="177"/>
        <v>25.271049999999999</v>
      </c>
    </row>
    <row r="82" spans="2:42" x14ac:dyDescent="0.2">
      <c r="B82" s="134" t="s">
        <v>252</v>
      </c>
      <c r="C82" s="135"/>
      <c r="D82" s="135"/>
      <c r="E82" s="136">
        <v>0</v>
      </c>
      <c r="F82" s="136">
        <v>0</v>
      </c>
      <c r="G82" s="136">
        <v>0</v>
      </c>
      <c r="H82" s="136">
        <v>0</v>
      </c>
      <c r="I82" s="136">
        <v>0.73027999999999993</v>
      </c>
      <c r="J82" s="136">
        <v>3.7663600000000002</v>
      </c>
      <c r="K82" s="136">
        <v>0</v>
      </c>
      <c r="L82" s="136">
        <v>0</v>
      </c>
      <c r="M82" s="136">
        <v>23.177349999999997</v>
      </c>
      <c r="N82" s="136">
        <v>0</v>
      </c>
      <c r="O82" s="136">
        <v>7.9188600000000005</v>
      </c>
      <c r="P82" s="136">
        <v>4.4711999999999996</v>
      </c>
      <c r="Q82" s="137">
        <f t="shared" si="174"/>
        <v>40.064049999999995</v>
      </c>
      <c r="R82" s="136">
        <v>0</v>
      </c>
      <c r="S82" s="136">
        <v>16.370179999999998</v>
      </c>
      <c r="T82" s="136">
        <v>6.4707000000000008</v>
      </c>
      <c r="U82" s="136">
        <v>0</v>
      </c>
      <c r="V82" s="136">
        <v>8.7325599999999994</v>
      </c>
      <c r="W82" s="136">
        <v>0</v>
      </c>
      <c r="X82" s="136">
        <v>0</v>
      </c>
      <c r="Y82" s="136">
        <v>0</v>
      </c>
      <c r="Z82" s="136">
        <v>0</v>
      </c>
      <c r="AA82" s="136">
        <v>8.5881399999999992</v>
      </c>
      <c r="AB82" s="136">
        <v>10.400119999999999</v>
      </c>
      <c r="AC82" s="136">
        <v>0.72769000000000006</v>
      </c>
      <c r="AD82" s="137">
        <f t="shared" si="175"/>
        <v>51.289390000000004</v>
      </c>
      <c r="AE82" s="136">
        <v>0</v>
      </c>
      <c r="AF82" s="136">
        <v>0</v>
      </c>
      <c r="AG82" s="136">
        <v>0</v>
      </c>
      <c r="AH82" s="136">
        <v>5.8412799999999994</v>
      </c>
      <c r="AI82" s="136">
        <v>0</v>
      </c>
      <c r="AJ82" s="136">
        <v>0.89825999999999995</v>
      </c>
      <c r="AK82" s="136">
        <v>0.33179000000000003</v>
      </c>
      <c r="AL82" s="136">
        <v>3.3570600000000002</v>
      </c>
      <c r="AM82" s="136">
        <v>0</v>
      </c>
      <c r="AN82" s="136">
        <v>0</v>
      </c>
      <c r="AO82" s="137">
        <f t="shared" si="176"/>
        <v>10.428389999999998</v>
      </c>
      <c r="AP82" s="138">
        <f t="shared" si="177"/>
        <v>21.556199999999997</v>
      </c>
    </row>
    <row r="83" spans="2:42" x14ac:dyDescent="0.2">
      <c r="B83" s="87" t="s">
        <v>249</v>
      </c>
      <c r="C83" s="93"/>
      <c r="D83" s="93"/>
      <c r="E83" s="119">
        <v>0</v>
      </c>
      <c r="F83" s="119">
        <v>0</v>
      </c>
      <c r="G83" s="119">
        <v>0</v>
      </c>
      <c r="H83" s="119">
        <v>0</v>
      </c>
      <c r="I83" s="119">
        <v>0</v>
      </c>
      <c r="J83" s="119">
        <v>0</v>
      </c>
      <c r="K83" s="119">
        <v>0</v>
      </c>
      <c r="L83" s="119">
        <v>0</v>
      </c>
      <c r="M83" s="119">
        <v>0</v>
      </c>
      <c r="N83" s="119">
        <v>0</v>
      </c>
      <c r="O83" s="119">
        <v>0</v>
      </c>
      <c r="P83" s="119">
        <v>10.48277</v>
      </c>
      <c r="Q83" s="98">
        <f t="shared" si="174"/>
        <v>10.48277</v>
      </c>
      <c r="R83" s="119">
        <v>0</v>
      </c>
      <c r="S83" s="119">
        <v>0</v>
      </c>
      <c r="T83" s="119">
        <v>0</v>
      </c>
      <c r="U83" s="119">
        <v>0</v>
      </c>
      <c r="V83" s="119">
        <v>0</v>
      </c>
      <c r="W83" s="119">
        <v>0</v>
      </c>
      <c r="X83" s="119">
        <v>0</v>
      </c>
      <c r="Y83" s="119">
        <v>0.5131</v>
      </c>
      <c r="Z83" s="119">
        <v>0</v>
      </c>
      <c r="AA83" s="119">
        <v>0</v>
      </c>
      <c r="AB83" s="119">
        <v>0</v>
      </c>
      <c r="AC83" s="119">
        <v>0</v>
      </c>
      <c r="AD83" s="98">
        <f t="shared" si="175"/>
        <v>0.5131</v>
      </c>
      <c r="AE83" s="119">
        <v>0</v>
      </c>
      <c r="AF83" s="119">
        <v>0</v>
      </c>
      <c r="AG83" s="119">
        <v>0</v>
      </c>
      <c r="AH83" s="119">
        <v>6.8954199999999997</v>
      </c>
      <c r="AI83" s="119">
        <v>0</v>
      </c>
      <c r="AJ83" s="119">
        <v>0</v>
      </c>
      <c r="AK83" s="119">
        <v>9.7724799999999998</v>
      </c>
      <c r="AL83" s="119">
        <v>0</v>
      </c>
      <c r="AM83" s="119">
        <v>0</v>
      </c>
      <c r="AN83" s="119">
        <v>0</v>
      </c>
      <c r="AO83" s="98">
        <f t="shared" si="176"/>
        <v>16.667899999999999</v>
      </c>
      <c r="AP83" s="96">
        <f t="shared" si="177"/>
        <v>16.667899999999999</v>
      </c>
    </row>
    <row r="84" spans="2:42" x14ac:dyDescent="0.2">
      <c r="B84" s="134" t="s">
        <v>261</v>
      </c>
      <c r="C84" s="135"/>
      <c r="D84" s="135"/>
      <c r="E84" s="136">
        <v>0</v>
      </c>
      <c r="F84" s="136">
        <v>0</v>
      </c>
      <c r="G84" s="136">
        <v>0</v>
      </c>
      <c r="H84" s="136">
        <v>0</v>
      </c>
      <c r="I84" s="136">
        <v>0</v>
      </c>
      <c r="J84" s="136">
        <v>0</v>
      </c>
      <c r="K84" s="136">
        <v>0</v>
      </c>
      <c r="L84" s="136">
        <v>0</v>
      </c>
      <c r="M84" s="136">
        <v>0</v>
      </c>
      <c r="N84" s="136">
        <v>0</v>
      </c>
      <c r="O84" s="136">
        <v>0</v>
      </c>
      <c r="P84" s="136">
        <v>0</v>
      </c>
      <c r="Q84" s="137">
        <f t="shared" si="174"/>
        <v>0</v>
      </c>
      <c r="R84" s="136">
        <v>0</v>
      </c>
      <c r="S84" s="136">
        <v>0</v>
      </c>
      <c r="T84" s="136">
        <v>0</v>
      </c>
      <c r="U84" s="136">
        <v>0</v>
      </c>
      <c r="V84" s="136">
        <v>0</v>
      </c>
      <c r="W84" s="136">
        <v>0</v>
      </c>
      <c r="X84" s="136">
        <v>0</v>
      </c>
      <c r="Y84" s="136">
        <v>0</v>
      </c>
      <c r="Z84" s="136">
        <v>0</v>
      </c>
      <c r="AA84" s="136">
        <v>0</v>
      </c>
      <c r="AB84" s="136">
        <v>0</v>
      </c>
      <c r="AC84" s="136">
        <v>0</v>
      </c>
      <c r="AD84" s="137">
        <f t="shared" si="175"/>
        <v>0</v>
      </c>
      <c r="AE84" s="136">
        <v>0</v>
      </c>
      <c r="AF84" s="136">
        <v>0</v>
      </c>
      <c r="AG84" s="136">
        <v>0</v>
      </c>
      <c r="AH84" s="136">
        <v>0</v>
      </c>
      <c r="AI84" s="136">
        <v>0</v>
      </c>
      <c r="AJ84" s="136">
        <v>0</v>
      </c>
      <c r="AK84" s="136">
        <v>0</v>
      </c>
      <c r="AL84" s="136">
        <v>0</v>
      </c>
      <c r="AM84" s="136">
        <v>0</v>
      </c>
      <c r="AN84" s="136">
        <v>0</v>
      </c>
      <c r="AO84" s="137">
        <f t="shared" si="176"/>
        <v>0</v>
      </c>
      <c r="AP84" s="138">
        <f t="shared" si="177"/>
        <v>0</v>
      </c>
    </row>
    <row r="85" spans="2:42" x14ac:dyDescent="0.2">
      <c r="B85" s="87" t="s">
        <v>258</v>
      </c>
      <c r="C85" s="93"/>
      <c r="D85" s="93"/>
      <c r="E85" s="119">
        <v>0</v>
      </c>
      <c r="F85" s="119">
        <v>0</v>
      </c>
      <c r="G85" s="119">
        <v>0</v>
      </c>
      <c r="H85" s="119">
        <v>0</v>
      </c>
      <c r="I85" s="119">
        <v>0</v>
      </c>
      <c r="J85" s="119">
        <v>0</v>
      </c>
      <c r="K85" s="119">
        <v>0</v>
      </c>
      <c r="L85" s="119">
        <v>0</v>
      </c>
      <c r="M85" s="119">
        <v>0</v>
      </c>
      <c r="N85" s="119">
        <v>0</v>
      </c>
      <c r="O85" s="119">
        <v>0</v>
      </c>
      <c r="P85" s="119">
        <v>0</v>
      </c>
      <c r="Q85" s="98">
        <f t="shared" si="174"/>
        <v>0</v>
      </c>
      <c r="R85" s="119">
        <v>0</v>
      </c>
      <c r="S85" s="119">
        <v>0</v>
      </c>
      <c r="T85" s="119">
        <v>0</v>
      </c>
      <c r="U85" s="119">
        <v>0</v>
      </c>
      <c r="V85" s="119">
        <v>0</v>
      </c>
      <c r="W85" s="119">
        <v>0</v>
      </c>
      <c r="X85" s="119">
        <v>0</v>
      </c>
      <c r="Y85" s="119">
        <v>0</v>
      </c>
      <c r="Z85" s="119">
        <v>0</v>
      </c>
      <c r="AA85" s="119">
        <v>0</v>
      </c>
      <c r="AB85" s="119">
        <v>0</v>
      </c>
      <c r="AC85" s="119">
        <v>0</v>
      </c>
      <c r="AD85" s="98">
        <f t="shared" si="175"/>
        <v>0</v>
      </c>
      <c r="AE85" s="119">
        <v>0</v>
      </c>
      <c r="AF85" s="119">
        <v>0</v>
      </c>
      <c r="AG85" s="119">
        <v>0</v>
      </c>
      <c r="AH85" s="119">
        <v>0</v>
      </c>
      <c r="AI85" s="119">
        <v>0</v>
      </c>
      <c r="AJ85" s="119">
        <v>0</v>
      </c>
      <c r="AK85" s="119">
        <v>0</v>
      </c>
      <c r="AL85" s="119">
        <v>0</v>
      </c>
      <c r="AM85" s="119">
        <v>0</v>
      </c>
      <c r="AN85" s="119">
        <v>0</v>
      </c>
      <c r="AO85" s="98">
        <f t="shared" si="176"/>
        <v>0</v>
      </c>
      <c r="AP85" s="96">
        <f t="shared" si="177"/>
        <v>0</v>
      </c>
    </row>
    <row r="86" spans="2:42" x14ac:dyDescent="0.2">
      <c r="B86" s="134" t="s">
        <v>260</v>
      </c>
      <c r="C86" s="135"/>
      <c r="D86" s="135"/>
      <c r="E86" s="136">
        <v>0</v>
      </c>
      <c r="F86" s="136">
        <v>0</v>
      </c>
      <c r="G86" s="136">
        <v>0</v>
      </c>
      <c r="H86" s="136">
        <v>0</v>
      </c>
      <c r="I86" s="136">
        <v>0</v>
      </c>
      <c r="J86" s="136">
        <v>0</v>
      </c>
      <c r="K86" s="136">
        <v>0</v>
      </c>
      <c r="L86" s="136">
        <v>0</v>
      </c>
      <c r="M86" s="136">
        <v>0</v>
      </c>
      <c r="N86" s="136">
        <v>0</v>
      </c>
      <c r="O86" s="136">
        <v>0</v>
      </c>
      <c r="P86" s="136">
        <v>0</v>
      </c>
      <c r="Q86" s="137">
        <f t="shared" si="174"/>
        <v>0</v>
      </c>
      <c r="R86" s="136">
        <v>0</v>
      </c>
      <c r="S86" s="136">
        <v>0</v>
      </c>
      <c r="T86" s="136">
        <v>0</v>
      </c>
      <c r="U86" s="136">
        <v>0</v>
      </c>
      <c r="V86" s="136">
        <v>0</v>
      </c>
      <c r="W86" s="136">
        <v>0</v>
      </c>
      <c r="X86" s="136">
        <v>0</v>
      </c>
      <c r="Y86" s="136">
        <v>0</v>
      </c>
      <c r="Z86" s="136">
        <v>0</v>
      </c>
      <c r="AA86" s="136">
        <v>0</v>
      </c>
      <c r="AB86" s="136">
        <v>0</v>
      </c>
      <c r="AC86" s="136">
        <v>0</v>
      </c>
      <c r="AD86" s="137">
        <f t="shared" si="175"/>
        <v>0</v>
      </c>
      <c r="AE86" s="136">
        <v>0</v>
      </c>
      <c r="AF86" s="136">
        <v>0</v>
      </c>
      <c r="AG86" s="136">
        <v>0</v>
      </c>
      <c r="AH86" s="136">
        <v>0</v>
      </c>
      <c r="AI86" s="136">
        <v>0</v>
      </c>
      <c r="AJ86" s="136">
        <v>0</v>
      </c>
      <c r="AK86" s="136">
        <v>0</v>
      </c>
      <c r="AL86" s="136">
        <v>0</v>
      </c>
      <c r="AM86" s="136">
        <v>0</v>
      </c>
      <c r="AN86" s="136">
        <v>0</v>
      </c>
      <c r="AO86" s="137">
        <f t="shared" si="176"/>
        <v>0</v>
      </c>
      <c r="AP86" s="138">
        <f t="shared" si="177"/>
        <v>0</v>
      </c>
    </row>
    <row r="87" spans="2:42" x14ac:dyDescent="0.2">
      <c r="B87" s="105" t="s">
        <v>245</v>
      </c>
      <c r="C87" s="106"/>
      <c r="D87" s="106"/>
      <c r="E87" s="112">
        <f>SUM(E72:E86)</f>
        <v>42.704419999999999</v>
      </c>
      <c r="F87" s="112">
        <f t="shared" ref="F87" si="178">SUM(F72:F86)</f>
        <v>43.110890000000005</v>
      </c>
      <c r="G87" s="112">
        <f t="shared" ref="G87" si="179">SUM(G72:G86)</f>
        <v>43.659190000000002</v>
      </c>
      <c r="H87" s="112">
        <f t="shared" ref="H87" si="180">SUM(H72:H86)</f>
        <v>41.802629999999994</v>
      </c>
      <c r="I87" s="112">
        <f t="shared" ref="I87" si="181">SUM(I72:I86)</f>
        <v>40.624249999999996</v>
      </c>
      <c r="J87" s="112">
        <f t="shared" ref="J87" si="182">SUM(J72:J86)</f>
        <v>44.833890000000004</v>
      </c>
      <c r="K87" s="112">
        <f t="shared" ref="K87" si="183">SUM(K72:K86)</f>
        <v>43.952739999999999</v>
      </c>
      <c r="L87" s="112">
        <f t="shared" ref="L87" si="184">SUM(L72:L86)</f>
        <v>41.827379999999998</v>
      </c>
      <c r="M87" s="112">
        <f t="shared" ref="M87" si="185">SUM(M72:M86)</f>
        <v>43.051729999999992</v>
      </c>
      <c r="N87" s="112">
        <f t="shared" ref="N87" si="186">SUM(N72:N86)</f>
        <v>43.424109999999999</v>
      </c>
      <c r="O87" s="112">
        <f t="shared" ref="O87" si="187">SUM(O72:O86)</f>
        <v>43.902170000000005</v>
      </c>
      <c r="P87" s="112">
        <f t="shared" ref="P87" si="188">SUM(P72:P86)</f>
        <v>43.466369999999998</v>
      </c>
      <c r="Q87" s="133">
        <f t="shared" ref="Q87" si="189">SUM(Q72:Q86)</f>
        <v>516.35977000000003</v>
      </c>
      <c r="R87" s="112">
        <f t="shared" ref="R87" si="190">SUM(R72:R86)</f>
        <v>44.167990000000003</v>
      </c>
      <c r="S87" s="112">
        <f t="shared" ref="S87" si="191">SUM(S72:S86)</f>
        <v>45.858229999999992</v>
      </c>
      <c r="T87" s="112">
        <f t="shared" ref="T87" si="192">SUM(T72:T86)</f>
        <v>47.050980000000003</v>
      </c>
      <c r="U87" s="112">
        <f t="shared" ref="U87" si="193">SUM(U72:U86)</f>
        <v>44.57799</v>
      </c>
      <c r="V87" s="112">
        <f t="shared" ref="V87" si="194">SUM(V72:V86)</f>
        <v>43.08887</v>
      </c>
      <c r="W87" s="112">
        <f t="shared" ref="W87" si="195">SUM(W72:W86)</f>
        <v>43.93139</v>
      </c>
      <c r="X87" s="112">
        <f t="shared" ref="X87" si="196">SUM(X72:X86)</f>
        <v>47.318359999999998</v>
      </c>
      <c r="Y87" s="112">
        <f t="shared" ref="Y87" si="197">SUM(Y72:Y86)</f>
        <v>46.08267</v>
      </c>
      <c r="Z87" s="112">
        <f t="shared" ref="Z87" si="198">SUM(Z72:Z86)</f>
        <v>43.866579999999999</v>
      </c>
      <c r="AA87" s="112">
        <f t="shared" ref="AA87" si="199">SUM(AA72:AA86)</f>
        <v>42.687559999999991</v>
      </c>
      <c r="AB87" s="112">
        <f t="shared" ref="AB87" si="200">SUM(AB72:AB86)</f>
        <v>43.86092</v>
      </c>
      <c r="AC87" s="112">
        <f t="shared" ref="AC87" si="201">SUM(AC72:AC86)</f>
        <v>46.839489999999998</v>
      </c>
      <c r="AD87" s="133">
        <f t="shared" ref="AD87" si="202">SUM(AD72:AD86)</f>
        <v>539.33102999999994</v>
      </c>
      <c r="AE87" s="112">
        <f t="shared" ref="AE87" si="203">SUM(AE72:AE86)</f>
        <v>49.428439999999995</v>
      </c>
      <c r="AF87" s="112">
        <f t="shared" ref="AF87" si="204">SUM(AF72:AF86)</f>
        <v>47.090200000000003</v>
      </c>
      <c r="AG87" s="112">
        <f t="shared" ref="AG87" si="205">SUM(AG72:AG86)</f>
        <v>46.459299999999999</v>
      </c>
      <c r="AH87" s="112">
        <f t="shared" ref="AH87" si="206">SUM(AH72:AH86)</f>
        <v>46.912169999999996</v>
      </c>
      <c r="AI87" s="112">
        <f t="shared" ref="AI87" si="207">SUM(AI72:AI86)</f>
        <v>48.693099999999994</v>
      </c>
      <c r="AJ87" s="112">
        <f t="shared" ref="AJ87" si="208">SUM(AJ72:AJ86)</f>
        <v>47.850819999999999</v>
      </c>
      <c r="AK87" s="112">
        <f t="shared" ref="AK87" si="209">SUM(AK72:AK86)</f>
        <v>45.19238</v>
      </c>
      <c r="AL87" s="112">
        <f t="shared" ref="AL87" si="210">SUM(AL72:AL86)</f>
        <v>47.098749999999995</v>
      </c>
      <c r="AM87" s="112">
        <f t="shared" ref="AM87" si="211">SUM(AM72:AM86)</f>
        <v>47.704390000000004</v>
      </c>
      <c r="AN87" s="112">
        <f t="shared" ref="AN87" si="212">SUM(AN72:AN86)</f>
        <v>48.084229999999998</v>
      </c>
      <c r="AO87" s="133">
        <f t="shared" ref="AO87" si="213">SUM(AO72:AO86)</f>
        <v>474.51378</v>
      </c>
      <c r="AP87" s="125">
        <f t="shared" ref="AP87" si="214">SUM(AP72:AP86)</f>
        <v>565.21419000000003</v>
      </c>
    </row>
    <row r="88" spans="2:42" s="39" customFormat="1" ht="11.25" outlineLevel="1" x14ac:dyDescent="0.2">
      <c r="B88" s="39" t="s">
        <v>212</v>
      </c>
      <c r="E88" s="110">
        <f>+'1. Income Statement'!E13-'6. Billing by Customer'!E87</f>
        <v>2.0000000006348273E-5</v>
      </c>
      <c r="F88" s="110">
        <f>+'1. Income Statement'!F13-'6. Billing by Customer'!F87</f>
        <v>9.9999999960687092E-6</v>
      </c>
      <c r="G88" s="110">
        <f>+'1. Income Statement'!G13-'6. Billing by Customer'!G87</f>
        <v>0</v>
      </c>
      <c r="H88" s="110">
        <f>+'1. Income Statement'!H13-'6. Billing by Customer'!H87</f>
        <v>-9.9999999889632818E-6</v>
      </c>
      <c r="I88" s="110">
        <f>+'1. Income Statement'!I13-'6. Billing by Customer'!I87</f>
        <v>1.0000000003174137E-5</v>
      </c>
      <c r="J88" s="110">
        <f>+'1. Income Statement'!J13-'6. Billing by Customer'!J87</f>
        <v>-1.0000000003174137E-5</v>
      </c>
      <c r="K88" s="110">
        <f>+'1. Income Statement'!K13-'6. Billing by Customer'!K87</f>
        <v>1.0000000003174137E-5</v>
      </c>
      <c r="L88" s="110">
        <f>+'1. Income Statement'!L13-'6. Billing by Customer'!L87</f>
        <v>-9.9999999960687092E-6</v>
      </c>
      <c r="M88" s="110">
        <f>+'1. Income Statement'!M13-'6. Billing by Customer'!M87</f>
        <v>3.000000000952241E-5</v>
      </c>
      <c r="N88" s="110">
        <f>+'1. Income Statement'!N13-'6. Billing by Customer'!N87</f>
        <v>1.9999999999242846E-5</v>
      </c>
      <c r="O88" s="110">
        <f>+'1. Income Statement'!O13-'6. Billing by Customer'!O87</f>
        <v>0</v>
      </c>
      <c r="P88" s="110">
        <f>+'1. Income Statement'!P13-'6. Billing by Customer'!P87</f>
        <v>-3.0000000002416982E-5</v>
      </c>
      <c r="Q88" s="110">
        <f>+'1. Income Statement'!Q13-'6. Billing by Customer'!Q87</f>
        <v>3.9999999899009708E-5</v>
      </c>
      <c r="R88" s="110">
        <f>+'1. Income Statement'!R13-'6. Billing by Customer'!R87</f>
        <v>0</v>
      </c>
      <c r="S88" s="110">
        <f>+'1. Income Statement'!S13-'6. Billing by Customer'!S87</f>
        <v>-9.9999999889632818E-6</v>
      </c>
      <c r="T88" s="110">
        <f>+'1. Income Statement'!T13-'6. Billing by Customer'!T87</f>
        <v>-2.0000000006348273E-5</v>
      </c>
      <c r="U88" s="110">
        <f>+'1. Income Statement'!U13-'6. Billing by Customer'!U87</f>
        <v>-9.9999999960687092E-6</v>
      </c>
      <c r="V88" s="110">
        <f>+'1. Income Statement'!V13-'6. Billing by Customer'!V87</f>
        <v>-1.9999999999242846E-5</v>
      </c>
      <c r="W88" s="110">
        <f>+'1. Income Statement'!W13-'6. Billing by Customer'!W87</f>
        <v>0</v>
      </c>
      <c r="X88" s="110">
        <f>+'1. Income Statement'!X13-'6. Billing by Customer'!X87</f>
        <v>1.0000000003174137E-5</v>
      </c>
      <c r="Y88" s="110">
        <f>+'1. Income Statement'!Y13-'6. Billing by Customer'!Y87</f>
        <v>-9.9999999960687092E-6</v>
      </c>
      <c r="Z88" s="110">
        <f>+'1. Income Statement'!Z13-'6. Billing by Customer'!Z87</f>
        <v>1.9999999999242846E-5</v>
      </c>
      <c r="AA88" s="110">
        <f>+'1. Income Statement'!AA13-'6. Billing by Customer'!AA87</f>
        <v>-9.9999999889632818E-6</v>
      </c>
      <c r="AB88" s="110">
        <f>+'1. Income Statement'!AB13-'6. Billing by Customer'!AB87</f>
        <v>0</v>
      </c>
      <c r="AC88" s="110">
        <f>+'1. Income Statement'!AC13-'6. Billing by Customer'!AC87</f>
        <v>0</v>
      </c>
      <c r="AD88" s="110">
        <f>+'1. Income Statement'!AD13-'6. Billing by Customer'!AD87</f>
        <v>-4.9999999987448973E-5</v>
      </c>
      <c r="AE88" s="110">
        <f>+'1. Income Statement'!AE13-'6. Billing by Customer'!AE87</f>
        <v>0</v>
      </c>
      <c r="AF88" s="110">
        <f>+'1. Income Statement'!AF13-'6. Billing by Customer'!AF87</f>
        <v>0</v>
      </c>
      <c r="AG88" s="110">
        <f>+'1. Income Statement'!AG13-'6. Billing by Customer'!AG87</f>
        <v>9.9999999960687092E-6</v>
      </c>
      <c r="AH88" s="110">
        <f>+'1. Income Statement'!AH13-'6. Billing by Customer'!AH87</f>
        <v>1.0000000003174137E-5</v>
      </c>
      <c r="AI88" s="110">
        <f>+'1. Income Statement'!AI13-'6. Billing by Customer'!AI87</f>
        <v>-1.9999999992137418E-5</v>
      </c>
      <c r="AJ88" s="110">
        <f>+'1. Income Statement'!AJ13-'6. Billing by Customer'!AJ87</f>
        <v>0</v>
      </c>
      <c r="AK88" s="110">
        <f>+'1. Income Statement'!AK13-'6. Billing by Customer'!AK87</f>
        <v>0</v>
      </c>
      <c r="AL88" s="110">
        <f>+'1. Income Statement'!AL13-'6. Billing by Customer'!AL87</f>
        <v>0</v>
      </c>
      <c r="AM88" s="110">
        <f>+'1. Income Statement'!AM13-'6. Billing by Customer'!AM87</f>
        <v>-1.9999999999242846E-5</v>
      </c>
      <c r="AN88" s="110">
        <f>+'1. Income Statement'!AN13-'6. Billing by Customer'!AN87</f>
        <v>-1.9999999999242846E-5</v>
      </c>
      <c r="AO88" s="110">
        <f>+'1. Income Statement'!AO13-'6. Billing by Customer'!AO87</f>
        <v>-4.0000000012696546E-5</v>
      </c>
      <c r="AP88" s="110">
        <f>+'1. Income Statement'!AP13-'6. Billing by Customer'!AP87</f>
        <v>-4.0000000126383384E-5</v>
      </c>
    </row>
    <row r="90" spans="2:42" x14ac:dyDescent="0.2">
      <c r="B90" s="139" t="s">
        <v>263</v>
      </c>
    </row>
    <row r="91" spans="2:42" x14ac:dyDescent="0.2">
      <c r="B91" s="126" t="s">
        <v>68</v>
      </c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27" t="s">
        <v>63</v>
      </c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27" t="s">
        <v>63</v>
      </c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27" t="s">
        <v>64</v>
      </c>
      <c r="AP91" s="128" t="s">
        <v>65</v>
      </c>
    </row>
    <row r="92" spans="2:42" x14ac:dyDescent="0.2">
      <c r="B92" s="23" t="s">
        <v>246</v>
      </c>
      <c r="C92" s="129"/>
      <c r="D92" s="129"/>
      <c r="E92" s="130">
        <v>44957</v>
      </c>
      <c r="F92" s="130">
        <f>EOMONTH(E92,1)</f>
        <v>44985</v>
      </c>
      <c r="G92" s="130">
        <f t="shared" ref="G92" si="215">EOMONTH(F92,1)</f>
        <v>45016</v>
      </c>
      <c r="H92" s="130">
        <f t="shared" ref="H92" si="216">EOMONTH(G92,1)</f>
        <v>45046</v>
      </c>
      <c r="I92" s="130">
        <f t="shared" ref="I92" si="217">EOMONTH(H92,1)</f>
        <v>45077</v>
      </c>
      <c r="J92" s="130">
        <f t="shared" ref="J92" si="218">EOMONTH(I92,1)</f>
        <v>45107</v>
      </c>
      <c r="K92" s="130">
        <f t="shared" ref="K92" si="219">EOMONTH(J92,1)</f>
        <v>45138</v>
      </c>
      <c r="L92" s="130">
        <f t="shared" ref="L92" si="220">EOMONTH(K92,1)</f>
        <v>45169</v>
      </c>
      <c r="M92" s="130">
        <f t="shared" ref="M92" si="221">EOMONTH(L92,1)</f>
        <v>45199</v>
      </c>
      <c r="N92" s="130">
        <f t="shared" ref="N92" si="222">EOMONTH(M92,1)</f>
        <v>45230</v>
      </c>
      <c r="O92" s="130">
        <f t="shared" ref="O92" si="223">EOMONTH(N92,1)</f>
        <v>45260</v>
      </c>
      <c r="P92" s="130">
        <f t="shared" ref="P92" si="224">EOMONTH(O92,1)</f>
        <v>45291</v>
      </c>
      <c r="Q92" s="131">
        <f>YEAR(P92)</f>
        <v>2023</v>
      </c>
      <c r="R92" s="130">
        <f>EOMONTH(P92,1)</f>
        <v>45322</v>
      </c>
      <c r="S92" s="130">
        <f>EOMONTH(R92,1)</f>
        <v>45351</v>
      </c>
      <c r="T92" s="130">
        <f t="shared" ref="T92" si="225">EOMONTH(S92,1)</f>
        <v>45382</v>
      </c>
      <c r="U92" s="130">
        <f t="shared" ref="U92" si="226">EOMONTH(T92,1)</f>
        <v>45412</v>
      </c>
      <c r="V92" s="130">
        <f t="shared" ref="V92" si="227">EOMONTH(U92,1)</f>
        <v>45443</v>
      </c>
      <c r="W92" s="130">
        <f t="shared" ref="W92" si="228">EOMONTH(V92,1)</f>
        <v>45473</v>
      </c>
      <c r="X92" s="130">
        <f t="shared" ref="X92" si="229">EOMONTH(W92,1)</f>
        <v>45504</v>
      </c>
      <c r="Y92" s="130">
        <f t="shared" ref="Y92" si="230">EOMONTH(X92,1)</f>
        <v>45535</v>
      </c>
      <c r="Z92" s="130">
        <f t="shared" ref="Z92" si="231">EOMONTH(Y92,1)</f>
        <v>45565</v>
      </c>
      <c r="AA92" s="130">
        <f t="shared" ref="AA92" si="232">EOMONTH(Z92,1)</f>
        <v>45596</v>
      </c>
      <c r="AB92" s="130">
        <f t="shared" ref="AB92" si="233">EOMONTH(AA92,1)</f>
        <v>45626</v>
      </c>
      <c r="AC92" s="130">
        <f t="shared" ref="AC92" si="234">EOMONTH(AB92,1)</f>
        <v>45657</v>
      </c>
      <c r="AD92" s="131">
        <f>YEAR(AC92)</f>
        <v>2024</v>
      </c>
      <c r="AE92" s="130">
        <f>EOMONTH(AC92,1)</f>
        <v>45688</v>
      </c>
      <c r="AF92" s="130">
        <f>EOMONTH(AE92,1)</f>
        <v>45716</v>
      </c>
      <c r="AG92" s="130">
        <f t="shared" ref="AG92" si="235">EOMONTH(AF92,1)</f>
        <v>45747</v>
      </c>
      <c r="AH92" s="130">
        <f t="shared" ref="AH92" si="236">EOMONTH(AG92,1)</f>
        <v>45777</v>
      </c>
      <c r="AI92" s="130">
        <f t="shared" ref="AI92" si="237">EOMONTH(AH92,1)</f>
        <v>45808</v>
      </c>
      <c r="AJ92" s="130">
        <f t="shared" ref="AJ92" si="238">EOMONTH(AI92,1)</f>
        <v>45838</v>
      </c>
      <c r="AK92" s="130">
        <f t="shared" ref="AK92" si="239">EOMONTH(AJ92,1)</f>
        <v>45869</v>
      </c>
      <c r="AL92" s="130">
        <f t="shared" ref="AL92" si="240">EOMONTH(AK92,1)</f>
        <v>45900</v>
      </c>
      <c r="AM92" s="130">
        <f t="shared" ref="AM92" si="241">EOMONTH(AL92,1)</f>
        <v>45930</v>
      </c>
      <c r="AN92" s="130">
        <f t="shared" ref="AN92" si="242">EOMONTH(AM92,1)</f>
        <v>45961</v>
      </c>
      <c r="AO92" s="132">
        <f>+AN92</f>
        <v>45961</v>
      </c>
      <c r="AP92" s="37">
        <f>+AO92</f>
        <v>45961</v>
      </c>
    </row>
    <row r="93" spans="2:42" x14ac:dyDescent="0.2">
      <c r="B93" s="134" t="s">
        <v>257</v>
      </c>
      <c r="C93" s="135"/>
      <c r="D93" s="135"/>
      <c r="E93" s="136">
        <v>0</v>
      </c>
      <c r="F93" s="136">
        <v>0</v>
      </c>
      <c r="G93" s="136">
        <v>0</v>
      </c>
      <c r="H93" s="136">
        <v>0</v>
      </c>
      <c r="I93" s="136">
        <v>0</v>
      </c>
      <c r="J93" s="136">
        <v>0</v>
      </c>
      <c r="K93" s="136">
        <v>0</v>
      </c>
      <c r="L93" s="136">
        <v>0</v>
      </c>
      <c r="M93" s="136">
        <v>0</v>
      </c>
      <c r="N93" s="136">
        <v>0</v>
      </c>
      <c r="O93" s="136">
        <v>0</v>
      </c>
      <c r="P93" s="136">
        <v>0</v>
      </c>
      <c r="Q93" s="137">
        <f>SUM(F93:P93)</f>
        <v>0</v>
      </c>
      <c r="R93" s="136">
        <v>0</v>
      </c>
      <c r="S93" s="136">
        <v>0</v>
      </c>
      <c r="T93" s="136">
        <v>0</v>
      </c>
      <c r="U93" s="136">
        <v>0</v>
      </c>
      <c r="V93" s="136">
        <v>0</v>
      </c>
      <c r="W93" s="136">
        <v>0</v>
      </c>
      <c r="X93" s="136">
        <v>0</v>
      </c>
      <c r="Y93" s="136">
        <v>0</v>
      </c>
      <c r="Z93" s="136">
        <v>0</v>
      </c>
      <c r="AA93" s="136">
        <v>0</v>
      </c>
      <c r="AB93" s="136">
        <v>0</v>
      </c>
      <c r="AC93" s="136">
        <v>0</v>
      </c>
      <c r="AD93" s="137">
        <f>SUM(R93:AC93)</f>
        <v>0</v>
      </c>
      <c r="AE93" s="136">
        <v>0</v>
      </c>
      <c r="AF93" s="136">
        <v>0</v>
      </c>
      <c r="AG93" s="136">
        <v>0</v>
      </c>
      <c r="AH93" s="136">
        <v>0</v>
      </c>
      <c r="AI93" s="136">
        <v>0</v>
      </c>
      <c r="AJ93" s="136">
        <v>0</v>
      </c>
      <c r="AK93" s="136">
        <v>0</v>
      </c>
      <c r="AL93" s="136">
        <v>0</v>
      </c>
      <c r="AM93" s="136">
        <v>0</v>
      </c>
      <c r="AN93" s="136">
        <v>0</v>
      </c>
      <c r="AO93" s="137">
        <f>SUM(AE93:AN93)</f>
        <v>0</v>
      </c>
      <c r="AP93" s="138">
        <f>SUM(AO93,AB93:AC93)</f>
        <v>0</v>
      </c>
    </row>
    <row r="94" spans="2:42" x14ac:dyDescent="0.2">
      <c r="B94" s="87" t="s">
        <v>248</v>
      </c>
      <c r="C94" s="93"/>
      <c r="D94" s="93"/>
      <c r="E94" s="119">
        <v>0</v>
      </c>
      <c r="F94" s="119">
        <v>0</v>
      </c>
      <c r="G94" s="119">
        <v>0</v>
      </c>
      <c r="H94" s="119">
        <v>0</v>
      </c>
      <c r="I94" s="119">
        <v>0</v>
      </c>
      <c r="J94" s="119">
        <v>0</v>
      </c>
      <c r="K94" s="119">
        <v>0</v>
      </c>
      <c r="L94" s="119">
        <v>0</v>
      </c>
      <c r="M94" s="119">
        <v>0</v>
      </c>
      <c r="N94" s="119">
        <v>0</v>
      </c>
      <c r="O94" s="119">
        <v>0</v>
      </c>
      <c r="P94" s="119">
        <v>0</v>
      </c>
      <c r="Q94" s="98">
        <f>SUM(F94:P94)</f>
        <v>0</v>
      </c>
      <c r="R94" s="119">
        <v>0</v>
      </c>
      <c r="S94" s="119">
        <v>0</v>
      </c>
      <c r="T94" s="119">
        <v>0</v>
      </c>
      <c r="U94" s="119">
        <v>0</v>
      </c>
      <c r="V94" s="119">
        <v>0</v>
      </c>
      <c r="W94" s="119">
        <v>0</v>
      </c>
      <c r="X94" s="119">
        <v>0</v>
      </c>
      <c r="Y94" s="119">
        <v>0</v>
      </c>
      <c r="Z94" s="119">
        <v>0</v>
      </c>
      <c r="AA94" s="119">
        <v>0</v>
      </c>
      <c r="AB94" s="119">
        <v>0</v>
      </c>
      <c r="AC94" s="119">
        <v>0</v>
      </c>
      <c r="AD94" s="98">
        <f t="shared" ref="AD94:AD107" si="243">SUM(R94:AC94)</f>
        <v>0</v>
      </c>
      <c r="AE94" s="119">
        <v>0</v>
      </c>
      <c r="AF94" s="119">
        <v>0</v>
      </c>
      <c r="AG94" s="119">
        <v>0</v>
      </c>
      <c r="AH94" s="119">
        <v>0</v>
      </c>
      <c r="AI94" s="119">
        <v>0</v>
      </c>
      <c r="AJ94" s="119">
        <v>0</v>
      </c>
      <c r="AK94" s="119">
        <v>0</v>
      </c>
      <c r="AL94" s="119">
        <v>0</v>
      </c>
      <c r="AM94" s="119">
        <v>0</v>
      </c>
      <c r="AN94" s="119">
        <v>0</v>
      </c>
      <c r="AO94" s="98">
        <f t="shared" ref="AO94:AO107" si="244">SUM(AE94:AN94)</f>
        <v>0</v>
      </c>
      <c r="AP94" s="96">
        <f t="shared" ref="AP94:AP107" si="245">SUM(AO94,AB94:AC94)</f>
        <v>0</v>
      </c>
    </row>
    <row r="95" spans="2:42" x14ac:dyDescent="0.2">
      <c r="B95" s="134" t="s">
        <v>255</v>
      </c>
      <c r="C95" s="135"/>
      <c r="D95" s="135"/>
      <c r="E95" s="136">
        <v>0</v>
      </c>
      <c r="F95" s="136">
        <v>0</v>
      </c>
      <c r="G95" s="136">
        <v>0</v>
      </c>
      <c r="H95" s="136">
        <v>0</v>
      </c>
      <c r="I95" s="136">
        <v>0</v>
      </c>
      <c r="J95" s="136">
        <v>0</v>
      </c>
      <c r="K95" s="136">
        <v>0</v>
      </c>
      <c r="L95" s="136">
        <v>0</v>
      </c>
      <c r="M95" s="136">
        <v>0</v>
      </c>
      <c r="N95" s="136">
        <v>0</v>
      </c>
      <c r="O95" s="136">
        <v>0</v>
      </c>
      <c r="P95" s="136">
        <v>0</v>
      </c>
      <c r="Q95" s="137">
        <f>SUM(F95:P95)</f>
        <v>0</v>
      </c>
      <c r="R95" s="136">
        <v>0</v>
      </c>
      <c r="S95" s="136">
        <v>0</v>
      </c>
      <c r="T95" s="136">
        <v>0</v>
      </c>
      <c r="U95" s="136">
        <v>0</v>
      </c>
      <c r="V95" s="136">
        <v>0</v>
      </c>
      <c r="W95" s="136">
        <v>0</v>
      </c>
      <c r="X95" s="136">
        <v>0</v>
      </c>
      <c r="Y95" s="136">
        <v>0</v>
      </c>
      <c r="Z95" s="136">
        <v>0</v>
      </c>
      <c r="AA95" s="136">
        <v>0</v>
      </c>
      <c r="AB95" s="136">
        <v>0</v>
      </c>
      <c r="AC95" s="136">
        <v>0</v>
      </c>
      <c r="AD95" s="137">
        <f t="shared" si="243"/>
        <v>0</v>
      </c>
      <c r="AE95" s="136">
        <v>0</v>
      </c>
      <c r="AF95" s="136">
        <v>0</v>
      </c>
      <c r="AG95" s="136">
        <v>0</v>
      </c>
      <c r="AH95" s="136">
        <v>0</v>
      </c>
      <c r="AI95" s="136">
        <v>0</v>
      </c>
      <c r="AJ95" s="136">
        <v>0</v>
      </c>
      <c r="AK95" s="136">
        <v>0</v>
      </c>
      <c r="AL95" s="136">
        <v>0</v>
      </c>
      <c r="AM95" s="136">
        <v>72.932100000000005</v>
      </c>
      <c r="AN95" s="136">
        <v>0</v>
      </c>
      <c r="AO95" s="137">
        <f t="shared" si="244"/>
        <v>72.932100000000005</v>
      </c>
      <c r="AP95" s="138">
        <f t="shared" si="245"/>
        <v>72.932100000000005</v>
      </c>
    </row>
    <row r="96" spans="2:42" x14ac:dyDescent="0.2">
      <c r="B96" s="87" t="s">
        <v>250</v>
      </c>
      <c r="C96" s="93"/>
      <c r="D96" s="93"/>
      <c r="E96" s="119">
        <v>0</v>
      </c>
      <c r="F96" s="119">
        <v>0</v>
      </c>
      <c r="G96" s="119">
        <v>0</v>
      </c>
      <c r="H96" s="119">
        <v>0</v>
      </c>
      <c r="I96" s="119">
        <v>0</v>
      </c>
      <c r="J96" s="119">
        <v>0</v>
      </c>
      <c r="K96" s="119">
        <v>0</v>
      </c>
      <c r="L96" s="119">
        <v>0</v>
      </c>
      <c r="M96" s="119">
        <v>0</v>
      </c>
      <c r="N96" s="119">
        <v>0</v>
      </c>
      <c r="O96" s="119">
        <v>0</v>
      </c>
      <c r="P96" s="119">
        <v>0</v>
      </c>
      <c r="Q96" s="98">
        <f>SUM(F96:P96)</f>
        <v>0</v>
      </c>
      <c r="R96" s="119">
        <v>0</v>
      </c>
      <c r="S96" s="119">
        <v>0</v>
      </c>
      <c r="T96" s="119">
        <v>0</v>
      </c>
      <c r="U96" s="119">
        <v>0</v>
      </c>
      <c r="V96" s="119">
        <v>0</v>
      </c>
      <c r="W96" s="119">
        <v>0</v>
      </c>
      <c r="X96" s="119">
        <v>0</v>
      </c>
      <c r="Y96" s="119">
        <v>0</v>
      </c>
      <c r="Z96" s="119">
        <v>0</v>
      </c>
      <c r="AA96" s="119">
        <v>0</v>
      </c>
      <c r="AB96" s="119">
        <v>0</v>
      </c>
      <c r="AC96" s="119">
        <v>0</v>
      </c>
      <c r="AD96" s="98">
        <f t="shared" si="243"/>
        <v>0</v>
      </c>
      <c r="AE96" s="119">
        <v>0</v>
      </c>
      <c r="AF96" s="119">
        <v>0</v>
      </c>
      <c r="AG96" s="119">
        <v>0</v>
      </c>
      <c r="AH96" s="119">
        <v>0</v>
      </c>
      <c r="AI96" s="119">
        <v>0</v>
      </c>
      <c r="AJ96" s="119">
        <v>78.258899999999997</v>
      </c>
      <c r="AK96" s="119">
        <v>0</v>
      </c>
      <c r="AL96" s="119">
        <v>0</v>
      </c>
      <c r="AM96" s="119">
        <v>0</v>
      </c>
      <c r="AN96" s="119">
        <v>0</v>
      </c>
      <c r="AO96" s="98">
        <f t="shared" si="244"/>
        <v>78.258899999999997</v>
      </c>
      <c r="AP96" s="96">
        <f t="shared" si="245"/>
        <v>78.258899999999997</v>
      </c>
    </row>
    <row r="97" spans="2:42" x14ac:dyDescent="0.2">
      <c r="B97" s="134" t="s">
        <v>254</v>
      </c>
      <c r="C97" s="135"/>
      <c r="D97" s="135"/>
      <c r="E97" s="136">
        <v>0</v>
      </c>
      <c r="F97" s="136">
        <v>0</v>
      </c>
      <c r="G97" s="136">
        <v>0</v>
      </c>
      <c r="H97" s="136">
        <v>0</v>
      </c>
      <c r="I97" s="136">
        <v>0</v>
      </c>
      <c r="J97" s="136">
        <v>0</v>
      </c>
      <c r="K97" s="136">
        <v>0</v>
      </c>
      <c r="L97" s="136">
        <v>0</v>
      </c>
      <c r="M97" s="136">
        <v>0</v>
      </c>
      <c r="N97" s="136">
        <v>0</v>
      </c>
      <c r="O97" s="136">
        <v>0</v>
      </c>
      <c r="P97" s="136">
        <v>0</v>
      </c>
      <c r="Q97" s="137">
        <f>SUM(F97:P97)</f>
        <v>0</v>
      </c>
      <c r="R97" s="136">
        <v>0</v>
      </c>
      <c r="S97" s="136">
        <v>0</v>
      </c>
      <c r="T97" s="136">
        <v>0</v>
      </c>
      <c r="U97" s="136">
        <v>0</v>
      </c>
      <c r="V97" s="136">
        <v>0</v>
      </c>
      <c r="W97" s="136">
        <v>68.364159999999998</v>
      </c>
      <c r="X97" s="136">
        <v>0</v>
      </c>
      <c r="Y97" s="136">
        <v>0</v>
      </c>
      <c r="Z97" s="136">
        <v>0</v>
      </c>
      <c r="AA97" s="136">
        <v>0</v>
      </c>
      <c r="AB97" s="136">
        <v>0</v>
      </c>
      <c r="AC97" s="136">
        <v>0</v>
      </c>
      <c r="AD97" s="137">
        <f t="shared" si="243"/>
        <v>68.364159999999998</v>
      </c>
      <c r="AE97" s="136">
        <v>0</v>
      </c>
      <c r="AF97" s="136">
        <v>0</v>
      </c>
      <c r="AG97" s="136">
        <v>76.3279</v>
      </c>
      <c r="AH97" s="136">
        <v>0</v>
      </c>
      <c r="AI97" s="136">
        <v>0</v>
      </c>
      <c r="AJ97" s="136">
        <v>0</v>
      </c>
      <c r="AK97" s="136">
        <v>0</v>
      </c>
      <c r="AL97" s="136">
        <v>0</v>
      </c>
      <c r="AM97" s="136">
        <v>0</v>
      </c>
      <c r="AN97" s="136">
        <v>0</v>
      </c>
      <c r="AO97" s="137">
        <f t="shared" si="244"/>
        <v>76.3279</v>
      </c>
      <c r="AP97" s="138">
        <f t="shared" si="245"/>
        <v>76.3279</v>
      </c>
    </row>
    <row r="98" spans="2:42" x14ac:dyDescent="0.2">
      <c r="B98" s="87" t="s">
        <v>253</v>
      </c>
      <c r="C98" s="93"/>
      <c r="D98" s="93"/>
      <c r="E98" s="119">
        <v>0</v>
      </c>
      <c r="F98" s="119">
        <v>0</v>
      </c>
      <c r="G98" s="119">
        <v>0</v>
      </c>
      <c r="H98" s="119">
        <v>0</v>
      </c>
      <c r="I98" s="119">
        <v>0</v>
      </c>
      <c r="J98" s="119">
        <v>0</v>
      </c>
      <c r="K98" s="119">
        <v>0</v>
      </c>
      <c r="L98" s="119">
        <v>0</v>
      </c>
      <c r="M98" s="119">
        <v>0</v>
      </c>
      <c r="N98" s="119">
        <v>0</v>
      </c>
      <c r="O98" s="119">
        <v>0</v>
      </c>
      <c r="P98" s="119">
        <v>0</v>
      </c>
      <c r="Q98" s="98">
        <f>SUM(F98:P98)</f>
        <v>0</v>
      </c>
      <c r="R98" s="119">
        <v>0</v>
      </c>
      <c r="S98" s="119">
        <v>0</v>
      </c>
      <c r="T98" s="119">
        <v>0</v>
      </c>
      <c r="U98" s="119">
        <v>0</v>
      </c>
      <c r="V98" s="119">
        <v>0</v>
      </c>
      <c r="W98" s="119">
        <v>0</v>
      </c>
      <c r="X98" s="119">
        <v>0</v>
      </c>
      <c r="Y98" s="119">
        <v>0</v>
      </c>
      <c r="Z98" s="119">
        <v>0</v>
      </c>
      <c r="AA98" s="119">
        <v>0</v>
      </c>
      <c r="AB98" s="119">
        <v>0</v>
      </c>
      <c r="AC98" s="119">
        <v>0</v>
      </c>
      <c r="AD98" s="98">
        <f t="shared" si="243"/>
        <v>0</v>
      </c>
      <c r="AE98" s="119">
        <v>0</v>
      </c>
      <c r="AF98" s="119">
        <v>0</v>
      </c>
      <c r="AG98" s="119">
        <v>0</v>
      </c>
      <c r="AH98" s="119">
        <v>0</v>
      </c>
      <c r="AI98" s="119">
        <v>0</v>
      </c>
      <c r="AJ98" s="119">
        <v>0</v>
      </c>
      <c r="AK98" s="119">
        <v>0</v>
      </c>
      <c r="AL98" s="119">
        <v>0</v>
      </c>
      <c r="AM98" s="119">
        <v>0</v>
      </c>
      <c r="AN98" s="119">
        <v>0</v>
      </c>
      <c r="AO98" s="98">
        <f t="shared" si="244"/>
        <v>0</v>
      </c>
      <c r="AP98" s="96">
        <f t="shared" si="245"/>
        <v>0</v>
      </c>
    </row>
    <row r="99" spans="2:42" x14ac:dyDescent="0.2">
      <c r="B99" s="134" t="s">
        <v>251</v>
      </c>
      <c r="C99" s="135"/>
      <c r="D99" s="135"/>
      <c r="E99" s="136">
        <v>0</v>
      </c>
      <c r="F99" s="136">
        <v>0</v>
      </c>
      <c r="G99" s="136">
        <v>0</v>
      </c>
      <c r="H99" s="136">
        <v>0</v>
      </c>
      <c r="I99" s="136">
        <v>0</v>
      </c>
      <c r="J99" s="136">
        <v>0</v>
      </c>
      <c r="K99" s="136">
        <v>0</v>
      </c>
      <c r="L99" s="136">
        <v>0</v>
      </c>
      <c r="M99" s="136">
        <v>0</v>
      </c>
      <c r="N99" s="136">
        <v>0</v>
      </c>
      <c r="O99" s="136">
        <v>0</v>
      </c>
      <c r="P99" s="136">
        <v>0</v>
      </c>
      <c r="Q99" s="137">
        <f>SUM(F99:P99)</f>
        <v>0</v>
      </c>
      <c r="R99" s="136">
        <v>0</v>
      </c>
      <c r="S99" s="136">
        <v>0</v>
      </c>
      <c r="T99" s="136">
        <v>0</v>
      </c>
      <c r="U99" s="136">
        <v>0</v>
      </c>
      <c r="V99" s="136">
        <v>0</v>
      </c>
      <c r="W99" s="136">
        <v>0</v>
      </c>
      <c r="X99" s="136">
        <v>0</v>
      </c>
      <c r="Y99" s="136">
        <v>0</v>
      </c>
      <c r="Z99" s="136">
        <v>0</v>
      </c>
      <c r="AA99" s="136">
        <v>0</v>
      </c>
      <c r="AB99" s="136">
        <v>0</v>
      </c>
      <c r="AC99" s="136">
        <v>0</v>
      </c>
      <c r="AD99" s="137">
        <f t="shared" si="243"/>
        <v>0</v>
      </c>
      <c r="AE99" s="136">
        <v>0</v>
      </c>
      <c r="AF99" s="136">
        <v>0</v>
      </c>
      <c r="AG99" s="136">
        <v>0</v>
      </c>
      <c r="AH99" s="136">
        <v>0</v>
      </c>
      <c r="AI99" s="136">
        <v>0</v>
      </c>
      <c r="AJ99" s="136">
        <v>0</v>
      </c>
      <c r="AK99" s="136">
        <v>0</v>
      </c>
      <c r="AL99" s="136">
        <v>0</v>
      </c>
      <c r="AM99" s="136">
        <v>0</v>
      </c>
      <c r="AN99" s="136">
        <v>0</v>
      </c>
      <c r="AO99" s="137">
        <f t="shared" si="244"/>
        <v>0</v>
      </c>
      <c r="AP99" s="138">
        <f t="shared" si="245"/>
        <v>0</v>
      </c>
    </row>
    <row r="100" spans="2:42" x14ac:dyDescent="0.2">
      <c r="B100" s="87" t="s">
        <v>256</v>
      </c>
      <c r="C100" s="93"/>
      <c r="D100" s="93"/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67.769469999999998</v>
      </c>
      <c r="K100" s="119">
        <v>0</v>
      </c>
      <c r="L100" s="119">
        <v>0</v>
      </c>
      <c r="M100" s="119">
        <v>0</v>
      </c>
      <c r="N100" s="119">
        <v>0</v>
      </c>
      <c r="O100" s="119">
        <v>0</v>
      </c>
      <c r="P100" s="119">
        <v>0</v>
      </c>
      <c r="Q100" s="98">
        <f>SUM(F100:P100)</f>
        <v>67.769469999999998</v>
      </c>
      <c r="R100" s="119">
        <v>0</v>
      </c>
      <c r="S100" s="119">
        <v>0</v>
      </c>
      <c r="T100" s="119">
        <v>0</v>
      </c>
      <c r="U100" s="119">
        <v>0</v>
      </c>
      <c r="V100" s="119">
        <v>0</v>
      </c>
      <c r="W100" s="119">
        <v>0</v>
      </c>
      <c r="X100" s="119">
        <v>0</v>
      </c>
      <c r="Y100" s="119">
        <v>0</v>
      </c>
      <c r="Z100" s="119">
        <v>0</v>
      </c>
      <c r="AA100" s="119">
        <v>0</v>
      </c>
      <c r="AB100" s="119">
        <v>0</v>
      </c>
      <c r="AC100" s="119">
        <v>0</v>
      </c>
      <c r="AD100" s="98">
        <f t="shared" si="243"/>
        <v>0</v>
      </c>
      <c r="AE100" s="119">
        <v>0</v>
      </c>
      <c r="AF100" s="119">
        <v>0</v>
      </c>
      <c r="AG100" s="119">
        <v>0</v>
      </c>
      <c r="AH100" s="119">
        <v>0</v>
      </c>
      <c r="AI100" s="119">
        <v>0</v>
      </c>
      <c r="AJ100" s="119">
        <v>0</v>
      </c>
      <c r="AK100" s="119">
        <v>0</v>
      </c>
      <c r="AL100" s="119">
        <v>0</v>
      </c>
      <c r="AM100" s="119">
        <v>0</v>
      </c>
      <c r="AN100" s="119">
        <v>0</v>
      </c>
      <c r="AO100" s="98">
        <f t="shared" si="244"/>
        <v>0</v>
      </c>
      <c r="AP100" s="96">
        <f t="shared" si="245"/>
        <v>0</v>
      </c>
    </row>
    <row r="101" spans="2:42" x14ac:dyDescent="0.2">
      <c r="B101" s="134" t="s">
        <v>247</v>
      </c>
      <c r="C101" s="135"/>
      <c r="D101" s="135"/>
      <c r="E101" s="136">
        <v>0</v>
      </c>
      <c r="F101" s="136">
        <v>0</v>
      </c>
      <c r="G101" s="136">
        <v>0</v>
      </c>
      <c r="H101" s="136">
        <v>0</v>
      </c>
      <c r="I101" s="136">
        <v>0</v>
      </c>
      <c r="J101" s="136">
        <v>0</v>
      </c>
      <c r="K101" s="136">
        <v>0</v>
      </c>
      <c r="L101" s="136">
        <v>0</v>
      </c>
      <c r="M101" s="136">
        <v>0</v>
      </c>
      <c r="N101" s="136">
        <v>0</v>
      </c>
      <c r="O101" s="136">
        <v>0</v>
      </c>
      <c r="P101" s="136">
        <v>0</v>
      </c>
      <c r="Q101" s="137">
        <f>SUM(F101:P101)</f>
        <v>0</v>
      </c>
      <c r="R101" s="136">
        <v>0</v>
      </c>
      <c r="S101" s="136">
        <v>0</v>
      </c>
      <c r="T101" s="136">
        <v>0</v>
      </c>
      <c r="U101" s="136">
        <v>0</v>
      </c>
      <c r="V101" s="136">
        <v>0</v>
      </c>
      <c r="W101" s="136">
        <v>0</v>
      </c>
      <c r="X101" s="136">
        <v>0</v>
      </c>
      <c r="Y101" s="136">
        <v>0</v>
      </c>
      <c r="Z101" s="136">
        <v>0</v>
      </c>
      <c r="AA101" s="136">
        <v>0</v>
      </c>
      <c r="AB101" s="136">
        <v>0</v>
      </c>
      <c r="AC101" s="136">
        <v>0</v>
      </c>
      <c r="AD101" s="137">
        <f t="shared" si="243"/>
        <v>0</v>
      </c>
      <c r="AE101" s="136">
        <v>0</v>
      </c>
      <c r="AF101" s="136">
        <v>0</v>
      </c>
      <c r="AG101" s="136">
        <v>0</v>
      </c>
      <c r="AH101" s="136">
        <v>0</v>
      </c>
      <c r="AI101" s="136">
        <v>0</v>
      </c>
      <c r="AJ101" s="136">
        <v>0</v>
      </c>
      <c r="AK101" s="136">
        <v>0</v>
      </c>
      <c r="AL101" s="136">
        <v>0</v>
      </c>
      <c r="AM101" s="136">
        <v>0</v>
      </c>
      <c r="AN101" s="136">
        <v>0</v>
      </c>
      <c r="AO101" s="137">
        <f t="shared" si="244"/>
        <v>0</v>
      </c>
      <c r="AP101" s="138">
        <f t="shared" si="245"/>
        <v>0</v>
      </c>
    </row>
    <row r="102" spans="2:42" x14ac:dyDescent="0.2">
      <c r="B102" s="87" t="s">
        <v>259</v>
      </c>
      <c r="C102" s="93"/>
      <c r="D102" s="93"/>
      <c r="E102" s="119">
        <v>0</v>
      </c>
      <c r="F102" s="119">
        <v>0</v>
      </c>
      <c r="G102" s="119">
        <v>70.870190000000008</v>
      </c>
      <c r="H102" s="119">
        <v>0</v>
      </c>
      <c r="I102" s="119">
        <v>0</v>
      </c>
      <c r="J102" s="119">
        <v>0</v>
      </c>
      <c r="K102" s="119">
        <v>0</v>
      </c>
      <c r="L102" s="119">
        <v>0</v>
      </c>
      <c r="M102" s="119">
        <v>71.448449999999994</v>
      </c>
      <c r="N102" s="119">
        <v>0</v>
      </c>
      <c r="O102" s="119">
        <v>0</v>
      </c>
      <c r="P102" s="119">
        <v>0</v>
      </c>
      <c r="Q102" s="98">
        <f>SUM(F102:P102)</f>
        <v>142.31864000000002</v>
      </c>
      <c r="R102" s="119">
        <v>0</v>
      </c>
      <c r="S102" s="119">
        <v>0</v>
      </c>
      <c r="T102" s="119">
        <v>0</v>
      </c>
      <c r="U102" s="119">
        <v>0</v>
      </c>
      <c r="V102" s="119">
        <v>0</v>
      </c>
      <c r="W102" s="119">
        <v>0</v>
      </c>
      <c r="X102" s="119">
        <v>0</v>
      </c>
      <c r="Y102" s="119">
        <v>0</v>
      </c>
      <c r="Z102" s="119">
        <v>0</v>
      </c>
      <c r="AA102" s="119">
        <v>0</v>
      </c>
      <c r="AB102" s="119">
        <v>0</v>
      </c>
      <c r="AC102" s="119">
        <v>0</v>
      </c>
      <c r="AD102" s="98">
        <f t="shared" si="243"/>
        <v>0</v>
      </c>
      <c r="AE102" s="119">
        <v>0</v>
      </c>
      <c r="AF102" s="119">
        <v>0</v>
      </c>
      <c r="AG102" s="119">
        <v>0</v>
      </c>
      <c r="AH102" s="119">
        <v>0</v>
      </c>
      <c r="AI102" s="119">
        <v>0</v>
      </c>
      <c r="AJ102" s="119">
        <v>0</v>
      </c>
      <c r="AK102" s="119">
        <v>0</v>
      </c>
      <c r="AL102" s="119">
        <v>0</v>
      </c>
      <c r="AM102" s="119">
        <v>0</v>
      </c>
      <c r="AN102" s="119">
        <v>0</v>
      </c>
      <c r="AO102" s="98">
        <f t="shared" si="244"/>
        <v>0</v>
      </c>
      <c r="AP102" s="96">
        <f t="shared" si="245"/>
        <v>0</v>
      </c>
    </row>
    <row r="103" spans="2:42" x14ac:dyDescent="0.2">
      <c r="B103" s="134" t="s">
        <v>252</v>
      </c>
      <c r="C103" s="135"/>
      <c r="D103" s="135"/>
      <c r="E103" s="136">
        <v>0</v>
      </c>
      <c r="F103" s="136">
        <v>0</v>
      </c>
      <c r="G103" s="136">
        <v>0</v>
      </c>
      <c r="H103" s="136">
        <v>0</v>
      </c>
      <c r="I103" s="136">
        <v>0</v>
      </c>
      <c r="J103" s="136">
        <v>0</v>
      </c>
      <c r="K103" s="136">
        <v>0</v>
      </c>
      <c r="L103" s="136">
        <v>0</v>
      </c>
      <c r="M103" s="136">
        <v>0</v>
      </c>
      <c r="N103" s="136">
        <v>0</v>
      </c>
      <c r="O103" s="136">
        <v>0</v>
      </c>
      <c r="P103" s="136">
        <v>70.382649999999998</v>
      </c>
      <c r="Q103" s="137">
        <f>SUM(F103:P103)</f>
        <v>70.382649999999998</v>
      </c>
      <c r="R103" s="136">
        <v>0</v>
      </c>
      <c r="S103" s="136">
        <v>0</v>
      </c>
      <c r="T103" s="136">
        <v>0</v>
      </c>
      <c r="U103" s="136">
        <v>0</v>
      </c>
      <c r="V103" s="136">
        <v>0</v>
      </c>
      <c r="W103" s="136">
        <v>0</v>
      </c>
      <c r="X103" s="136">
        <v>0</v>
      </c>
      <c r="Y103" s="136">
        <v>0</v>
      </c>
      <c r="Z103" s="136">
        <v>0</v>
      </c>
      <c r="AA103" s="136">
        <v>0</v>
      </c>
      <c r="AB103" s="136">
        <v>0</v>
      </c>
      <c r="AC103" s="136">
        <v>0</v>
      </c>
      <c r="AD103" s="137">
        <f t="shared" si="243"/>
        <v>0</v>
      </c>
      <c r="AE103" s="136">
        <v>0</v>
      </c>
      <c r="AF103" s="136">
        <v>0</v>
      </c>
      <c r="AG103" s="136">
        <v>0</v>
      </c>
      <c r="AH103" s="136">
        <v>0</v>
      </c>
      <c r="AI103" s="136">
        <v>0</v>
      </c>
      <c r="AJ103" s="136">
        <v>0</v>
      </c>
      <c r="AK103" s="136">
        <v>0</v>
      </c>
      <c r="AL103" s="136">
        <v>0</v>
      </c>
      <c r="AM103" s="136">
        <v>0</v>
      </c>
      <c r="AN103" s="136">
        <v>0</v>
      </c>
      <c r="AO103" s="137">
        <f t="shared" si="244"/>
        <v>0</v>
      </c>
      <c r="AP103" s="138">
        <f t="shared" si="245"/>
        <v>0</v>
      </c>
    </row>
    <row r="104" spans="2:42" x14ac:dyDescent="0.2">
      <c r="B104" s="87" t="s">
        <v>249</v>
      </c>
      <c r="C104" s="93"/>
      <c r="D104" s="93"/>
      <c r="E104" s="119">
        <v>0</v>
      </c>
      <c r="F104" s="119">
        <v>0</v>
      </c>
      <c r="G104" s="119">
        <v>0</v>
      </c>
      <c r="H104" s="119">
        <v>0</v>
      </c>
      <c r="I104" s="119">
        <v>0</v>
      </c>
      <c r="J104" s="119">
        <v>0</v>
      </c>
      <c r="K104" s="119">
        <v>0</v>
      </c>
      <c r="L104" s="119">
        <v>0</v>
      </c>
      <c r="M104" s="119">
        <v>0</v>
      </c>
      <c r="N104" s="119">
        <v>0</v>
      </c>
      <c r="O104" s="119">
        <v>0</v>
      </c>
      <c r="P104" s="119">
        <v>0</v>
      </c>
      <c r="Q104" s="98">
        <f>SUM(F104:P104)</f>
        <v>0</v>
      </c>
      <c r="R104" s="119">
        <v>0</v>
      </c>
      <c r="S104" s="119">
        <v>0</v>
      </c>
      <c r="T104" s="119">
        <v>0</v>
      </c>
      <c r="U104" s="119">
        <v>0</v>
      </c>
      <c r="V104" s="119">
        <v>0</v>
      </c>
      <c r="W104" s="119">
        <v>0</v>
      </c>
      <c r="X104" s="119">
        <v>0</v>
      </c>
      <c r="Y104" s="119">
        <v>0</v>
      </c>
      <c r="Z104" s="119">
        <v>14.843110000000001</v>
      </c>
      <c r="AA104" s="119">
        <v>0</v>
      </c>
      <c r="AB104" s="119">
        <v>0</v>
      </c>
      <c r="AC104" s="119">
        <v>0</v>
      </c>
      <c r="AD104" s="98">
        <f t="shared" si="243"/>
        <v>14.843110000000001</v>
      </c>
      <c r="AE104" s="119">
        <v>0</v>
      </c>
      <c r="AF104" s="119">
        <v>0</v>
      </c>
      <c r="AG104" s="119">
        <v>0</v>
      </c>
      <c r="AH104" s="119">
        <v>0</v>
      </c>
      <c r="AI104" s="119">
        <v>0</v>
      </c>
      <c r="AJ104" s="119">
        <v>0</v>
      </c>
      <c r="AK104" s="119">
        <v>0</v>
      </c>
      <c r="AL104" s="119">
        <v>0</v>
      </c>
      <c r="AM104" s="119">
        <v>0</v>
      </c>
      <c r="AN104" s="119">
        <v>0</v>
      </c>
      <c r="AO104" s="98">
        <f t="shared" si="244"/>
        <v>0</v>
      </c>
      <c r="AP104" s="96">
        <f t="shared" si="245"/>
        <v>0</v>
      </c>
    </row>
    <row r="105" spans="2:42" x14ac:dyDescent="0.2">
      <c r="B105" s="134" t="s">
        <v>261</v>
      </c>
      <c r="C105" s="135"/>
      <c r="D105" s="135"/>
      <c r="E105" s="136">
        <v>0</v>
      </c>
      <c r="F105" s="136">
        <v>0</v>
      </c>
      <c r="G105" s="136">
        <v>0</v>
      </c>
      <c r="H105" s="136">
        <v>0</v>
      </c>
      <c r="I105" s="136">
        <v>0</v>
      </c>
      <c r="J105" s="136">
        <v>0</v>
      </c>
      <c r="K105" s="136">
        <v>0</v>
      </c>
      <c r="L105" s="136">
        <v>0</v>
      </c>
      <c r="M105" s="136">
        <v>0</v>
      </c>
      <c r="N105" s="136">
        <v>0</v>
      </c>
      <c r="O105" s="136">
        <v>0</v>
      </c>
      <c r="P105" s="136">
        <v>0</v>
      </c>
      <c r="Q105" s="137">
        <f>SUM(F105:P105)</f>
        <v>0</v>
      </c>
      <c r="R105" s="136">
        <v>0</v>
      </c>
      <c r="S105" s="136">
        <v>0</v>
      </c>
      <c r="T105" s="136">
        <v>0</v>
      </c>
      <c r="U105" s="136">
        <v>0</v>
      </c>
      <c r="V105" s="136">
        <v>0</v>
      </c>
      <c r="W105" s="136">
        <v>0</v>
      </c>
      <c r="X105" s="136">
        <v>0</v>
      </c>
      <c r="Y105" s="136">
        <v>0</v>
      </c>
      <c r="Z105" s="136">
        <v>0</v>
      </c>
      <c r="AA105" s="136">
        <v>0</v>
      </c>
      <c r="AB105" s="136">
        <v>0</v>
      </c>
      <c r="AC105" s="136">
        <v>0</v>
      </c>
      <c r="AD105" s="137">
        <f t="shared" si="243"/>
        <v>0</v>
      </c>
      <c r="AE105" s="136">
        <v>0</v>
      </c>
      <c r="AF105" s="136">
        <v>0</v>
      </c>
      <c r="AG105" s="136">
        <v>0</v>
      </c>
      <c r="AH105" s="136">
        <v>0</v>
      </c>
      <c r="AI105" s="136">
        <v>0</v>
      </c>
      <c r="AJ105" s="136">
        <v>0</v>
      </c>
      <c r="AK105" s="136">
        <v>0</v>
      </c>
      <c r="AL105" s="136">
        <v>0</v>
      </c>
      <c r="AM105" s="136">
        <v>0</v>
      </c>
      <c r="AN105" s="136">
        <v>0</v>
      </c>
      <c r="AO105" s="137">
        <f t="shared" si="244"/>
        <v>0</v>
      </c>
      <c r="AP105" s="138">
        <f t="shared" si="245"/>
        <v>0</v>
      </c>
    </row>
    <row r="106" spans="2:42" x14ac:dyDescent="0.2">
      <c r="B106" s="87" t="s">
        <v>258</v>
      </c>
      <c r="C106" s="93"/>
      <c r="D106" s="93"/>
      <c r="E106" s="119">
        <v>0</v>
      </c>
      <c r="F106" s="119">
        <v>0</v>
      </c>
      <c r="G106" s="119">
        <v>0</v>
      </c>
      <c r="H106" s="119">
        <v>0</v>
      </c>
      <c r="I106" s="119">
        <v>0</v>
      </c>
      <c r="J106" s="119">
        <v>0</v>
      </c>
      <c r="K106" s="119">
        <v>0</v>
      </c>
      <c r="L106" s="119">
        <v>0</v>
      </c>
      <c r="M106" s="119">
        <v>0</v>
      </c>
      <c r="N106" s="119">
        <v>0</v>
      </c>
      <c r="O106" s="119">
        <v>0</v>
      </c>
      <c r="P106" s="119">
        <v>0</v>
      </c>
      <c r="Q106" s="98">
        <f>SUM(F106:P106)</f>
        <v>0</v>
      </c>
      <c r="R106" s="119">
        <v>0</v>
      </c>
      <c r="S106" s="119">
        <v>0</v>
      </c>
      <c r="T106" s="119">
        <v>0</v>
      </c>
      <c r="U106" s="119">
        <v>0</v>
      </c>
      <c r="V106" s="119">
        <v>0</v>
      </c>
      <c r="W106" s="119">
        <v>0</v>
      </c>
      <c r="X106" s="119">
        <v>0</v>
      </c>
      <c r="Y106" s="119">
        <v>0</v>
      </c>
      <c r="Z106" s="119">
        <v>0</v>
      </c>
      <c r="AA106" s="119">
        <v>0</v>
      </c>
      <c r="AB106" s="119">
        <v>0</v>
      </c>
      <c r="AC106" s="119">
        <v>0</v>
      </c>
      <c r="AD106" s="98">
        <f t="shared" si="243"/>
        <v>0</v>
      </c>
      <c r="AE106" s="119">
        <v>0</v>
      </c>
      <c r="AF106" s="119">
        <v>0</v>
      </c>
      <c r="AG106" s="119">
        <v>0</v>
      </c>
      <c r="AH106" s="119">
        <v>0</v>
      </c>
      <c r="AI106" s="119">
        <v>0</v>
      </c>
      <c r="AJ106" s="119">
        <v>0</v>
      </c>
      <c r="AK106" s="119">
        <v>0</v>
      </c>
      <c r="AL106" s="119">
        <v>0</v>
      </c>
      <c r="AM106" s="119">
        <v>0</v>
      </c>
      <c r="AN106" s="119">
        <v>0</v>
      </c>
      <c r="AO106" s="98">
        <f t="shared" si="244"/>
        <v>0</v>
      </c>
      <c r="AP106" s="96">
        <f t="shared" si="245"/>
        <v>0</v>
      </c>
    </row>
    <row r="107" spans="2:42" x14ac:dyDescent="0.2">
      <c r="B107" s="134" t="s">
        <v>260</v>
      </c>
      <c r="C107" s="135"/>
      <c r="D107" s="135"/>
      <c r="E107" s="136">
        <v>0</v>
      </c>
      <c r="F107" s="136">
        <v>0</v>
      </c>
      <c r="G107" s="136">
        <v>0</v>
      </c>
      <c r="H107" s="136">
        <v>0</v>
      </c>
      <c r="I107" s="136">
        <v>0</v>
      </c>
      <c r="J107" s="136">
        <v>0</v>
      </c>
      <c r="K107" s="136">
        <v>0</v>
      </c>
      <c r="L107" s="136">
        <v>0</v>
      </c>
      <c r="M107" s="136">
        <v>0</v>
      </c>
      <c r="N107" s="136">
        <v>0</v>
      </c>
      <c r="O107" s="136">
        <v>0</v>
      </c>
      <c r="P107" s="136">
        <v>0</v>
      </c>
      <c r="Q107" s="137">
        <f>SUM(F107:P107)</f>
        <v>0</v>
      </c>
      <c r="R107" s="136">
        <v>0</v>
      </c>
      <c r="S107" s="136">
        <v>0</v>
      </c>
      <c r="T107" s="136">
        <v>72.448869999999999</v>
      </c>
      <c r="U107" s="136">
        <v>0</v>
      </c>
      <c r="V107" s="136">
        <v>0</v>
      </c>
      <c r="W107" s="136">
        <v>0</v>
      </c>
      <c r="X107" s="136">
        <v>0</v>
      </c>
      <c r="Y107" s="136">
        <v>0</v>
      </c>
      <c r="Z107" s="136">
        <v>58.359000000000002</v>
      </c>
      <c r="AA107" s="136">
        <v>0</v>
      </c>
      <c r="AB107" s="136">
        <v>0</v>
      </c>
      <c r="AC107" s="136">
        <v>75.406840000000003</v>
      </c>
      <c r="AD107" s="137">
        <f t="shared" si="243"/>
        <v>206.21471000000003</v>
      </c>
      <c r="AE107" s="136">
        <v>0</v>
      </c>
      <c r="AF107" s="136">
        <v>0</v>
      </c>
      <c r="AG107" s="136">
        <v>0</v>
      </c>
      <c r="AH107" s="136">
        <v>0</v>
      </c>
      <c r="AI107" s="136">
        <v>0</v>
      </c>
      <c r="AJ107" s="136">
        <v>0</v>
      </c>
      <c r="AK107" s="136">
        <v>0</v>
      </c>
      <c r="AL107" s="136">
        <v>0</v>
      </c>
      <c r="AM107" s="136">
        <v>0</v>
      </c>
      <c r="AN107" s="136">
        <v>0</v>
      </c>
      <c r="AO107" s="137">
        <f t="shared" si="244"/>
        <v>0</v>
      </c>
      <c r="AP107" s="138">
        <f t="shared" si="245"/>
        <v>75.406840000000003</v>
      </c>
    </row>
    <row r="108" spans="2:42" x14ac:dyDescent="0.2">
      <c r="B108" s="105" t="s">
        <v>245</v>
      </c>
      <c r="C108" s="106"/>
      <c r="D108" s="106"/>
      <c r="E108" s="112">
        <f>SUM(E93:E107)</f>
        <v>0</v>
      </c>
      <c r="F108" s="112">
        <f t="shared" ref="F108:AP108" si="246">SUM(F93:F107)</f>
        <v>0</v>
      </c>
      <c r="G108" s="112">
        <f t="shared" si="246"/>
        <v>70.870190000000008</v>
      </c>
      <c r="H108" s="112">
        <f>SUM(H93:H107)</f>
        <v>0</v>
      </c>
      <c r="I108" s="112">
        <f t="shared" ref="I108" si="247">SUM(I93:I107)</f>
        <v>0</v>
      </c>
      <c r="J108" s="112">
        <f t="shared" ref="J108" si="248">SUM(J93:J107)</f>
        <v>67.769469999999998</v>
      </c>
      <c r="K108" s="112">
        <f t="shared" si="246"/>
        <v>0</v>
      </c>
      <c r="L108" s="112">
        <f t="shared" si="246"/>
        <v>0</v>
      </c>
      <c r="M108" s="112">
        <f t="shared" si="246"/>
        <v>71.448449999999994</v>
      </c>
      <c r="N108" s="112">
        <f t="shared" si="246"/>
        <v>0</v>
      </c>
      <c r="O108" s="112">
        <f t="shared" si="246"/>
        <v>0</v>
      </c>
      <c r="P108" s="112">
        <f t="shared" si="246"/>
        <v>70.382649999999998</v>
      </c>
      <c r="Q108" s="133">
        <f t="shared" si="246"/>
        <v>280.47076000000004</v>
      </c>
      <c r="R108" s="112">
        <f t="shared" ref="R108" si="249">SUM(R93:R107)</f>
        <v>0</v>
      </c>
      <c r="S108" s="112">
        <f t="shared" ref="S108" si="250">SUM(S93:S107)</f>
        <v>0</v>
      </c>
      <c r="T108" s="112">
        <f t="shared" ref="T108" si="251">SUM(T93:T107)</f>
        <v>72.448869999999999</v>
      </c>
      <c r="U108" s="112">
        <f t="shared" si="246"/>
        <v>0</v>
      </c>
      <c r="V108" s="112">
        <f t="shared" si="246"/>
        <v>0</v>
      </c>
      <c r="W108" s="112">
        <f t="shared" si="246"/>
        <v>68.364159999999998</v>
      </c>
      <c r="X108" s="112">
        <f t="shared" si="246"/>
        <v>0</v>
      </c>
      <c r="Y108" s="112">
        <f t="shared" si="246"/>
        <v>0</v>
      </c>
      <c r="Z108" s="112">
        <f t="shared" si="246"/>
        <v>73.202110000000005</v>
      </c>
      <c r="AA108" s="112">
        <f t="shared" si="246"/>
        <v>0</v>
      </c>
      <c r="AB108" s="112">
        <f t="shared" si="246"/>
        <v>0</v>
      </c>
      <c r="AC108" s="112">
        <f t="shared" si="246"/>
        <v>75.406840000000003</v>
      </c>
      <c r="AD108" s="133">
        <f t="shared" si="246"/>
        <v>289.42198000000002</v>
      </c>
      <c r="AE108" s="112">
        <f t="shared" si="246"/>
        <v>0</v>
      </c>
      <c r="AF108" s="112">
        <f t="shared" si="246"/>
        <v>0</v>
      </c>
      <c r="AG108" s="112">
        <f t="shared" si="246"/>
        <v>76.3279</v>
      </c>
      <c r="AH108" s="112">
        <f t="shared" si="246"/>
        <v>0</v>
      </c>
      <c r="AI108" s="112">
        <f t="shared" si="246"/>
        <v>0</v>
      </c>
      <c r="AJ108" s="112">
        <f t="shared" si="246"/>
        <v>78.258899999999997</v>
      </c>
      <c r="AK108" s="112">
        <f t="shared" si="246"/>
        <v>0</v>
      </c>
      <c r="AL108" s="112">
        <f t="shared" si="246"/>
        <v>0</v>
      </c>
      <c r="AM108" s="112">
        <f t="shared" si="246"/>
        <v>72.932100000000005</v>
      </c>
      <c r="AN108" s="112">
        <f t="shared" si="246"/>
        <v>0</v>
      </c>
      <c r="AO108" s="133">
        <f t="shared" si="246"/>
        <v>227.5189</v>
      </c>
      <c r="AP108" s="125">
        <f t="shared" si="246"/>
        <v>302.92574000000002</v>
      </c>
    </row>
    <row r="109" spans="2:42" s="39" customFormat="1" ht="11.25" outlineLevel="1" x14ac:dyDescent="0.2">
      <c r="B109" s="39" t="s">
        <v>212</v>
      </c>
      <c r="E109" s="110">
        <f>+'1. Income Statement'!E15-'6. Billing by Customer'!E108</f>
        <v>0</v>
      </c>
      <c r="F109" s="110">
        <f>+'1. Income Statement'!F15-'6. Billing by Customer'!F108</f>
        <v>0</v>
      </c>
      <c r="G109" s="110">
        <f>+'1. Income Statement'!G15-'6. Billing by Customer'!G108</f>
        <v>0</v>
      </c>
      <c r="H109" s="110">
        <f>+'1. Income Statement'!H15-'6. Billing by Customer'!H108</f>
        <v>0</v>
      </c>
      <c r="I109" s="110">
        <f>+'1. Income Statement'!I15-'6. Billing by Customer'!I108</f>
        <v>0</v>
      </c>
      <c r="J109" s="110">
        <f>+'1. Income Statement'!J15-'6. Billing by Customer'!J108</f>
        <v>0</v>
      </c>
      <c r="K109" s="110">
        <f>+'1. Income Statement'!K15-'6. Billing by Customer'!K108</f>
        <v>0</v>
      </c>
      <c r="L109" s="110">
        <f>+'1. Income Statement'!L15-'6. Billing by Customer'!L108</f>
        <v>0</v>
      </c>
      <c r="M109" s="110">
        <f>+'1. Income Statement'!M15-'6. Billing by Customer'!M108</f>
        <v>0</v>
      </c>
      <c r="N109" s="110">
        <f>+'1. Income Statement'!N15-'6. Billing by Customer'!N108</f>
        <v>0</v>
      </c>
      <c r="O109" s="110">
        <f>+'1. Income Statement'!O15-'6. Billing by Customer'!O108</f>
        <v>0</v>
      </c>
      <c r="P109" s="110">
        <f>+'1. Income Statement'!P15-'6. Billing by Customer'!P108</f>
        <v>0</v>
      </c>
      <c r="Q109" s="110">
        <f>+'1. Income Statement'!Q15-'6. Billing by Customer'!Q108</f>
        <v>0</v>
      </c>
      <c r="R109" s="110">
        <f>+'1. Income Statement'!R15-'6. Billing by Customer'!R108</f>
        <v>0</v>
      </c>
      <c r="S109" s="110">
        <f>+'1. Income Statement'!S15-'6. Billing by Customer'!S108</f>
        <v>0</v>
      </c>
      <c r="T109" s="110">
        <f>+'1. Income Statement'!T15-'6. Billing by Customer'!T108</f>
        <v>0</v>
      </c>
      <c r="U109" s="110">
        <f>+'1. Income Statement'!U15-'6. Billing by Customer'!U108</f>
        <v>0</v>
      </c>
      <c r="V109" s="110">
        <f>+'1. Income Statement'!V15-'6. Billing by Customer'!V108</f>
        <v>0</v>
      </c>
      <c r="W109" s="110">
        <f>+'1. Income Statement'!W15-'6. Billing by Customer'!W108</f>
        <v>0</v>
      </c>
      <c r="X109" s="110">
        <f>+'1. Income Statement'!X15-'6. Billing by Customer'!X108</f>
        <v>0</v>
      </c>
      <c r="Y109" s="110">
        <f>+'1. Income Statement'!Y15-'6. Billing by Customer'!Y108</f>
        <v>0</v>
      </c>
      <c r="Z109" s="110">
        <f>+'1. Income Statement'!Z15-'6. Billing by Customer'!Z108</f>
        <v>0</v>
      </c>
      <c r="AA109" s="110">
        <f>+'1. Income Statement'!AA15-'6. Billing by Customer'!AA108</f>
        <v>0</v>
      </c>
      <c r="AB109" s="110">
        <f>+'1. Income Statement'!AB15-'6. Billing by Customer'!AB108</f>
        <v>0</v>
      </c>
      <c r="AC109" s="110">
        <f>+'1. Income Statement'!AC15-'6. Billing by Customer'!AC108</f>
        <v>0</v>
      </c>
      <c r="AD109" s="110">
        <f>+'1. Income Statement'!AD15-'6. Billing by Customer'!AD108</f>
        <v>0</v>
      </c>
      <c r="AE109" s="110">
        <f>+'1. Income Statement'!AE15-'6. Billing by Customer'!AE108</f>
        <v>0</v>
      </c>
      <c r="AF109" s="110">
        <f>+'1. Income Statement'!AF15-'6. Billing by Customer'!AF108</f>
        <v>0</v>
      </c>
      <c r="AG109" s="110">
        <f>+'1. Income Statement'!AG15-'6. Billing by Customer'!AG108</f>
        <v>0</v>
      </c>
      <c r="AH109" s="110">
        <f>+'1. Income Statement'!AH15-'6. Billing by Customer'!AH108</f>
        <v>0</v>
      </c>
      <c r="AI109" s="110">
        <f>+'1. Income Statement'!AI15-'6. Billing by Customer'!AI108</f>
        <v>0</v>
      </c>
      <c r="AJ109" s="110">
        <f>+'1. Income Statement'!AJ15-'6. Billing by Customer'!AJ108</f>
        <v>0</v>
      </c>
      <c r="AK109" s="110">
        <f>+'1. Income Statement'!AK15-'6. Billing by Customer'!AK108</f>
        <v>0</v>
      </c>
      <c r="AL109" s="110">
        <f>+'1. Income Statement'!AL15-'6. Billing by Customer'!AL108</f>
        <v>0</v>
      </c>
      <c r="AM109" s="110">
        <f>+'1. Income Statement'!AM15-'6. Billing by Customer'!AM108</f>
        <v>0</v>
      </c>
      <c r="AN109" s="110">
        <f>+'1. Income Statement'!AN15-'6. Billing by Customer'!AN108</f>
        <v>0</v>
      </c>
      <c r="AO109" s="110">
        <f>+'1. Income Statement'!AO15-'6. Billing by Customer'!AO108</f>
        <v>0</v>
      </c>
      <c r="AP109" s="110">
        <f>+'1. Income Statement'!AP15-'6. Billing by Customer'!AP108</f>
        <v>0</v>
      </c>
    </row>
  </sheetData>
  <sortState xmlns:xlrd2="http://schemas.microsoft.com/office/spreadsheetml/2017/richdata2" ref="AR72:AS86">
    <sortCondition descending="1" ref="AR72:AR8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3499-FC3A-4BB0-B08C-94CBBD22300B}">
  <dimension ref="B3:II48"/>
  <sheetViews>
    <sheetView showGridLines="0" workbookViewId="0">
      <pane xSplit="9" ySplit="7" topLeftCell="J29" activePane="bottomRight" state="frozen"/>
      <selection pane="topRight" activeCell="E1" sqref="E1"/>
      <selection pane="bottomLeft" activeCell="A6" sqref="A6"/>
      <selection pane="bottomRight" activeCell="B7" sqref="B7"/>
    </sheetView>
  </sheetViews>
  <sheetFormatPr defaultRowHeight="12" outlineLevelCol="2" x14ac:dyDescent="0.2"/>
  <cols>
    <col min="1" max="1" width="1.7109375" style="89" customWidth="1"/>
    <col min="2" max="2" width="9.140625" style="89"/>
    <col min="3" max="3" width="40.7109375" style="89" bestFit="1" customWidth="1"/>
    <col min="4" max="4" width="26.5703125" style="89" hidden="1" customWidth="1" outlineLevel="1"/>
    <col min="5" max="5" width="18.28515625" style="89" hidden="1" customWidth="1" outlineLevel="1"/>
    <col min="6" max="6" width="19.42578125" style="89" hidden="1" customWidth="1" outlineLevel="1"/>
    <col min="7" max="7" width="26.7109375" style="89" hidden="1" customWidth="1" outlineLevel="1"/>
    <col min="8" max="8" width="15.140625" style="89" hidden="1" customWidth="1" outlineLevel="1"/>
    <col min="9" max="9" width="1.7109375" style="89" customWidth="1" collapsed="1"/>
    <col min="10" max="10" width="1.7109375" style="89" customWidth="1"/>
    <col min="11" max="22" width="10.7109375" style="89" hidden="1" customWidth="1" outlineLevel="1"/>
    <col min="23" max="23" width="10.7109375" style="89" customWidth="1" collapsed="1"/>
    <col min="24" max="35" width="10.7109375" style="89" hidden="1" customWidth="1" outlineLevel="1"/>
    <col min="36" max="36" width="10.7109375" style="89" customWidth="1" collapsed="1"/>
    <col min="37" max="46" width="10.7109375" style="89" hidden="1" customWidth="1" outlineLevel="1"/>
    <col min="47" max="47" width="10.7109375" style="89" customWidth="1" collapsed="1"/>
    <col min="48" max="48" width="10.7109375" style="89" customWidth="1"/>
    <col min="49" max="49" width="1.7109375" style="89" hidden="1" customWidth="1" outlineLevel="1"/>
    <col min="50" max="61" width="10.7109375" style="89" hidden="1" customWidth="1" outlineLevel="2"/>
    <col min="62" max="62" width="10.7109375" style="89" hidden="1" customWidth="1" outlineLevel="1" collapsed="1"/>
    <col min="63" max="74" width="10.7109375" style="89" hidden="1" customWidth="1" outlineLevel="2"/>
    <col min="75" max="75" width="10.7109375" style="89" hidden="1" customWidth="1" outlineLevel="1" collapsed="1"/>
    <col min="76" max="85" width="10.7109375" style="89" hidden="1" customWidth="1" outlineLevel="2"/>
    <col min="86" max="86" width="10.7109375" style="89" hidden="1" customWidth="1" outlineLevel="1" collapsed="1"/>
    <col min="87" max="87" width="10.7109375" style="89" hidden="1" customWidth="1" outlineLevel="1"/>
    <col min="88" max="88" width="1.7109375" style="89" hidden="1" customWidth="1" outlineLevel="1"/>
    <col min="89" max="100" width="10.7109375" style="89" hidden="1" customWidth="1" outlineLevel="2"/>
    <col min="101" max="101" width="10.7109375" style="89" hidden="1" customWidth="1" outlineLevel="1" collapsed="1"/>
    <col min="102" max="113" width="10.7109375" style="89" hidden="1" customWidth="1" outlineLevel="2"/>
    <col min="114" max="114" width="10.7109375" style="89" hidden="1" customWidth="1" outlineLevel="1" collapsed="1"/>
    <col min="115" max="124" width="10.7109375" style="89" hidden="1" customWidth="1" outlineLevel="2"/>
    <col min="125" max="125" width="10.7109375" style="89" hidden="1" customWidth="1" outlineLevel="1" collapsed="1"/>
    <col min="126" max="126" width="10.7109375" style="89" hidden="1" customWidth="1" outlineLevel="1"/>
    <col min="127" max="127" width="1.7109375" style="89" customWidth="1" collapsed="1"/>
    <col min="128" max="139" width="10.7109375" style="89" hidden="1" customWidth="1" outlineLevel="1"/>
    <col min="140" max="140" width="10.7109375" style="89" customWidth="1" collapsed="1"/>
    <col min="141" max="152" width="10.7109375" style="89" hidden="1" customWidth="1" outlineLevel="1"/>
    <col min="153" max="153" width="10.7109375" style="89" customWidth="1" collapsed="1"/>
    <col min="154" max="163" width="10.7109375" style="89" hidden="1" customWidth="1" outlineLevel="1"/>
    <col min="164" max="164" width="10.7109375" style="89" customWidth="1" collapsed="1"/>
    <col min="165" max="165" width="10.7109375" style="89" customWidth="1"/>
    <col min="166" max="166" width="1.7109375" style="89" customWidth="1"/>
    <col min="167" max="178" width="10.7109375" style="89" hidden="1" customWidth="1" outlineLevel="1"/>
    <col min="179" max="179" width="10.7109375" style="89" customWidth="1" collapsed="1"/>
    <col min="180" max="191" width="10.7109375" style="89" hidden="1" customWidth="1" outlineLevel="1"/>
    <col min="192" max="192" width="10.7109375" style="89" customWidth="1" collapsed="1"/>
    <col min="193" max="202" width="10.7109375" style="89" hidden="1" customWidth="1" outlineLevel="1"/>
    <col min="203" max="203" width="10.7109375" style="89" customWidth="1" collapsed="1"/>
    <col min="204" max="204" width="10.7109375" style="89" customWidth="1"/>
    <col min="205" max="205" width="1.7109375" style="89" customWidth="1"/>
    <col min="206" max="217" width="10.7109375" style="89" hidden="1" customWidth="1" outlineLevel="1"/>
    <col min="218" max="218" width="10.7109375" style="89" customWidth="1" collapsed="1"/>
    <col min="219" max="230" width="10.7109375" style="89" hidden="1" customWidth="1" outlineLevel="1"/>
    <col min="231" max="231" width="10.7109375" style="89" customWidth="1" collapsed="1"/>
    <col min="232" max="241" width="10.7109375" style="89" hidden="1" customWidth="1" outlineLevel="1"/>
    <col min="242" max="242" width="10.7109375" style="89" customWidth="1" collapsed="1"/>
    <col min="243" max="243" width="10.7109375" style="89" customWidth="1"/>
    <col min="244" max="16384" width="9.140625" style="89"/>
  </cols>
  <sheetData>
    <row r="3" spans="2:243" ht="12.75" thickBot="1" x14ac:dyDescent="0.25">
      <c r="B3" s="104"/>
      <c r="C3" s="104"/>
      <c r="D3" s="104"/>
      <c r="E3" s="104"/>
      <c r="F3" s="104"/>
      <c r="G3" s="104"/>
      <c r="H3" s="104"/>
      <c r="I3" s="104"/>
      <c r="J3" s="93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93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4"/>
      <c r="CI3" s="104"/>
      <c r="CJ3" s="93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104"/>
      <c r="DH3" s="104"/>
      <c r="DI3" s="104"/>
      <c r="DJ3" s="104"/>
      <c r="DK3" s="104"/>
      <c r="DL3" s="104"/>
      <c r="DM3" s="104"/>
      <c r="DN3" s="104"/>
      <c r="DO3" s="104"/>
      <c r="DP3" s="104"/>
      <c r="DQ3" s="104"/>
      <c r="DR3" s="104"/>
      <c r="DS3" s="104"/>
      <c r="DT3" s="104"/>
      <c r="DU3" s="104"/>
      <c r="DV3" s="104"/>
      <c r="DW3" s="93"/>
      <c r="DX3" s="104"/>
      <c r="DY3" s="104"/>
      <c r="DZ3" s="104"/>
      <c r="EA3" s="104"/>
      <c r="EB3" s="104"/>
      <c r="EC3" s="104"/>
      <c r="ED3" s="104"/>
      <c r="EE3" s="104"/>
      <c r="EF3" s="104"/>
      <c r="EG3" s="104"/>
      <c r="EH3" s="104"/>
      <c r="EI3" s="104"/>
      <c r="EJ3" s="104"/>
      <c r="EK3" s="104"/>
      <c r="EL3" s="104"/>
      <c r="EM3" s="104"/>
      <c r="EN3" s="104"/>
      <c r="EO3" s="104"/>
      <c r="EP3" s="104"/>
      <c r="EQ3" s="104"/>
      <c r="ER3" s="104"/>
      <c r="ES3" s="104"/>
      <c r="ET3" s="104"/>
      <c r="EU3" s="104"/>
      <c r="EV3" s="104"/>
      <c r="EW3" s="104"/>
      <c r="EX3" s="104"/>
      <c r="EY3" s="104"/>
      <c r="EZ3" s="104"/>
      <c r="FA3" s="104"/>
      <c r="FB3" s="104"/>
      <c r="FC3" s="104"/>
      <c r="FD3" s="104"/>
      <c r="FE3" s="104"/>
      <c r="FF3" s="104"/>
      <c r="FG3" s="104"/>
      <c r="FH3" s="104"/>
      <c r="FI3" s="104"/>
      <c r="FJ3" s="93"/>
      <c r="FK3" s="104"/>
      <c r="FL3" s="104"/>
      <c r="FM3" s="104"/>
      <c r="FN3" s="104"/>
      <c r="FO3" s="104"/>
      <c r="FP3" s="104"/>
      <c r="FQ3" s="104"/>
      <c r="FR3" s="104"/>
      <c r="FS3" s="104"/>
      <c r="FT3" s="104"/>
      <c r="FU3" s="104"/>
      <c r="FV3" s="104"/>
      <c r="FW3" s="104"/>
      <c r="FX3" s="104"/>
      <c r="FY3" s="104"/>
      <c r="FZ3" s="104"/>
      <c r="GA3" s="104"/>
      <c r="GB3" s="104"/>
      <c r="GC3" s="104"/>
      <c r="GD3" s="104"/>
      <c r="GE3" s="104"/>
      <c r="GF3" s="104"/>
      <c r="GG3" s="104"/>
      <c r="GH3" s="104"/>
      <c r="GI3" s="104"/>
      <c r="GJ3" s="104"/>
      <c r="GK3" s="104"/>
      <c r="GL3" s="104"/>
      <c r="GM3" s="104"/>
      <c r="GN3" s="104"/>
      <c r="GO3" s="104"/>
      <c r="GP3" s="104"/>
      <c r="GQ3" s="104"/>
      <c r="GR3" s="104"/>
      <c r="GS3" s="104"/>
      <c r="GT3" s="104"/>
      <c r="GU3" s="104"/>
      <c r="GV3" s="104"/>
      <c r="GW3" s="93"/>
      <c r="GX3" s="104"/>
      <c r="GY3" s="104"/>
      <c r="GZ3" s="104"/>
      <c r="HA3" s="104"/>
      <c r="HB3" s="104"/>
      <c r="HC3" s="104"/>
      <c r="HD3" s="104"/>
      <c r="HE3" s="104"/>
      <c r="HF3" s="104"/>
      <c r="HG3" s="104"/>
      <c r="HH3" s="104"/>
      <c r="HI3" s="104"/>
      <c r="HJ3" s="104"/>
      <c r="HK3" s="104"/>
      <c r="HL3" s="104"/>
      <c r="HM3" s="104"/>
      <c r="HN3" s="104"/>
      <c r="HO3" s="104"/>
      <c r="HP3" s="104"/>
      <c r="HQ3" s="104"/>
      <c r="HR3" s="104"/>
      <c r="HS3" s="104"/>
      <c r="HT3" s="104"/>
      <c r="HU3" s="104"/>
      <c r="HV3" s="104"/>
      <c r="HW3" s="104"/>
      <c r="HX3" s="104"/>
      <c r="HY3" s="104"/>
      <c r="HZ3" s="104"/>
      <c r="IA3" s="104"/>
      <c r="IB3" s="104"/>
      <c r="IC3" s="104"/>
      <c r="ID3" s="104"/>
      <c r="IE3" s="104"/>
      <c r="IF3" s="104"/>
      <c r="IG3" s="104"/>
      <c r="IH3" s="104"/>
      <c r="II3" s="104"/>
    </row>
    <row r="5" spans="2:243" x14ac:dyDescent="0.2">
      <c r="J5" s="95"/>
      <c r="K5" s="154" t="s">
        <v>445</v>
      </c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6"/>
      <c r="AW5" s="95"/>
      <c r="AX5" s="154" t="s">
        <v>240</v>
      </c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6"/>
      <c r="CJ5" s="95"/>
      <c r="CK5" s="154" t="s">
        <v>446</v>
      </c>
      <c r="CL5" s="155"/>
      <c r="CM5" s="155"/>
      <c r="CN5" s="155"/>
      <c r="CO5" s="155"/>
      <c r="CP5" s="155"/>
      <c r="CQ5" s="155"/>
      <c r="CR5" s="155"/>
      <c r="CS5" s="155"/>
      <c r="CT5" s="155"/>
      <c r="CU5" s="155"/>
      <c r="CV5" s="155"/>
      <c r="CW5" s="155"/>
      <c r="CX5" s="155"/>
      <c r="CY5" s="155"/>
      <c r="CZ5" s="155"/>
      <c r="DA5" s="155"/>
      <c r="DB5" s="155"/>
      <c r="DC5" s="155"/>
      <c r="DD5" s="155"/>
      <c r="DE5" s="155"/>
      <c r="DF5" s="155"/>
      <c r="DG5" s="155"/>
      <c r="DH5" s="155"/>
      <c r="DI5" s="155"/>
      <c r="DJ5" s="155"/>
      <c r="DK5" s="155"/>
      <c r="DL5" s="155"/>
      <c r="DM5" s="155"/>
      <c r="DN5" s="155"/>
      <c r="DO5" s="155"/>
      <c r="DP5" s="155"/>
      <c r="DQ5" s="155"/>
      <c r="DR5" s="155"/>
      <c r="DS5" s="155"/>
      <c r="DT5" s="155"/>
      <c r="DU5" s="155"/>
      <c r="DV5" s="156"/>
      <c r="DW5" s="95"/>
      <c r="DX5" s="154" t="s">
        <v>446</v>
      </c>
      <c r="DY5" s="155"/>
      <c r="DZ5" s="155"/>
      <c r="EA5" s="155"/>
      <c r="EB5" s="155"/>
      <c r="EC5" s="155"/>
      <c r="ED5" s="155"/>
      <c r="EE5" s="155"/>
      <c r="EF5" s="155"/>
      <c r="EG5" s="155"/>
      <c r="EH5" s="155"/>
      <c r="EI5" s="155"/>
      <c r="EJ5" s="155"/>
      <c r="EK5" s="155"/>
      <c r="EL5" s="155"/>
      <c r="EM5" s="155"/>
      <c r="EN5" s="155"/>
      <c r="EO5" s="155"/>
      <c r="EP5" s="155"/>
      <c r="EQ5" s="155"/>
      <c r="ER5" s="155"/>
      <c r="ES5" s="155"/>
      <c r="ET5" s="155"/>
      <c r="EU5" s="155"/>
      <c r="EV5" s="155"/>
      <c r="EW5" s="155"/>
      <c r="EX5" s="155"/>
      <c r="EY5" s="155"/>
      <c r="EZ5" s="155"/>
      <c r="FA5" s="155"/>
      <c r="FB5" s="155"/>
      <c r="FC5" s="155"/>
      <c r="FD5" s="155"/>
      <c r="FE5" s="155"/>
      <c r="FF5" s="155"/>
      <c r="FG5" s="155"/>
      <c r="FH5" s="155"/>
      <c r="FI5" s="156"/>
      <c r="FJ5" s="95"/>
      <c r="FK5" s="154" t="s">
        <v>447</v>
      </c>
      <c r="FL5" s="155"/>
      <c r="FM5" s="155"/>
      <c r="FN5" s="155"/>
      <c r="FO5" s="155"/>
      <c r="FP5" s="155"/>
      <c r="FQ5" s="155"/>
      <c r="FR5" s="155"/>
      <c r="FS5" s="155"/>
      <c r="FT5" s="155"/>
      <c r="FU5" s="155"/>
      <c r="FV5" s="155"/>
      <c r="FW5" s="155"/>
      <c r="FX5" s="155"/>
      <c r="FY5" s="155"/>
      <c r="FZ5" s="155"/>
      <c r="GA5" s="155"/>
      <c r="GB5" s="155"/>
      <c r="GC5" s="155"/>
      <c r="GD5" s="155"/>
      <c r="GE5" s="155"/>
      <c r="GF5" s="155"/>
      <c r="GG5" s="155"/>
      <c r="GH5" s="155"/>
      <c r="GI5" s="155"/>
      <c r="GJ5" s="155"/>
      <c r="GK5" s="155"/>
      <c r="GL5" s="155"/>
      <c r="GM5" s="155"/>
      <c r="GN5" s="155"/>
      <c r="GO5" s="155"/>
      <c r="GP5" s="155"/>
      <c r="GQ5" s="155"/>
      <c r="GR5" s="155"/>
      <c r="GS5" s="155"/>
      <c r="GT5" s="155"/>
      <c r="GU5" s="155"/>
      <c r="GV5" s="156"/>
      <c r="GW5" s="95"/>
      <c r="GX5" s="154" t="s">
        <v>448</v>
      </c>
      <c r="GY5" s="155"/>
      <c r="GZ5" s="155"/>
      <c r="HA5" s="155"/>
      <c r="HB5" s="155"/>
      <c r="HC5" s="155"/>
      <c r="HD5" s="155"/>
      <c r="HE5" s="155"/>
      <c r="HF5" s="155"/>
      <c r="HG5" s="155"/>
      <c r="HH5" s="155"/>
      <c r="HI5" s="155"/>
      <c r="HJ5" s="155"/>
      <c r="HK5" s="155"/>
      <c r="HL5" s="155"/>
      <c r="HM5" s="155"/>
      <c r="HN5" s="155"/>
      <c r="HO5" s="155"/>
      <c r="HP5" s="155"/>
      <c r="HQ5" s="155"/>
      <c r="HR5" s="155"/>
      <c r="HS5" s="155"/>
      <c r="HT5" s="155"/>
      <c r="HU5" s="155"/>
      <c r="HV5" s="155"/>
      <c r="HW5" s="155"/>
      <c r="HX5" s="155"/>
      <c r="HY5" s="155"/>
      <c r="HZ5" s="155"/>
      <c r="IA5" s="155"/>
      <c r="IB5" s="155"/>
      <c r="IC5" s="155"/>
      <c r="ID5" s="155"/>
      <c r="IE5" s="155"/>
      <c r="IF5" s="155"/>
      <c r="IG5" s="155"/>
      <c r="IH5" s="155"/>
      <c r="II5" s="156"/>
    </row>
    <row r="6" spans="2:243" x14ac:dyDescent="0.2">
      <c r="B6" s="115"/>
      <c r="C6" s="116"/>
      <c r="D6" s="116"/>
      <c r="E6" s="116"/>
      <c r="F6" s="116"/>
      <c r="G6" s="116"/>
      <c r="H6" s="116"/>
      <c r="I6" s="116"/>
      <c r="J6" s="157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27" t="s">
        <v>63</v>
      </c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27" t="s">
        <v>63</v>
      </c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27" t="s">
        <v>64</v>
      </c>
      <c r="AV6" s="128" t="s">
        <v>65</v>
      </c>
      <c r="AW6" s="157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27" t="s">
        <v>63</v>
      </c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27" t="s">
        <v>63</v>
      </c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27" t="s">
        <v>64</v>
      </c>
      <c r="CI6" s="128" t="s">
        <v>65</v>
      </c>
      <c r="CJ6" s="157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27" t="s">
        <v>63</v>
      </c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27" t="s">
        <v>63</v>
      </c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27" t="s">
        <v>64</v>
      </c>
      <c r="DV6" s="128" t="s">
        <v>65</v>
      </c>
      <c r="DW6" s="157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27" t="s">
        <v>63</v>
      </c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27" t="s">
        <v>63</v>
      </c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27" t="s">
        <v>64</v>
      </c>
      <c r="FI6" s="128" t="s">
        <v>65</v>
      </c>
      <c r="FJ6" s="157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27" t="s">
        <v>63</v>
      </c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27" t="s">
        <v>63</v>
      </c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27" t="s">
        <v>64</v>
      </c>
      <c r="GV6" s="128" t="s">
        <v>65</v>
      </c>
      <c r="GW6" s="157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27" t="s">
        <v>63</v>
      </c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27" t="s">
        <v>63</v>
      </c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27" t="s">
        <v>64</v>
      </c>
      <c r="II6" s="128" t="s">
        <v>65</v>
      </c>
    </row>
    <row r="7" spans="2:243" x14ac:dyDescent="0.2">
      <c r="B7" s="23" t="s">
        <v>449</v>
      </c>
      <c r="C7" s="5" t="s">
        <v>450</v>
      </c>
      <c r="D7" s="147" t="s">
        <v>417</v>
      </c>
      <c r="E7" s="147" t="s">
        <v>421</v>
      </c>
      <c r="F7" s="116" t="s">
        <v>418</v>
      </c>
      <c r="G7" s="116" t="s">
        <v>419</v>
      </c>
      <c r="H7" s="116" t="s">
        <v>420</v>
      </c>
      <c r="I7" s="5" t="s">
        <v>452</v>
      </c>
      <c r="J7" s="157" t="s">
        <v>452</v>
      </c>
      <c r="K7" s="7">
        <v>44957</v>
      </c>
      <c r="L7" s="7">
        <f>EOMONTH(K7,1)</f>
        <v>44985</v>
      </c>
      <c r="M7" s="7">
        <f t="shared" ref="M7:V7" si="0">EOMONTH(L7,1)</f>
        <v>45016</v>
      </c>
      <c r="N7" s="7">
        <f t="shared" si="0"/>
        <v>45046</v>
      </c>
      <c r="O7" s="7">
        <f t="shared" si="0"/>
        <v>45077</v>
      </c>
      <c r="P7" s="7">
        <f t="shared" si="0"/>
        <v>45107</v>
      </c>
      <c r="Q7" s="7">
        <f t="shared" si="0"/>
        <v>45138</v>
      </c>
      <c r="R7" s="7">
        <f t="shared" si="0"/>
        <v>45169</v>
      </c>
      <c r="S7" s="7">
        <f t="shared" si="0"/>
        <v>45199</v>
      </c>
      <c r="T7" s="7">
        <f t="shared" si="0"/>
        <v>45230</v>
      </c>
      <c r="U7" s="7">
        <f t="shared" si="0"/>
        <v>45260</v>
      </c>
      <c r="V7" s="7">
        <f t="shared" si="0"/>
        <v>45291</v>
      </c>
      <c r="W7" s="6">
        <f>YEAR(V7)</f>
        <v>2023</v>
      </c>
      <c r="X7" s="7">
        <f>EOMONTH(V7,1)</f>
        <v>45322</v>
      </c>
      <c r="Y7" s="7">
        <f>EOMONTH(X7,1)</f>
        <v>45351</v>
      </c>
      <c r="Z7" s="7">
        <f t="shared" ref="Z7:AI7" si="1">EOMONTH(Y7,1)</f>
        <v>45382</v>
      </c>
      <c r="AA7" s="7">
        <f t="shared" si="1"/>
        <v>45412</v>
      </c>
      <c r="AB7" s="7">
        <f t="shared" si="1"/>
        <v>45443</v>
      </c>
      <c r="AC7" s="7">
        <f t="shared" si="1"/>
        <v>45473</v>
      </c>
      <c r="AD7" s="7">
        <f t="shared" si="1"/>
        <v>45504</v>
      </c>
      <c r="AE7" s="7">
        <f t="shared" si="1"/>
        <v>45535</v>
      </c>
      <c r="AF7" s="7">
        <f t="shared" si="1"/>
        <v>45565</v>
      </c>
      <c r="AG7" s="7">
        <f t="shared" si="1"/>
        <v>45596</v>
      </c>
      <c r="AH7" s="7">
        <f t="shared" si="1"/>
        <v>45626</v>
      </c>
      <c r="AI7" s="7">
        <f t="shared" si="1"/>
        <v>45657</v>
      </c>
      <c r="AJ7" s="6">
        <f>YEAR(AI7)</f>
        <v>2024</v>
      </c>
      <c r="AK7" s="7">
        <f>EOMONTH(AI7,1)</f>
        <v>45688</v>
      </c>
      <c r="AL7" s="7">
        <f>EOMONTH(AK7,1)</f>
        <v>45716</v>
      </c>
      <c r="AM7" s="7">
        <f t="shared" ref="AM7:AT7" si="2">EOMONTH(AL7,1)</f>
        <v>45747</v>
      </c>
      <c r="AN7" s="7">
        <f t="shared" si="2"/>
        <v>45777</v>
      </c>
      <c r="AO7" s="7">
        <f t="shared" si="2"/>
        <v>45808</v>
      </c>
      <c r="AP7" s="7">
        <f t="shared" si="2"/>
        <v>45838</v>
      </c>
      <c r="AQ7" s="7">
        <f t="shared" si="2"/>
        <v>45869</v>
      </c>
      <c r="AR7" s="7">
        <f t="shared" si="2"/>
        <v>45900</v>
      </c>
      <c r="AS7" s="7">
        <f t="shared" si="2"/>
        <v>45930</v>
      </c>
      <c r="AT7" s="7">
        <f t="shared" si="2"/>
        <v>45961</v>
      </c>
      <c r="AU7" s="8">
        <f>+AT7</f>
        <v>45961</v>
      </c>
      <c r="AV7" s="37">
        <f>+AU7</f>
        <v>45961</v>
      </c>
      <c r="AW7" s="157" t="s">
        <v>452</v>
      </c>
      <c r="AX7" s="7">
        <v>44957</v>
      </c>
      <c r="AY7" s="7">
        <f>EOMONTH(AX7,1)</f>
        <v>44985</v>
      </c>
      <c r="AZ7" s="7">
        <f t="shared" ref="AZ7:BI7" si="3">EOMONTH(AY7,1)</f>
        <v>45016</v>
      </c>
      <c r="BA7" s="7">
        <f t="shared" si="3"/>
        <v>45046</v>
      </c>
      <c r="BB7" s="7">
        <f t="shared" si="3"/>
        <v>45077</v>
      </c>
      <c r="BC7" s="7">
        <f t="shared" si="3"/>
        <v>45107</v>
      </c>
      <c r="BD7" s="7">
        <f t="shared" si="3"/>
        <v>45138</v>
      </c>
      <c r="BE7" s="7">
        <f t="shared" si="3"/>
        <v>45169</v>
      </c>
      <c r="BF7" s="7">
        <f t="shared" si="3"/>
        <v>45199</v>
      </c>
      <c r="BG7" s="7">
        <f t="shared" si="3"/>
        <v>45230</v>
      </c>
      <c r="BH7" s="7">
        <f t="shared" si="3"/>
        <v>45260</v>
      </c>
      <c r="BI7" s="7">
        <f t="shared" si="3"/>
        <v>45291</v>
      </c>
      <c r="BJ7" s="6">
        <f>YEAR(BI7)</f>
        <v>2023</v>
      </c>
      <c r="BK7" s="7">
        <f>EOMONTH(BI7,1)</f>
        <v>45322</v>
      </c>
      <c r="BL7" s="7">
        <f>EOMONTH(BK7,1)</f>
        <v>45351</v>
      </c>
      <c r="BM7" s="7">
        <f t="shared" ref="BM7:BV7" si="4">EOMONTH(BL7,1)</f>
        <v>45382</v>
      </c>
      <c r="BN7" s="7">
        <f t="shared" si="4"/>
        <v>45412</v>
      </c>
      <c r="BO7" s="7">
        <f t="shared" si="4"/>
        <v>45443</v>
      </c>
      <c r="BP7" s="7">
        <f t="shared" si="4"/>
        <v>45473</v>
      </c>
      <c r="BQ7" s="7">
        <f t="shared" si="4"/>
        <v>45504</v>
      </c>
      <c r="BR7" s="7">
        <f t="shared" si="4"/>
        <v>45535</v>
      </c>
      <c r="BS7" s="7">
        <f t="shared" si="4"/>
        <v>45565</v>
      </c>
      <c r="BT7" s="7">
        <f t="shared" si="4"/>
        <v>45596</v>
      </c>
      <c r="BU7" s="7">
        <f t="shared" si="4"/>
        <v>45626</v>
      </c>
      <c r="BV7" s="7">
        <f t="shared" si="4"/>
        <v>45657</v>
      </c>
      <c r="BW7" s="6">
        <f>YEAR(BV7)</f>
        <v>2024</v>
      </c>
      <c r="BX7" s="7">
        <f>EOMONTH(BV7,1)</f>
        <v>45688</v>
      </c>
      <c r="BY7" s="7">
        <f>EOMONTH(BX7,1)</f>
        <v>45716</v>
      </c>
      <c r="BZ7" s="7">
        <f t="shared" ref="BZ7:CG7" si="5">EOMONTH(BY7,1)</f>
        <v>45747</v>
      </c>
      <c r="CA7" s="7">
        <f t="shared" si="5"/>
        <v>45777</v>
      </c>
      <c r="CB7" s="7">
        <f t="shared" si="5"/>
        <v>45808</v>
      </c>
      <c r="CC7" s="7">
        <f t="shared" si="5"/>
        <v>45838</v>
      </c>
      <c r="CD7" s="7">
        <f t="shared" si="5"/>
        <v>45869</v>
      </c>
      <c r="CE7" s="7">
        <f t="shared" si="5"/>
        <v>45900</v>
      </c>
      <c r="CF7" s="7">
        <f t="shared" si="5"/>
        <v>45930</v>
      </c>
      <c r="CG7" s="7">
        <f t="shared" si="5"/>
        <v>45961</v>
      </c>
      <c r="CH7" s="8">
        <f>+CG7</f>
        <v>45961</v>
      </c>
      <c r="CI7" s="37">
        <f>+CH7</f>
        <v>45961</v>
      </c>
      <c r="CJ7" s="157" t="s">
        <v>452</v>
      </c>
      <c r="CK7" s="7">
        <v>44957</v>
      </c>
      <c r="CL7" s="7">
        <f>EOMONTH(CK7,1)</f>
        <v>44985</v>
      </c>
      <c r="CM7" s="7">
        <f t="shared" ref="CM7:CV7" si="6">EOMONTH(CL7,1)</f>
        <v>45016</v>
      </c>
      <c r="CN7" s="7">
        <f t="shared" si="6"/>
        <v>45046</v>
      </c>
      <c r="CO7" s="7">
        <f t="shared" si="6"/>
        <v>45077</v>
      </c>
      <c r="CP7" s="7">
        <f t="shared" si="6"/>
        <v>45107</v>
      </c>
      <c r="CQ7" s="7">
        <f t="shared" si="6"/>
        <v>45138</v>
      </c>
      <c r="CR7" s="7">
        <f t="shared" si="6"/>
        <v>45169</v>
      </c>
      <c r="CS7" s="7">
        <f t="shared" si="6"/>
        <v>45199</v>
      </c>
      <c r="CT7" s="7">
        <f t="shared" si="6"/>
        <v>45230</v>
      </c>
      <c r="CU7" s="7">
        <f t="shared" si="6"/>
        <v>45260</v>
      </c>
      <c r="CV7" s="7">
        <f t="shared" si="6"/>
        <v>45291</v>
      </c>
      <c r="CW7" s="6">
        <f>YEAR(CV7)</f>
        <v>2023</v>
      </c>
      <c r="CX7" s="7">
        <f>EOMONTH(CV7,1)</f>
        <v>45322</v>
      </c>
      <c r="CY7" s="7">
        <f>EOMONTH(CX7,1)</f>
        <v>45351</v>
      </c>
      <c r="CZ7" s="7">
        <f t="shared" ref="CZ7:DI7" si="7">EOMONTH(CY7,1)</f>
        <v>45382</v>
      </c>
      <c r="DA7" s="7">
        <f t="shared" si="7"/>
        <v>45412</v>
      </c>
      <c r="DB7" s="7">
        <f t="shared" si="7"/>
        <v>45443</v>
      </c>
      <c r="DC7" s="7">
        <f t="shared" si="7"/>
        <v>45473</v>
      </c>
      <c r="DD7" s="7">
        <f t="shared" si="7"/>
        <v>45504</v>
      </c>
      <c r="DE7" s="7">
        <f t="shared" si="7"/>
        <v>45535</v>
      </c>
      <c r="DF7" s="7">
        <f t="shared" si="7"/>
        <v>45565</v>
      </c>
      <c r="DG7" s="7">
        <f t="shared" si="7"/>
        <v>45596</v>
      </c>
      <c r="DH7" s="7">
        <f t="shared" si="7"/>
        <v>45626</v>
      </c>
      <c r="DI7" s="7">
        <f t="shared" si="7"/>
        <v>45657</v>
      </c>
      <c r="DJ7" s="6">
        <f>YEAR(DI7)</f>
        <v>2024</v>
      </c>
      <c r="DK7" s="7">
        <f>EOMONTH(DI7,1)</f>
        <v>45688</v>
      </c>
      <c r="DL7" s="7">
        <f>EOMONTH(DK7,1)</f>
        <v>45716</v>
      </c>
      <c r="DM7" s="7">
        <f t="shared" ref="DM7:DT7" si="8">EOMONTH(DL7,1)</f>
        <v>45747</v>
      </c>
      <c r="DN7" s="7">
        <f t="shared" si="8"/>
        <v>45777</v>
      </c>
      <c r="DO7" s="7">
        <f t="shared" si="8"/>
        <v>45808</v>
      </c>
      <c r="DP7" s="7">
        <f t="shared" si="8"/>
        <v>45838</v>
      </c>
      <c r="DQ7" s="7">
        <f t="shared" si="8"/>
        <v>45869</v>
      </c>
      <c r="DR7" s="7">
        <f t="shared" si="8"/>
        <v>45900</v>
      </c>
      <c r="DS7" s="7">
        <f t="shared" si="8"/>
        <v>45930</v>
      </c>
      <c r="DT7" s="7">
        <f t="shared" si="8"/>
        <v>45961</v>
      </c>
      <c r="DU7" s="8">
        <f>+DT7</f>
        <v>45961</v>
      </c>
      <c r="DV7" s="37">
        <f>+DU7</f>
        <v>45961</v>
      </c>
      <c r="DW7" s="157" t="s">
        <v>452</v>
      </c>
      <c r="DX7" s="7">
        <v>44957</v>
      </c>
      <c r="DY7" s="7">
        <f>EOMONTH(DX7,1)</f>
        <v>44985</v>
      </c>
      <c r="DZ7" s="7">
        <f t="shared" ref="DZ7:EI7" si="9">EOMONTH(DY7,1)</f>
        <v>45016</v>
      </c>
      <c r="EA7" s="7">
        <f t="shared" si="9"/>
        <v>45046</v>
      </c>
      <c r="EB7" s="7">
        <f t="shared" si="9"/>
        <v>45077</v>
      </c>
      <c r="EC7" s="7">
        <f t="shared" si="9"/>
        <v>45107</v>
      </c>
      <c r="ED7" s="7">
        <f t="shared" si="9"/>
        <v>45138</v>
      </c>
      <c r="EE7" s="7">
        <f t="shared" si="9"/>
        <v>45169</v>
      </c>
      <c r="EF7" s="7">
        <f t="shared" si="9"/>
        <v>45199</v>
      </c>
      <c r="EG7" s="7">
        <f t="shared" si="9"/>
        <v>45230</v>
      </c>
      <c r="EH7" s="7">
        <f t="shared" si="9"/>
        <v>45260</v>
      </c>
      <c r="EI7" s="7">
        <f t="shared" si="9"/>
        <v>45291</v>
      </c>
      <c r="EJ7" s="6">
        <f>YEAR(EI7)</f>
        <v>2023</v>
      </c>
      <c r="EK7" s="7">
        <f>EOMONTH(EI7,1)</f>
        <v>45322</v>
      </c>
      <c r="EL7" s="7">
        <f>EOMONTH(EK7,1)</f>
        <v>45351</v>
      </c>
      <c r="EM7" s="7">
        <f t="shared" ref="EM7:EV7" si="10">EOMONTH(EL7,1)</f>
        <v>45382</v>
      </c>
      <c r="EN7" s="7">
        <f t="shared" si="10"/>
        <v>45412</v>
      </c>
      <c r="EO7" s="7">
        <f t="shared" si="10"/>
        <v>45443</v>
      </c>
      <c r="EP7" s="7">
        <f t="shared" si="10"/>
        <v>45473</v>
      </c>
      <c r="EQ7" s="7">
        <f t="shared" si="10"/>
        <v>45504</v>
      </c>
      <c r="ER7" s="7">
        <f t="shared" si="10"/>
        <v>45535</v>
      </c>
      <c r="ES7" s="7">
        <f t="shared" si="10"/>
        <v>45565</v>
      </c>
      <c r="ET7" s="7">
        <f t="shared" si="10"/>
        <v>45596</v>
      </c>
      <c r="EU7" s="7">
        <f t="shared" si="10"/>
        <v>45626</v>
      </c>
      <c r="EV7" s="7">
        <f t="shared" si="10"/>
        <v>45657</v>
      </c>
      <c r="EW7" s="6">
        <f>YEAR(EV7)</f>
        <v>2024</v>
      </c>
      <c r="EX7" s="7">
        <f>EOMONTH(EV7,1)</f>
        <v>45688</v>
      </c>
      <c r="EY7" s="7">
        <f>EOMONTH(EX7,1)</f>
        <v>45716</v>
      </c>
      <c r="EZ7" s="7">
        <f t="shared" ref="EZ7:FG7" si="11">EOMONTH(EY7,1)</f>
        <v>45747</v>
      </c>
      <c r="FA7" s="7">
        <f t="shared" si="11"/>
        <v>45777</v>
      </c>
      <c r="FB7" s="7">
        <f t="shared" si="11"/>
        <v>45808</v>
      </c>
      <c r="FC7" s="7">
        <f t="shared" si="11"/>
        <v>45838</v>
      </c>
      <c r="FD7" s="7">
        <f t="shared" si="11"/>
        <v>45869</v>
      </c>
      <c r="FE7" s="7">
        <f t="shared" si="11"/>
        <v>45900</v>
      </c>
      <c r="FF7" s="7">
        <f t="shared" si="11"/>
        <v>45930</v>
      </c>
      <c r="FG7" s="7">
        <f t="shared" si="11"/>
        <v>45961</v>
      </c>
      <c r="FH7" s="8">
        <f>+FG7</f>
        <v>45961</v>
      </c>
      <c r="FI7" s="37">
        <f>+FH7</f>
        <v>45961</v>
      </c>
      <c r="FJ7" s="157" t="s">
        <v>452</v>
      </c>
      <c r="FK7" s="7">
        <v>44957</v>
      </c>
      <c r="FL7" s="7">
        <f>EOMONTH(FK7,1)</f>
        <v>44985</v>
      </c>
      <c r="FM7" s="7">
        <f t="shared" ref="FM7:FV7" si="12">EOMONTH(FL7,1)</f>
        <v>45016</v>
      </c>
      <c r="FN7" s="7">
        <f t="shared" si="12"/>
        <v>45046</v>
      </c>
      <c r="FO7" s="7">
        <f t="shared" si="12"/>
        <v>45077</v>
      </c>
      <c r="FP7" s="7">
        <f t="shared" si="12"/>
        <v>45107</v>
      </c>
      <c r="FQ7" s="7">
        <f t="shared" si="12"/>
        <v>45138</v>
      </c>
      <c r="FR7" s="7">
        <f t="shared" si="12"/>
        <v>45169</v>
      </c>
      <c r="FS7" s="7">
        <f t="shared" si="12"/>
        <v>45199</v>
      </c>
      <c r="FT7" s="7">
        <f t="shared" si="12"/>
        <v>45230</v>
      </c>
      <c r="FU7" s="7">
        <f t="shared" si="12"/>
        <v>45260</v>
      </c>
      <c r="FV7" s="7">
        <f t="shared" si="12"/>
        <v>45291</v>
      </c>
      <c r="FW7" s="6">
        <f>YEAR(FV7)</f>
        <v>2023</v>
      </c>
      <c r="FX7" s="7">
        <f>EOMONTH(FV7,1)</f>
        <v>45322</v>
      </c>
      <c r="FY7" s="7">
        <f>EOMONTH(FX7,1)</f>
        <v>45351</v>
      </c>
      <c r="FZ7" s="7">
        <f t="shared" ref="FZ7:GI7" si="13">EOMONTH(FY7,1)</f>
        <v>45382</v>
      </c>
      <c r="GA7" s="7">
        <f t="shared" si="13"/>
        <v>45412</v>
      </c>
      <c r="GB7" s="7">
        <f t="shared" si="13"/>
        <v>45443</v>
      </c>
      <c r="GC7" s="7">
        <f t="shared" si="13"/>
        <v>45473</v>
      </c>
      <c r="GD7" s="7">
        <f t="shared" si="13"/>
        <v>45504</v>
      </c>
      <c r="GE7" s="7">
        <f t="shared" si="13"/>
        <v>45535</v>
      </c>
      <c r="GF7" s="7">
        <f t="shared" si="13"/>
        <v>45565</v>
      </c>
      <c r="GG7" s="7">
        <f t="shared" si="13"/>
        <v>45596</v>
      </c>
      <c r="GH7" s="7">
        <f t="shared" si="13"/>
        <v>45626</v>
      </c>
      <c r="GI7" s="7">
        <f t="shared" si="13"/>
        <v>45657</v>
      </c>
      <c r="GJ7" s="6">
        <f>YEAR(GI7)</f>
        <v>2024</v>
      </c>
      <c r="GK7" s="7">
        <f>EOMONTH(GI7,1)</f>
        <v>45688</v>
      </c>
      <c r="GL7" s="7">
        <f>EOMONTH(GK7,1)</f>
        <v>45716</v>
      </c>
      <c r="GM7" s="7">
        <f t="shared" ref="GM7:GT7" si="14">EOMONTH(GL7,1)</f>
        <v>45747</v>
      </c>
      <c r="GN7" s="7">
        <f t="shared" si="14"/>
        <v>45777</v>
      </c>
      <c r="GO7" s="7">
        <f t="shared" si="14"/>
        <v>45808</v>
      </c>
      <c r="GP7" s="7">
        <f t="shared" si="14"/>
        <v>45838</v>
      </c>
      <c r="GQ7" s="7">
        <f t="shared" si="14"/>
        <v>45869</v>
      </c>
      <c r="GR7" s="7">
        <f t="shared" si="14"/>
        <v>45900</v>
      </c>
      <c r="GS7" s="7">
        <f t="shared" si="14"/>
        <v>45930</v>
      </c>
      <c r="GT7" s="7">
        <f t="shared" si="14"/>
        <v>45961</v>
      </c>
      <c r="GU7" s="8">
        <f>+GT7</f>
        <v>45961</v>
      </c>
      <c r="GV7" s="37">
        <f>+GU7</f>
        <v>45961</v>
      </c>
      <c r="GW7" s="157" t="s">
        <v>452</v>
      </c>
      <c r="GX7" s="7">
        <v>44957</v>
      </c>
      <c r="GY7" s="7">
        <f>EOMONTH(GX7,1)</f>
        <v>44985</v>
      </c>
      <c r="GZ7" s="7">
        <f t="shared" ref="GZ7:HI7" si="15">EOMONTH(GY7,1)</f>
        <v>45016</v>
      </c>
      <c r="HA7" s="7">
        <f t="shared" si="15"/>
        <v>45046</v>
      </c>
      <c r="HB7" s="7">
        <f t="shared" si="15"/>
        <v>45077</v>
      </c>
      <c r="HC7" s="7">
        <f t="shared" si="15"/>
        <v>45107</v>
      </c>
      <c r="HD7" s="7">
        <f t="shared" si="15"/>
        <v>45138</v>
      </c>
      <c r="HE7" s="7">
        <f t="shared" si="15"/>
        <v>45169</v>
      </c>
      <c r="HF7" s="7">
        <f t="shared" si="15"/>
        <v>45199</v>
      </c>
      <c r="HG7" s="7">
        <f t="shared" si="15"/>
        <v>45230</v>
      </c>
      <c r="HH7" s="7">
        <f t="shared" si="15"/>
        <v>45260</v>
      </c>
      <c r="HI7" s="7">
        <f t="shared" si="15"/>
        <v>45291</v>
      </c>
      <c r="HJ7" s="6">
        <f>YEAR(HI7)</f>
        <v>2023</v>
      </c>
      <c r="HK7" s="7">
        <f>EOMONTH(HI7,1)</f>
        <v>45322</v>
      </c>
      <c r="HL7" s="7">
        <f>EOMONTH(HK7,1)</f>
        <v>45351</v>
      </c>
      <c r="HM7" s="7">
        <f t="shared" ref="HM7:HV7" si="16">EOMONTH(HL7,1)</f>
        <v>45382</v>
      </c>
      <c r="HN7" s="7">
        <f t="shared" si="16"/>
        <v>45412</v>
      </c>
      <c r="HO7" s="7">
        <f t="shared" si="16"/>
        <v>45443</v>
      </c>
      <c r="HP7" s="7">
        <f t="shared" si="16"/>
        <v>45473</v>
      </c>
      <c r="HQ7" s="7">
        <f t="shared" si="16"/>
        <v>45504</v>
      </c>
      <c r="HR7" s="7">
        <f t="shared" si="16"/>
        <v>45535</v>
      </c>
      <c r="HS7" s="7">
        <f t="shared" si="16"/>
        <v>45565</v>
      </c>
      <c r="HT7" s="7">
        <f t="shared" si="16"/>
        <v>45596</v>
      </c>
      <c r="HU7" s="7">
        <f t="shared" si="16"/>
        <v>45626</v>
      </c>
      <c r="HV7" s="7">
        <f t="shared" si="16"/>
        <v>45657</v>
      </c>
      <c r="HW7" s="6">
        <f>YEAR(HV7)</f>
        <v>2024</v>
      </c>
      <c r="HX7" s="7">
        <f>EOMONTH(HV7,1)</f>
        <v>45688</v>
      </c>
      <c r="HY7" s="7">
        <f>EOMONTH(HX7,1)</f>
        <v>45716</v>
      </c>
      <c r="HZ7" s="7">
        <f t="shared" ref="HZ7:IG7" si="17">EOMONTH(HY7,1)</f>
        <v>45747</v>
      </c>
      <c r="IA7" s="7">
        <f t="shared" si="17"/>
        <v>45777</v>
      </c>
      <c r="IB7" s="7">
        <f t="shared" si="17"/>
        <v>45808</v>
      </c>
      <c r="IC7" s="7">
        <f t="shared" si="17"/>
        <v>45838</v>
      </c>
      <c r="ID7" s="7">
        <f t="shared" si="17"/>
        <v>45869</v>
      </c>
      <c r="IE7" s="7">
        <f t="shared" si="17"/>
        <v>45900</v>
      </c>
      <c r="IF7" s="7">
        <f t="shared" si="17"/>
        <v>45930</v>
      </c>
      <c r="IG7" s="7">
        <f t="shared" si="17"/>
        <v>45961</v>
      </c>
      <c r="IH7" s="8">
        <f>+IG7</f>
        <v>45961</v>
      </c>
      <c r="II7" s="37">
        <f>+IH7</f>
        <v>45961</v>
      </c>
    </row>
    <row r="8" spans="2:243" x14ac:dyDescent="0.2">
      <c r="B8" s="101" t="s">
        <v>269</v>
      </c>
      <c r="C8" s="89" t="s">
        <v>270</v>
      </c>
      <c r="D8" s="89" t="str">
        <f>_xlfn.IFNA(INDEX('4. WIP Report (Oct-25)'!D:D,MATCH('7. POC Lookback Summary'!$B8,'4. WIP Report (Oct-25)'!$B:$B,0)),INDEX('5. Completed Jobs'!D:D,MATCH('7. POC Lookback Summary'!$B8,'5. Completed Jobs'!$B:$B,0)))</f>
        <v>ABC Construction Company</v>
      </c>
      <c r="E8" s="89" t="str">
        <f>_xlfn.IFNA(INDEX('4. WIP Report (Oct-25)'!E:E,MATCH('7. POC Lookback Summary'!$B8,'4. WIP Report (Oct-25)'!$B:$B,0)),INDEX('5. Completed Jobs'!E:E,MATCH('7. POC Lookback Summary'!$B8,'5. Completed Jobs'!$B:$B,0)))</f>
        <v>Fire Alarm Installation</v>
      </c>
      <c r="F8" s="89" t="str">
        <f>_xlfn.IFNA(INDEX('4. WIP Report (Oct-25)'!F:F,MATCH('7. POC Lookback Summary'!$B8,'4. WIP Report (Oct-25)'!$B:$B,0)),INDEX('5. Completed Jobs'!F:F,MATCH('7. POC Lookback Summary'!$B8,'5. Completed Jobs'!$B:$B,0)))</f>
        <v>Healthcare</v>
      </c>
      <c r="G8" s="89" t="str">
        <f>_xlfn.IFNA(INDEX('4. WIP Report (Oct-25)'!G:G,MATCH('7. POC Lookback Summary'!$B8,'4. WIP Report (Oct-25)'!$B:$B,0)),INDEX('5. Completed Jobs'!G:G,MATCH('7. POC Lookback Summary'!$B8,'5. Completed Jobs'!$B:$B,0)))</f>
        <v>General Contractor</v>
      </c>
      <c r="H8" s="89" t="str">
        <f>_xlfn.IFNA(INDEX('4. WIP Report (Oct-25)'!H:H,MATCH('7. POC Lookback Summary'!$B8,'4. WIP Report (Oct-25)'!$B:$B,0)),INDEX('5. Completed Jobs'!H:H,MATCH('7. POC Lookback Summary'!$B8,'5. Completed Jobs'!$B:$B,0)))</f>
        <v>New Construction</v>
      </c>
      <c r="J8" s="95"/>
      <c r="K8" s="119">
        <v>1930.5541699276951</v>
      </c>
      <c r="L8" s="119">
        <v>1064.5927376053733</v>
      </c>
      <c r="M8" s="119">
        <v>881.83121128736218</v>
      </c>
      <c r="N8" s="119">
        <v>96.151319382405134</v>
      </c>
      <c r="O8" s="119">
        <v>0</v>
      </c>
      <c r="P8" s="119">
        <v>20.755065400174285</v>
      </c>
      <c r="Q8" s="119">
        <v>5786.7994291953837</v>
      </c>
      <c r="R8" s="119">
        <v>8210.5306666989727</v>
      </c>
      <c r="S8" s="119">
        <v>6757.3059912295676</v>
      </c>
      <c r="T8" s="119">
        <v>8786.7502017229999</v>
      </c>
      <c r="U8" s="119">
        <v>4995.8123397540767</v>
      </c>
      <c r="V8" s="119">
        <v>687.85573201597583</v>
      </c>
      <c r="W8" s="98">
        <f>SUM(K8:V8)</f>
        <v>39218.938864219992</v>
      </c>
      <c r="X8" s="119">
        <v>1852.8189000159152</v>
      </c>
      <c r="Y8" s="119">
        <v>0</v>
      </c>
      <c r="Z8" s="119">
        <v>0</v>
      </c>
      <c r="AA8" s="119">
        <v>680.00226397404117</v>
      </c>
      <c r="AB8" s="119">
        <v>0</v>
      </c>
      <c r="AC8" s="119">
        <v>3032.7192013887334</v>
      </c>
      <c r="AD8" s="119">
        <v>0</v>
      </c>
      <c r="AE8" s="119">
        <v>724.62861536407354</v>
      </c>
      <c r="AF8" s="119">
        <v>8562.0270257068478</v>
      </c>
      <c r="AG8" s="119">
        <v>236.80315701939224</v>
      </c>
      <c r="AH8" s="119">
        <v>10276.843985879379</v>
      </c>
      <c r="AI8" s="119">
        <v>1137.1392411671095</v>
      </c>
      <c r="AJ8" s="98">
        <f>SUM(X8:AI8)</f>
        <v>26502.982390515492</v>
      </c>
      <c r="AK8" s="119">
        <v>672.96301033796203</v>
      </c>
      <c r="AL8" s="119">
        <v>6215.7941957424227</v>
      </c>
      <c r="AM8" s="119">
        <v>14498.479062698494</v>
      </c>
      <c r="AN8" s="119">
        <v>14386.19149418186</v>
      </c>
      <c r="AO8" s="119">
        <v>3104.2072262228571</v>
      </c>
      <c r="AP8" s="119">
        <v>792.89679232049559</v>
      </c>
      <c r="AQ8" s="119">
        <v>0.58475398238722132</v>
      </c>
      <c r="AR8" s="119">
        <v>0</v>
      </c>
      <c r="AS8" s="119">
        <v>4778.46150508549</v>
      </c>
      <c r="AT8" s="119">
        <v>8186.3707046924956</v>
      </c>
      <c r="AU8" s="98">
        <f>SUM(AK8:AT8)</f>
        <v>52635.948745264468</v>
      </c>
      <c r="AV8" s="96">
        <f>SUM(AU8,AH8:AI8)</f>
        <v>64049.931972310958</v>
      </c>
      <c r="AW8" s="95"/>
      <c r="AX8" s="119">
        <v>2608.17</v>
      </c>
      <c r="AY8" s="119">
        <v>1438.26</v>
      </c>
      <c r="AZ8" s="119">
        <v>1191.3499999999999</v>
      </c>
      <c r="BA8" s="119">
        <v>129.9</v>
      </c>
      <c r="BB8" s="119">
        <v>0</v>
      </c>
      <c r="BC8" s="119">
        <v>28.04</v>
      </c>
      <c r="BD8" s="119">
        <v>7817.9400000000005</v>
      </c>
      <c r="BE8" s="119">
        <v>11092.389999999998</v>
      </c>
      <c r="BF8" s="119">
        <v>9129.09</v>
      </c>
      <c r="BG8" s="119">
        <v>11870.86</v>
      </c>
      <c r="BH8" s="119">
        <v>6749.32</v>
      </c>
      <c r="BI8" s="119">
        <v>929.29000000000008</v>
      </c>
      <c r="BJ8" s="98">
        <f>SUM(AX8:BI8)</f>
        <v>52984.61</v>
      </c>
      <c r="BK8" s="119">
        <v>2503.15</v>
      </c>
      <c r="BL8" s="119">
        <v>0</v>
      </c>
      <c r="BM8" s="119">
        <v>0</v>
      </c>
      <c r="BN8" s="119">
        <v>918.68000000000006</v>
      </c>
      <c r="BO8" s="119">
        <v>0</v>
      </c>
      <c r="BP8" s="119">
        <v>4097.1900000000005</v>
      </c>
      <c r="BQ8" s="119">
        <v>0</v>
      </c>
      <c r="BR8" s="119">
        <v>978.97</v>
      </c>
      <c r="BS8" s="119">
        <v>11567.26</v>
      </c>
      <c r="BT8" s="119">
        <v>319.92</v>
      </c>
      <c r="BU8" s="119">
        <v>13883.97</v>
      </c>
      <c r="BV8" s="119">
        <v>1536.27</v>
      </c>
      <c r="BW8" s="98">
        <f>SUM(BK8:BV8)</f>
        <v>35805.409999999996</v>
      </c>
      <c r="BX8" s="119">
        <v>909.17</v>
      </c>
      <c r="BY8" s="119">
        <v>8397.5099999999984</v>
      </c>
      <c r="BZ8" s="119">
        <v>19587.38</v>
      </c>
      <c r="CA8" s="119">
        <v>19435.68</v>
      </c>
      <c r="CB8" s="119">
        <v>4193.7700000000004</v>
      </c>
      <c r="CC8" s="119">
        <v>1071.2</v>
      </c>
      <c r="CD8" s="119">
        <v>0.79</v>
      </c>
      <c r="CE8" s="119">
        <v>0</v>
      </c>
      <c r="CF8" s="119">
        <v>6455.68</v>
      </c>
      <c r="CG8" s="119">
        <v>11059.75</v>
      </c>
      <c r="CH8" s="98">
        <f>SUM(BX8:CG8)</f>
        <v>71110.929999999993</v>
      </c>
      <c r="CI8" s="96">
        <f>SUM(CH8,BU8:BV8)</f>
        <v>86531.17</v>
      </c>
      <c r="CJ8" s="95"/>
      <c r="CK8" s="119">
        <f>+K8-AX8</f>
        <v>-677.61583007230502</v>
      </c>
      <c r="CL8" s="119">
        <f t="shared" ref="CL8:CV23" si="18">+L8-AY8</f>
        <v>-373.66726239462673</v>
      </c>
      <c r="CM8" s="119">
        <f t="shared" si="18"/>
        <v>-309.51878871263773</v>
      </c>
      <c r="CN8" s="119">
        <f t="shared" si="18"/>
        <v>-33.748680617594871</v>
      </c>
      <c r="CO8" s="119">
        <f t="shared" si="18"/>
        <v>0</v>
      </c>
      <c r="CP8" s="119">
        <f t="shared" si="18"/>
        <v>-7.2849345998257142</v>
      </c>
      <c r="CQ8" s="119">
        <f t="shared" si="18"/>
        <v>-2031.1405708046168</v>
      </c>
      <c r="CR8" s="119">
        <f t="shared" si="18"/>
        <v>-2881.8593333010249</v>
      </c>
      <c r="CS8" s="119">
        <f t="shared" si="18"/>
        <v>-2371.7840087704326</v>
      </c>
      <c r="CT8" s="119">
        <f t="shared" si="18"/>
        <v>-3084.1097982770007</v>
      </c>
      <c r="CU8" s="119">
        <f t="shared" si="18"/>
        <v>-1753.507660245923</v>
      </c>
      <c r="CV8" s="119">
        <f t="shared" si="18"/>
        <v>-241.43426798402425</v>
      </c>
      <c r="CW8" s="98">
        <f>SUM(CK8:CV8)</f>
        <v>-13765.671135780014</v>
      </c>
      <c r="CX8" s="119">
        <f t="shared" ref="CX8:DI23" si="19">+X8-BK8</f>
        <v>-650.33109998408486</v>
      </c>
      <c r="CY8" s="119">
        <f t="shared" si="19"/>
        <v>0</v>
      </c>
      <c r="CZ8" s="119">
        <f t="shared" si="19"/>
        <v>0</v>
      </c>
      <c r="DA8" s="119">
        <f t="shared" si="19"/>
        <v>-238.67773602595889</v>
      </c>
      <c r="DB8" s="119">
        <f t="shared" si="19"/>
        <v>0</v>
      </c>
      <c r="DC8" s="119">
        <f t="shared" si="19"/>
        <v>-1064.4707986112671</v>
      </c>
      <c r="DD8" s="119">
        <f t="shared" si="19"/>
        <v>0</v>
      </c>
      <c r="DE8" s="119">
        <f t="shared" si="19"/>
        <v>-254.34138463592649</v>
      </c>
      <c r="DF8" s="119">
        <f t="shared" si="19"/>
        <v>-3005.2329742931524</v>
      </c>
      <c r="DG8" s="119">
        <f t="shared" si="19"/>
        <v>-83.116842980607771</v>
      </c>
      <c r="DH8" s="119">
        <f t="shared" si="19"/>
        <v>-3607.1260141206203</v>
      </c>
      <c r="DI8" s="119">
        <f t="shared" si="19"/>
        <v>-399.13075883289048</v>
      </c>
      <c r="DJ8" s="98">
        <f>SUM(CX8:DI8)</f>
        <v>-9302.4276094845081</v>
      </c>
      <c r="DK8" s="119">
        <f t="shared" ref="DK8:DT23" si="20">+AK8-BX8</f>
        <v>-236.20698966203793</v>
      </c>
      <c r="DL8" s="119">
        <f t="shared" si="20"/>
        <v>-2181.7158042575757</v>
      </c>
      <c r="DM8" s="119">
        <f t="shared" si="20"/>
        <v>-5088.9009373015069</v>
      </c>
      <c r="DN8" s="119">
        <f t="shared" si="20"/>
        <v>-5049.4885058181408</v>
      </c>
      <c r="DO8" s="119">
        <f t="shared" si="20"/>
        <v>-1089.5627737771433</v>
      </c>
      <c r="DP8" s="119">
        <f t="shared" si="20"/>
        <v>-278.30320767950445</v>
      </c>
      <c r="DQ8" s="119">
        <f t="shared" si="20"/>
        <v>-0.20524601761277872</v>
      </c>
      <c r="DR8" s="119">
        <f t="shared" si="20"/>
        <v>0</v>
      </c>
      <c r="DS8" s="119">
        <f t="shared" si="20"/>
        <v>-1677.2184949145103</v>
      </c>
      <c r="DT8" s="119">
        <f t="shared" si="20"/>
        <v>-2873.3792953075044</v>
      </c>
      <c r="DU8" s="98">
        <f>SUM(DK8:DT8)</f>
        <v>-18474.981254735536</v>
      </c>
      <c r="DV8" s="96">
        <f>SUM(DU8,DH8:DI8)</f>
        <v>-22481.238027689044</v>
      </c>
      <c r="DW8" s="95"/>
      <c r="DX8" s="162">
        <f>IFERROR(CK8/K8,0)</f>
        <v>-0.35099550203125546</v>
      </c>
      <c r="DY8" s="162">
        <f t="shared" ref="DY8:FI14" si="21">IFERROR(CL8/L8,0)</f>
        <v>-0.35099550203125557</v>
      </c>
      <c r="DZ8" s="162">
        <f t="shared" si="21"/>
        <v>-0.3509955020312554</v>
      </c>
      <c r="EA8" s="162">
        <f t="shared" si="21"/>
        <v>-0.35099550203125546</v>
      </c>
      <c r="EB8" s="162">
        <f t="shared" si="21"/>
        <v>0</v>
      </c>
      <c r="EC8" s="162">
        <f t="shared" si="21"/>
        <v>-0.35099550203125551</v>
      </c>
      <c r="ED8" s="162">
        <f t="shared" si="21"/>
        <v>-0.35099550203125557</v>
      </c>
      <c r="EE8" s="162">
        <f t="shared" si="21"/>
        <v>-0.35099550203125551</v>
      </c>
      <c r="EF8" s="162">
        <f t="shared" si="21"/>
        <v>-0.35099550203125551</v>
      </c>
      <c r="EG8" s="162">
        <f t="shared" si="21"/>
        <v>-0.35099550203125557</v>
      </c>
      <c r="EH8" s="162">
        <f t="shared" si="21"/>
        <v>-0.35099550203125546</v>
      </c>
      <c r="EI8" s="162">
        <f t="shared" si="21"/>
        <v>-0.35099550203125557</v>
      </c>
      <c r="EJ8" s="163">
        <f t="shared" si="21"/>
        <v>-0.35099550203125551</v>
      </c>
      <c r="EK8" s="162">
        <f t="shared" si="21"/>
        <v>-0.35099550203125557</v>
      </c>
      <c r="EL8" s="162">
        <f t="shared" si="21"/>
        <v>0</v>
      </c>
      <c r="EM8" s="162">
        <f t="shared" si="21"/>
        <v>0</v>
      </c>
      <c r="EN8" s="162">
        <f t="shared" si="21"/>
        <v>-0.35099550203125546</v>
      </c>
      <c r="EO8" s="162">
        <f t="shared" si="21"/>
        <v>0</v>
      </c>
      <c r="EP8" s="162">
        <f t="shared" si="21"/>
        <v>-0.35099550203125562</v>
      </c>
      <c r="EQ8" s="162">
        <f t="shared" si="21"/>
        <v>0</v>
      </c>
      <c r="ER8" s="162">
        <f t="shared" si="21"/>
        <v>-0.35099550203125546</v>
      </c>
      <c r="ES8" s="162">
        <f t="shared" si="21"/>
        <v>-0.35099550203125551</v>
      </c>
      <c r="ET8" s="162">
        <f t="shared" si="21"/>
        <v>-0.35099550203125535</v>
      </c>
      <c r="EU8" s="162">
        <f t="shared" si="21"/>
        <v>-0.3509955020312554</v>
      </c>
      <c r="EV8" s="162">
        <f t="shared" si="21"/>
        <v>-0.35099550203125546</v>
      </c>
      <c r="EW8" s="163">
        <f t="shared" si="21"/>
        <v>-0.35099550203125546</v>
      </c>
      <c r="EX8" s="162">
        <f t="shared" si="21"/>
        <v>-0.35099550203125546</v>
      </c>
      <c r="EY8" s="162">
        <f t="shared" si="21"/>
        <v>-0.35099550203125551</v>
      </c>
      <c r="EZ8" s="162">
        <f t="shared" si="21"/>
        <v>-0.35099550203125568</v>
      </c>
      <c r="FA8" s="162">
        <f t="shared" si="21"/>
        <v>-0.35099550203125557</v>
      </c>
      <c r="FB8" s="162">
        <f t="shared" si="21"/>
        <v>-0.35099550203125568</v>
      </c>
      <c r="FC8" s="162">
        <f t="shared" si="21"/>
        <v>-0.35099550203125546</v>
      </c>
      <c r="FD8" s="162">
        <f t="shared" si="21"/>
        <v>-0.35099550203125557</v>
      </c>
      <c r="FE8" s="162">
        <f t="shared" si="21"/>
        <v>0</v>
      </c>
      <c r="FF8" s="162">
        <f t="shared" si="21"/>
        <v>-0.35099550203125551</v>
      </c>
      <c r="FG8" s="162">
        <f t="shared" si="21"/>
        <v>-0.3509955020312554</v>
      </c>
      <c r="FH8" s="163">
        <f t="shared" si="21"/>
        <v>-0.35099550203125551</v>
      </c>
      <c r="FI8" s="164">
        <f t="shared" si="21"/>
        <v>-0.35099550203125546</v>
      </c>
      <c r="FJ8" s="95"/>
      <c r="FK8" s="119">
        <v>0</v>
      </c>
      <c r="FL8" s="119">
        <v>0</v>
      </c>
      <c r="FM8" s="119">
        <v>0</v>
      </c>
      <c r="FN8" s="119">
        <v>0</v>
      </c>
      <c r="FO8" s="119">
        <v>0</v>
      </c>
      <c r="FP8" s="119">
        <v>0</v>
      </c>
      <c r="FQ8" s="119">
        <v>0</v>
      </c>
      <c r="FR8" s="119">
        <v>0</v>
      </c>
      <c r="FS8" s="119">
        <v>25878.07</v>
      </c>
      <c r="FT8" s="119">
        <v>0</v>
      </c>
      <c r="FU8" s="119">
        <v>0</v>
      </c>
      <c r="FV8" s="119">
        <v>0</v>
      </c>
      <c r="FW8" s="98">
        <f>SUM(FK8:FV8)</f>
        <v>25878.07</v>
      </c>
      <c r="FX8" s="119">
        <v>0</v>
      </c>
      <c r="FY8" s="119">
        <v>0</v>
      </c>
      <c r="FZ8" s="119">
        <v>77385.77</v>
      </c>
      <c r="GA8" s="119">
        <v>0</v>
      </c>
      <c r="GB8" s="119">
        <v>0</v>
      </c>
      <c r="GC8" s="119">
        <v>0</v>
      </c>
      <c r="GD8" s="119">
        <v>0</v>
      </c>
      <c r="GE8" s="119">
        <v>0</v>
      </c>
      <c r="GF8" s="119">
        <v>0</v>
      </c>
      <c r="GG8" s="119">
        <v>0</v>
      </c>
      <c r="GH8" s="119">
        <v>0</v>
      </c>
      <c r="GI8" s="119">
        <v>0</v>
      </c>
      <c r="GJ8" s="98">
        <f>SUM(FX8:GI8)</f>
        <v>77385.77</v>
      </c>
      <c r="GK8" s="119">
        <v>0</v>
      </c>
      <c r="GL8" s="119">
        <v>0</v>
      </c>
      <c r="GM8" s="119">
        <v>0</v>
      </c>
      <c r="GN8" s="119">
        <v>0</v>
      </c>
      <c r="GO8" s="119">
        <v>0</v>
      </c>
      <c r="GP8" s="119">
        <v>0</v>
      </c>
      <c r="GQ8" s="119">
        <v>15094.03</v>
      </c>
      <c r="GR8" s="119">
        <v>0</v>
      </c>
      <c r="GS8" s="119">
        <v>0</v>
      </c>
      <c r="GT8" s="119">
        <v>0</v>
      </c>
      <c r="GU8" s="98">
        <f>SUM(GK8:GT8)</f>
        <v>15094.03</v>
      </c>
      <c r="GV8" s="96">
        <f>SUM(GU8,GH8:GI8)</f>
        <v>15094.03</v>
      </c>
      <c r="GW8" s="95"/>
      <c r="GX8" s="119">
        <f>+K8-FK8</f>
        <v>1930.5541699276951</v>
      </c>
      <c r="GY8" s="119">
        <f t="shared" ref="GY8:HI23" si="22">+L8-FL8</f>
        <v>1064.5927376053733</v>
      </c>
      <c r="GZ8" s="119">
        <f t="shared" si="22"/>
        <v>881.83121128736218</v>
      </c>
      <c r="HA8" s="119">
        <f t="shared" si="22"/>
        <v>96.151319382405134</v>
      </c>
      <c r="HB8" s="119">
        <f t="shared" si="22"/>
        <v>0</v>
      </c>
      <c r="HC8" s="119">
        <f t="shared" si="22"/>
        <v>20.755065400174285</v>
      </c>
      <c r="HD8" s="119">
        <f t="shared" si="22"/>
        <v>5786.7994291953837</v>
      </c>
      <c r="HE8" s="119">
        <f t="shared" si="22"/>
        <v>8210.5306666989727</v>
      </c>
      <c r="HF8" s="119">
        <f t="shared" si="22"/>
        <v>-19120.764008770431</v>
      </c>
      <c r="HG8" s="119">
        <f t="shared" si="22"/>
        <v>8786.7502017229999</v>
      </c>
      <c r="HH8" s="119">
        <f t="shared" si="22"/>
        <v>4995.8123397540767</v>
      </c>
      <c r="HI8" s="119">
        <f t="shared" si="22"/>
        <v>687.85573201597583</v>
      </c>
      <c r="HJ8" s="98">
        <f>SUM(GX8:HI8)</f>
        <v>13340.86886421999</v>
      </c>
      <c r="HK8" s="119">
        <f t="shared" ref="HK8:HV23" si="23">+X8-FX8</f>
        <v>1852.8189000159152</v>
      </c>
      <c r="HL8" s="119">
        <f t="shared" si="23"/>
        <v>0</v>
      </c>
      <c r="HM8" s="119">
        <f t="shared" si="23"/>
        <v>-77385.77</v>
      </c>
      <c r="HN8" s="119">
        <f t="shared" si="23"/>
        <v>680.00226397404117</v>
      </c>
      <c r="HO8" s="119">
        <f t="shared" si="23"/>
        <v>0</v>
      </c>
      <c r="HP8" s="119">
        <f t="shared" si="23"/>
        <v>3032.7192013887334</v>
      </c>
      <c r="HQ8" s="119">
        <f t="shared" si="23"/>
        <v>0</v>
      </c>
      <c r="HR8" s="119">
        <f t="shared" si="23"/>
        <v>724.62861536407354</v>
      </c>
      <c r="HS8" s="119">
        <f t="shared" si="23"/>
        <v>8562.0270257068478</v>
      </c>
      <c r="HT8" s="119">
        <f t="shared" si="23"/>
        <v>236.80315701939224</v>
      </c>
      <c r="HU8" s="119">
        <f t="shared" si="23"/>
        <v>10276.843985879379</v>
      </c>
      <c r="HV8" s="119">
        <f t="shared" si="23"/>
        <v>1137.1392411671095</v>
      </c>
      <c r="HW8" s="98">
        <f>SUM(HK8:HV8)</f>
        <v>-50882.787609484512</v>
      </c>
      <c r="HX8" s="119">
        <f t="shared" ref="HX8:IG23" si="24">+AK8-GK8</f>
        <v>672.96301033796203</v>
      </c>
      <c r="HY8" s="119">
        <f t="shared" si="24"/>
        <v>6215.7941957424227</v>
      </c>
      <c r="HZ8" s="119">
        <f t="shared" si="24"/>
        <v>14498.479062698494</v>
      </c>
      <c r="IA8" s="119">
        <f t="shared" si="24"/>
        <v>14386.19149418186</v>
      </c>
      <c r="IB8" s="119">
        <f t="shared" si="24"/>
        <v>3104.2072262228571</v>
      </c>
      <c r="IC8" s="119">
        <f t="shared" si="24"/>
        <v>792.89679232049559</v>
      </c>
      <c r="ID8" s="119">
        <f t="shared" si="24"/>
        <v>-15093.445246017613</v>
      </c>
      <c r="IE8" s="119">
        <f t="shared" si="24"/>
        <v>0</v>
      </c>
      <c r="IF8" s="119">
        <f t="shared" si="24"/>
        <v>4778.46150508549</v>
      </c>
      <c r="IG8" s="119">
        <f t="shared" si="24"/>
        <v>8186.3707046924956</v>
      </c>
      <c r="IH8" s="98">
        <f>SUM(HX8:IG8)</f>
        <v>37541.918745264469</v>
      </c>
      <c r="II8" s="96">
        <f>SUM(IH8,HU8:HV8)</f>
        <v>48955.90197231096</v>
      </c>
    </row>
    <row r="9" spans="2:243" x14ac:dyDescent="0.2">
      <c r="B9" s="101" t="s">
        <v>271</v>
      </c>
      <c r="C9" s="89" t="s">
        <v>272</v>
      </c>
      <c r="D9" s="89" t="str">
        <f>_xlfn.IFNA(INDEX('4. WIP Report (Oct-25)'!D:D,MATCH('7. POC Lookback Summary'!$B9,'4. WIP Report (Oct-25)'!$B:$B,0)),INDEX('5. Completed Jobs'!D:D,MATCH('7. POC Lookback Summary'!$B9,'5. Completed Jobs'!$B:$B,0)))</f>
        <v>Skyline Construction Group</v>
      </c>
      <c r="E9" s="89" t="str">
        <f>_xlfn.IFNA(INDEX('4. WIP Report (Oct-25)'!E:E,MATCH('7. POC Lookback Summary'!$B9,'4. WIP Report (Oct-25)'!$B:$B,0)),INDEX('5. Completed Jobs'!E:E,MATCH('7. POC Lookback Summary'!$B9,'5. Completed Jobs'!$B:$B,0)))</f>
        <v>Fire Alarm Installation</v>
      </c>
      <c r="F9" s="89" t="str">
        <f>_xlfn.IFNA(INDEX('4. WIP Report (Oct-25)'!F:F,MATCH('7. POC Lookback Summary'!$B9,'4. WIP Report (Oct-25)'!$B:$B,0)),INDEX('5. Completed Jobs'!F:F,MATCH('7. POC Lookback Summary'!$B9,'5. Completed Jobs'!$B:$B,0)))</f>
        <v>Commercial</v>
      </c>
      <c r="G9" s="89" t="str">
        <f>_xlfn.IFNA(INDEX('4. WIP Report (Oct-25)'!G:G,MATCH('7. POC Lookback Summary'!$B9,'4. WIP Report (Oct-25)'!$B:$B,0)),INDEX('5. Completed Jobs'!G:G,MATCH('7. POC Lookback Summary'!$B9,'5. Completed Jobs'!$B:$B,0)))</f>
        <v>General Contractor</v>
      </c>
      <c r="H9" s="89" t="str">
        <f>_xlfn.IFNA(INDEX('4. WIP Report (Oct-25)'!H:H,MATCH('7. POC Lookback Summary'!$B9,'4. WIP Report (Oct-25)'!$B:$B,0)),INDEX('5. Completed Jobs'!H:H,MATCH('7. POC Lookback Summary'!$B9,'5. Completed Jobs'!$B:$B,0)))</f>
        <v>New Construction</v>
      </c>
      <c r="J9" s="95"/>
      <c r="K9" s="119">
        <v>0</v>
      </c>
      <c r="L9" s="119">
        <v>1173.1434182715652</v>
      </c>
      <c r="M9" s="119">
        <v>3112.4903006923078</v>
      </c>
      <c r="N9" s="119">
        <v>0</v>
      </c>
      <c r="O9" s="119">
        <v>18228.985483092569</v>
      </c>
      <c r="P9" s="119">
        <v>0</v>
      </c>
      <c r="Q9" s="119">
        <v>211.48996155849622</v>
      </c>
      <c r="R9" s="119">
        <v>0</v>
      </c>
      <c r="S9" s="119">
        <v>5105.3204808770115</v>
      </c>
      <c r="T9" s="119">
        <v>328.50559347792841</v>
      </c>
      <c r="U9" s="119">
        <v>6646.3540174348564</v>
      </c>
      <c r="V9" s="119">
        <v>0</v>
      </c>
      <c r="W9" s="98">
        <f t="shared" ref="W9:W47" si="25">SUM(K9:V9)</f>
        <v>34806.289255404728</v>
      </c>
      <c r="X9" s="119">
        <v>15354.651487821988</v>
      </c>
      <c r="Y9" s="119">
        <v>0</v>
      </c>
      <c r="Z9" s="119">
        <v>0</v>
      </c>
      <c r="AA9" s="119">
        <v>0</v>
      </c>
      <c r="AB9" s="119">
        <v>49326.477463189185</v>
      </c>
      <c r="AC9" s="119">
        <v>370.61783341003451</v>
      </c>
      <c r="AD9" s="119">
        <v>0</v>
      </c>
      <c r="AE9" s="119">
        <v>0</v>
      </c>
      <c r="AF9" s="119">
        <v>787.09642324126366</v>
      </c>
      <c r="AG9" s="119">
        <v>8309.0135265047375</v>
      </c>
      <c r="AH9" s="119">
        <v>0</v>
      </c>
      <c r="AI9" s="119">
        <v>36973.249740621643</v>
      </c>
      <c r="AJ9" s="98">
        <f t="shared" ref="AJ9:AJ47" si="26">SUM(X9:AI9)</f>
        <v>111121.10647478886</v>
      </c>
      <c r="AK9" s="119">
        <v>547.42565022015401</v>
      </c>
      <c r="AL9" s="119">
        <v>0</v>
      </c>
      <c r="AM9" s="119">
        <v>0</v>
      </c>
      <c r="AN9" s="119">
        <v>0</v>
      </c>
      <c r="AO9" s="119">
        <v>260.09516755205948</v>
      </c>
      <c r="AP9" s="119">
        <v>11739.734469227204</v>
      </c>
      <c r="AQ9" s="119">
        <v>4728.2013141812149</v>
      </c>
      <c r="AR9" s="119">
        <v>0</v>
      </c>
      <c r="AS9" s="119">
        <v>0</v>
      </c>
      <c r="AT9" s="119">
        <v>11048.007668625747</v>
      </c>
      <c r="AU9" s="98">
        <f t="shared" ref="AU9:AU47" si="27">SUM(AK9:AT9)</f>
        <v>28323.464269806376</v>
      </c>
      <c r="AV9" s="96">
        <f t="shared" ref="AV9:AV47" si="28">SUM(AU9,AH9:AI9)</f>
        <v>65296.714010428019</v>
      </c>
      <c r="AW9" s="95"/>
      <c r="AX9" s="119">
        <v>0</v>
      </c>
      <c r="AY9" s="119">
        <v>1402.0700000000002</v>
      </c>
      <c r="AZ9" s="119">
        <v>3719.86</v>
      </c>
      <c r="BA9" s="119">
        <v>0</v>
      </c>
      <c r="BB9" s="119">
        <v>21786.179999999997</v>
      </c>
      <c r="BC9" s="119">
        <v>0</v>
      </c>
      <c r="BD9" s="119">
        <v>252.76000000000002</v>
      </c>
      <c r="BE9" s="119">
        <v>0</v>
      </c>
      <c r="BF9" s="119">
        <v>6101.5699999999988</v>
      </c>
      <c r="BG9" s="119">
        <v>392.60999999999996</v>
      </c>
      <c r="BH9" s="119">
        <v>7943.3200000000006</v>
      </c>
      <c r="BI9" s="119">
        <v>0</v>
      </c>
      <c r="BJ9" s="98">
        <f t="shared" ref="BJ9:BJ47" si="29">SUM(AX9:BI9)</f>
        <v>41598.369999999995</v>
      </c>
      <c r="BK9" s="119">
        <v>18350.949999999997</v>
      </c>
      <c r="BL9" s="119">
        <v>0</v>
      </c>
      <c r="BM9" s="119">
        <v>0</v>
      </c>
      <c r="BN9" s="119">
        <v>0</v>
      </c>
      <c r="BO9" s="119">
        <v>58952.02</v>
      </c>
      <c r="BP9" s="119">
        <v>442.94000000000005</v>
      </c>
      <c r="BQ9" s="119">
        <v>0</v>
      </c>
      <c r="BR9" s="119">
        <v>0</v>
      </c>
      <c r="BS9" s="119">
        <v>940.69</v>
      </c>
      <c r="BT9" s="119">
        <v>9930.43</v>
      </c>
      <c r="BU9" s="119">
        <v>0</v>
      </c>
      <c r="BV9" s="119">
        <v>44188.19</v>
      </c>
      <c r="BW9" s="98">
        <f t="shared" ref="BW9:BW47" si="30">SUM(BK9:BV9)</f>
        <v>132805.22</v>
      </c>
      <c r="BX9" s="119">
        <v>654.25</v>
      </c>
      <c r="BY9" s="119">
        <v>0</v>
      </c>
      <c r="BZ9" s="119">
        <v>0</v>
      </c>
      <c r="CA9" s="119">
        <v>0</v>
      </c>
      <c r="CB9" s="119">
        <v>310.85000000000002</v>
      </c>
      <c r="CC9" s="119">
        <v>14030.619999999999</v>
      </c>
      <c r="CD9" s="119">
        <v>5650.86</v>
      </c>
      <c r="CE9" s="119">
        <v>0</v>
      </c>
      <c r="CF9" s="119">
        <v>0</v>
      </c>
      <c r="CG9" s="119">
        <v>13203.91</v>
      </c>
      <c r="CH9" s="98">
        <f t="shared" ref="CH9:CH47" si="31">SUM(BX9:CG9)</f>
        <v>33850.49</v>
      </c>
      <c r="CI9" s="96">
        <f t="shared" ref="CI9:CI47" si="32">SUM(CH9,BU9:BV9)</f>
        <v>78038.679999999993</v>
      </c>
      <c r="CJ9" s="95"/>
      <c r="CK9" s="119">
        <f t="shared" ref="CK9:CV47" si="33">+K9-AX9</f>
        <v>0</v>
      </c>
      <c r="CL9" s="119">
        <f t="shared" si="18"/>
        <v>-228.92658172843494</v>
      </c>
      <c r="CM9" s="119">
        <f t="shared" si="18"/>
        <v>-607.36969930769237</v>
      </c>
      <c r="CN9" s="119">
        <f t="shared" si="18"/>
        <v>0</v>
      </c>
      <c r="CO9" s="119">
        <f t="shared" si="18"/>
        <v>-3557.1945169074279</v>
      </c>
      <c r="CP9" s="119">
        <f t="shared" si="18"/>
        <v>0</v>
      </c>
      <c r="CQ9" s="119">
        <f t="shared" si="18"/>
        <v>-41.2700384415038</v>
      </c>
      <c r="CR9" s="119">
        <f t="shared" si="18"/>
        <v>0</v>
      </c>
      <c r="CS9" s="119">
        <f t="shared" si="18"/>
        <v>-996.24951912298729</v>
      </c>
      <c r="CT9" s="119">
        <f t="shared" si="18"/>
        <v>-64.104406522071542</v>
      </c>
      <c r="CU9" s="119">
        <f t="shared" si="18"/>
        <v>-1296.9659825651443</v>
      </c>
      <c r="CV9" s="119">
        <f t="shared" si="18"/>
        <v>0</v>
      </c>
      <c r="CW9" s="98">
        <f t="shared" ref="CW9:CW47" si="34">SUM(CK9:CV9)</f>
        <v>-6792.0807445952623</v>
      </c>
      <c r="CX9" s="119">
        <f t="shared" si="19"/>
        <v>-2996.2985121780093</v>
      </c>
      <c r="CY9" s="119">
        <f t="shared" si="19"/>
        <v>0</v>
      </c>
      <c r="CZ9" s="119">
        <f t="shared" si="19"/>
        <v>0</v>
      </c>
      <c r="DA9" s="119">
        <f t="shared" si="19"/>
        <v>0</v>
      </c>
      <c r="DB9" s="119">
        <f t="shared" si="19"/>
        <v>-9625.5425368108117</v>
      </c>
      <c r="DC9" s="119">
        <f t="shared" si="19"/>
        <v>-72.322166589965548</v>
      </c>
      <c r="DD9" s="119">
        <f t="shared" si="19"/>
        <v>0</v>
      </c>
      <c r="DE9" s="119">
        <f t="shared" si="19"/>
        <v>0</v>
      </c>
      <c r="DF9" s="119">
        <f t="shared" si="19"/>
        <v>-153.59357675873639</v>
      </c>
      <c r="DG9" s="119">
        <f t="shared" si="19"/>
        <v>-1621.4164734952628</v>
      </c>
      <c r="DH9" s="119">
        <f t="shared" si="19"/>
        <v>0</v>
      </c>
      <c r="DI9" s="119">
        <f t="shared" si="19"/>
        <v>-7214.9402593783598</v>
      </c>
      <c r="DJ9" s="98">
        <f t="shared" ref="DJ9:DJ47" si="35">SUM(CX9:DI9)</f>
        <v>-21684.113525211145</v>
      </c>
      <c r="DK9" s="119">
        <f t="shared" si="20"/>
        <v>-106.82434977984599</v>
      </c>
      <c r="DL9" s="119">
        <f t="shared" si="20"/>
        <v>0</v>
      </c>
      <c r="DM9" s="119">
        <f t="shared" si="20"/>
        <v>0</v>
      </c>
      <c r="DN9" s="119">
        <f t="shared" si="20"/>
        <v>0</v>
      </c>
      <c r="DO9" s="119">
        <f t="shared" si="20"/>
        <v>-50.754832447940544</v>
      </c>
      <c r="DP9" s="119">
        <f t="shared" si="20"/>
        <v>-2290.8855307727954</v>
      </c>
      <c r="DQ9" s="119">
        <f t="shared" si="20"/>
        <v>-922.65868581878476</v>
      </c>
      <c r="DR9" s="119">
        <f t="shared" si="20"/>
        <v>0</v>
      </c>
      <c r="DS9" s="119">
        <f t="shared" si="20"/>
        <v>0</v>
      </c>
      <c r="DT9" s="119">
        <f t="shared" si="20"/>
        <v>-2155.9023313742528</v>
      </c>
      <c r="DU9" s="98">
        <f t="shared" ref="DU9:DU47" si="36">SUM(DK9:DT9)</f>
        <v>-5527.0257301936199</v>
      </c>
      <c r="DV9" s="96">
        <f t="shared" ref="DV9:DV47" si="37">SUM(DU9,DH9:DI9)</f>
        <v>-12741.96598957198</v>
      </c>
      <c r="DW9" s="95"/>
      <c r="DX9" s="162">
        <f t="shared" ref="DX9:EM48" si="38">IFERROR(CK9/K9,0)</f>
        <v>0</v>
      </c>
      <c r="DY9" s="162">
        <f t="shared" si="21"/>
        <v>-0.19513946731740675</v>
      </c>
      <c r="DZ9" s="162">
        <f t="shared" si="21"/>
        <v>-0.19513946731740683</v>
      </c>
      <c r="EA9" s="162">
        <f t="shared" si="21"/>
        <v>0</v>
      </c>
      <c r="EB9" s="162">
        <f t="shared" si="21"/>
        <v>-0.19513946731740694</v>
      </c>
      <c r="EC9" s="162">
        <f t="shared" si="21"/>
        <v>0</v>
      </c>
      <c r="ED9" s="162">
        <f t="shared" si="21"/>
        <v>-0.19513946731740683</v>
      </c>
      <c r="EE9" s="162">
        <f t="shared" si="21"/>
        <v>0</v>
      </c>
      <c r="EF9" s="162">
        <f t="shared" si="21"/>
        <v>-0.19513946731740683</v>
      </c>
      <c r="EG9" s="162">
        <f t="shared" si="21"/>
        <v>-0.19513946731740681</v>
      </c>
      <c r="EH9" s="162">
        <f t="shared" si="21"/>
        <v>-0.19513946731740675</v>
      </c>
      <c r="EI9" s="162">
        <f t="shared" si="21"/>
        <v>0</v>
      </c>
      <c r="EJ9" s="163">
        <f t="shared" si="21"/>
        <v>-0.19513946731740692</v>
      </c>
      <c r="EK9" s="162">
        <f t="shared" si="21"/>
        <v>-0.19513946731740672</v>
      </c>
      <c r="EL9" s="162">
        <f t="shared" si="21"/>
        <v>0</v>
      </c>
      <c r="EM9" s="162">
        <f t="shared" si="21"/>
        <v>0</v>
      </c>
      <c r="EN9" s="162">
        <f t="shared" si="21"/>
        <v>0</v>
      </c>
      <c r="EO9" s="162">
        <f t="shared" si="21"/>
        <v>-0.19513946731740686</v>
      </c>
      <c r="EP9" s="162">
        <f t="shared" si="21"/>
        <v>-0.19513946731740681</v>
      </c>
      <c r="EQ9" s="162">
        <f t="shared" si="21"/>
        <v>0</v>
      </c>
      <c r="ER9" s="162">
        <f t="shared" si="21"/>
        <v>0</v>
      </c>
      <c r="ES9" s="162">
        <f t="shared" si="21"/>
        <v>-0.19513946731740683</v>
      </c>
      <c r="ET9" s="162">
        <f t="shared" si="21"/>
        <v>-0.19513946731740686</v>
      </c>
      <c r="EU9" s="162">
        <f t="shared" si="21"/>
        <v>0</v>
      </c>
      <c r="EV9" s="162">
        <f t="shared" si="21"/>
        <v>-0.19513946731740689</v>
      </c>
      <c r="EW9" s="163">
        <f t="shared" si="21"/>
        <v>-0.19513946731740683</v>
      </c>
      <c r="EX9" s="162">
        <f t="shared" si="21"/>
        <v>-0.19513946731740694</v>
      </c>
      <c r="EY9" s="162">
        <f t="shared" si="21"/>
        <v>0</v>
      </c>
      <c r="EZ9" s="162">
        <f t="shared" si="21"/>
        <v>0</v>
      </c>
      <c r="FA9" s="162">
        <f t="shared" si="21"/>
        <v>0</v>
      </c>
      <c r="FB9" s="162">
        <f t="shared" si="21"/>
        <v>-0.19513946731740675</v>
      </c>
      <c r="FC9" s="162">
        <f t="shared" si="21"/>
        <v>-0.19513946731740675</v>
      </c>
      <c r="FD9" s="162">
        <f t="shared" si="21"/>
        <v>-0.19513946731740672</v>
      </c>
      <c r="FE9" s="162">
        <f t="shared" si="21"/>
        <v>0</v>
      </c>
      <c r="FF9" s="162">
        <f t="shared" si="21"/>
        <v>0</v>
      </c>
      <c r="FG9" s="162">
        <f t="shared" si="21"/>
        <v>-0.19513946731740672</v>
      </c>
      <c r="FH9" s="163">
        <f t="shared" si="21"/>
        <v>-0.19513946731740678</v>
      </c>
      <c r="FI9" s="164">
        <f t="shared" si="21"/>
        <v>-0.19513946731740683</v>
      </c>
      <c r="FJ9" s="95"/>
      <c r="FK9" s="119">
        <v>0</v>
      </c>
      <c r="FL9" s="119">
        <v>43870.97</v>
      </c>
      <c r="FM9" s="119">
        <v>0</v>
      </c>
      <c r="FN9" s="119">
        <v>0</v>
      </c>
      <c r="FO9" s="119">
        <v>0</v>
      </c>
      <c r="FP9" s="119">
        <v>0</v>
      </c>
      <c r="FQ9" s="119">
        <v>0</v>
      </c>
      <c r="FR9" s="119">
        <v>0</v>
      </c>
      <c r="FS9" s="119">
        <v>0</v>
      </c>
      <c r="FT9" s="119">
        <v>0</v>
      </c>
      <c r="FU9" s="119">
        <v>0</v>
      </c>
      <c r="FV9" s="119">
        <v>0</v>
      </c>
      <c r="FW9" s="98">
        <f t="shared" ref="FW9:FW47" si="39">SUM(FK9:FV9)</f>
        <v>43870.97</v>
      </c>
      <c r="FX9" s="119">
        <v>0</v>
      </c>
      <c r="FY9" s="119">
        <v>0</v>
      </c>
      <c r="FZ9" s="119">
        <v>0</v>
      </c>
      <c r="GA9" s="119">
        <v>0</v>
      </c>
      <c r="GB9" s="119">
        <v>0</v>
      </c>
      <c r="GC9" s="119">
        <v>0</v>
      </c>
      <c r="GD9" s="119">
        <v>0</v>
      </c>
      <c r="GE9" s="119">
        <v>0</v>
      </c>
      <c r="GF9" s="119">
        <v>0</v>
      </c>
      <c r="GG9" s="119">
        <v>14224.16</v>
      </c>
      <c r="GH9" s="119">
        <v>0</v>
      </c>
      <c r="GI9" s="119">
        <v>0</v>
      </c>
      <c r="GJ9" s="98">
        <f t="shared" ref="GJ9:GJ47" si="40">SUM(FX9:GI9)</f>
        <v>14224.16</v>
      </c>
      <c r="GK9" s="119">
        <v>0</v>
      </c>
      <c r="GL9" s="119">
        <v>0</v>
      </c>
      <c r="GM9" s="119">
        <v>0</v>
      </c>
      <c r="GN9" s="119">
        <v>0</v>
      </c>
      <c r="GO9" s="119">
        <v>116155.73000000001</v>
      </c>
      <c r="GP9" s="119">
        <v>0</v>
      </c>
      <c r="GQ9" s="119">
        <v>0</v>
      </c>
      <c r="GR9" s="119">
        <v>0</v>
      </c>
      <c r="GS9" s="119">
        <v>0</v>
      </c>
      <c r="GT9" s="119">
        <v>0</v>
      </c>
      <c r="GU9" s="98">
        <f t="shared" ref="GU9:GU47" si="41">SUM(GK9:GT9)</f>
        <v>116155.73000000001</v>
      </c>
      <c r="GV9" s="96">
        <f t="shared" ref="GV9:GV47" si="42">SUM(GU9,GH9:GI9)</f>
        <v>116155.73000000001</v>
      </c>
      <c r="GW9" s="95"/>
      <c r="GX9" s="119">
        <f t="shared" ref="GX9:HI47" si="43">+K9-FK9</f>
        <v>0</v>
      </c>
      <c r="GY9" s="119">
        <f t="shared" si="22"/>
        <v>-42697.826581728434</v>
      </c>
      <c r="GZ9" s="119">
        <f t="shared" si="22"/>
        <v>3112.4903006923078</v>
      </c>
      <c r="HA9" s="119">
        <f t="shared" si="22"/>
        <v>0</v>
      </c>
      <c r="HB9" s="119">
        <f t="shared" si="22"/>
        <v>18228.985483092569</v>
      </c>
      <c r="HC9" s="119">
        <f t="shared" si="22"/>
        <v>0</v>
      </c>
      <c r="HD9" s="119">
        <f t="shared" si="22"/>
        <v>211.48996155849622</v>
      </c>
      <c r="HE9" s="119">
        <f t="shared" si="22"/>
        <v>0</v>
      </c>
      <c r="HF9" s="119">
        <f t="shared" si="22"/>
        <v>5105.3204808770115</v>
      </c>
      <c r="HG9" s="119">
        <f t="shared" si="22"/>
        <v>328.50559347792841</v>
      </c>
      <c r="HH9" s="119">
        <f t="shared" si="22"/>
        <v>6646.3540174348564</v>
      </c>
      <c r="HI9" s="119">
        <f t="shared" si="22"/>
        <v>0</v>
      </c>
      <c r="HJ9" s="98">
        <f t="shared" ref="HJ9:HJ47" si="44">SUM(GX9:HI9)</f>
        <v>-9064.6807445952691</v>
      </c>
      <c r="HK9" s="119">
        <f t="shared" si="23"/>
        <v>15354.651487821988</v>
      </c>
      <c r="HL9" s="119">
        <f t="shared" si="23"/>
        <v>0</v>
      </c>
      <c r="HM9" s="119">
        <f t="shared" si="23"/>
        <v>0</v>
      </c>
      <c r="HN9" s="119">
        <f t="shared" si="23"/>
        <v>0</v>
      </c>
      <c r="HO9" s="119">
        <f t="shared" si="23"/>
        <v>49326.477463189185</v>
      </c>
      <c r="HP9" s="119">
        <f t="shared" si="23"/>
        <v>370.61783341003451</v>
      </c>
      <c r="HQ9" s="119">
        <f t="shared" si="23"/>
        <v>0</v>
      </c>
      <c r="HR9" s="119">
        <f t="shared" si="23"/>
        <v>0</v>
      </c>
      <c r="HS9" s="119">
        <f t="shared" si="23"/>
        <v>787.09642324126366</v>
      </c>
      <c r="HT9" s="119">
        <f t="shared" si="23"/>
        <v>-5915.1464734952624</v>
      </c>
      <c r="HU9" s="119">
        <f t="shared" si="23"/>
        <v>0</v>
      </c>
      <c r="HV9" s="119">
        <f t="shared" si="23"/>
        <v>36973.249740621643</v>
      </c>
      <c r="HW9" s="98">
        <f t="shared" ref="HW9:HW47" si="45">SUM(HK9:HV9)</f>
        <v>96896.946474788856</v>
      </c>
      <c r="HX9" s="119">
        <f t="shared" si="24"/>
        <v>547.42565022015401</v>
      </c>
      <c r="HY9" s="119">
        <f t="shared" si="24"/>
        <v>0</v>
      </c>
      <c r="HZ9" s="119">
        <f t="shared" si="24"/>
        <v>0</v>
      </c>
      <c r="IA9" s="119">
        <f t="shared" si="24"/>
        <v>0</v>
      </c>
      <c r="IB9" s="119">
        <f t="shared" si="24"/>
        <v>-115895.63483244795</v>
      </c>
      <c r="IC9" s="119">
        <f t="shared" si="24"/>
        <v>11739.734469227204</v>
      </c>
      <c r="ID9" s="119">
        <f t="shared" si="24"/>
        <v>4728.2013141812149</v>
      </c>
      <c r="IE9" s="119">
        <f t="shared" si="24"/>
        <v>0</v>
      </c>
      <c r="IF9" s="119">
        <f t="shared" si="24"/>
        <v>0</v>
      </c>
      <c r="IG9" s="119">
        <f t="shared" si="24"/>
        <v>11048.007668625747</v>
      </c>
      <c r="IH9" s="98">
        <f t="shared" ref="IH9:IH47" si="46">SUM(HX9:IG9)</f>
        <v>-87832.265730193612</v>
      </c>
      <c r="II9" s="96">
        <f t="shared" ref="II9:II47" si="47">SUM(IH9,HU9:HV9)</f>
        <v>-50859.01598957197</v>
      </c>
    </row>
    <row r="10" spans="2:243" x14ac:dyDescent="0.2">
      <c r="B10" s="101" t="s">
        <v>273</v>
      </c>
      <c r="C10" s="89" t="s">
        <v>274</v>
      </c>
      <c r="D10" s="89" t="str">
        <f>_xlfn.IFNA(INDEX('4. WIP Report (Oct-25)'!D:D,MATCH('7. POC Lookback Summary'!$B10,'4. WIP Report (Oct-25)'!$B:$B,0)),INDEX('5. Completed Jobs'!D:D,MATCH('7. POC Lookback Summary'!$B10,'5. Completed Jobs'!$B:$B,0)))</f>
        <v>Property Management Services</v>
      </c>
      <c r="E10" s="89" t="str">
        <f>_xlfn.IFNA(INDEX('4. WIP Report (Oct-25)'!E:E,MATCH('7. POC Lookback Summary'!$B10,'4. WIP Report (Oct-25)'!$B:$B,0)),INDEX('5. Completed Jobs'!E:E,MATCH('7. POC Lookback Summary'!$B10,'5. Completed Jobs'!$B:$B,0)))</f>
        <v>Fire Alarm Installation</v>
      </c>
      <c r="F10" s="89" t="str">
        <f>_xlfn.IFNA(INDEX('4. WIP Report (Oct-25)'!F:F,MATCH('7. POC Lookback Summary'!$B10,'4. WIP Report (Oct-25)'!$B:$B,0)),INDEX('5. Completed Jobs'!F:F,MATCH('7. POC Lookback Summary'!$B10,'5. Completed Jobs'!$B:$B,0)))</f>
        <v>Higher Education</v>
      </c>
      <c r="G10" s="89" t="str">
        <f>_xlfn.IFNA(INDEX('4. WIP Report (Oct-25)'!G:G,MATCH('7. POC Lookback Summary'!$B10,'4. WIP Report (Oct-25)'!$B:$B,0)),INDEX('5. Completed Jobs'!G:G,MATCH('7. POC Lookback Summary'!$B10,'5. Completed Jobs'!$B:$B,0)))</f>
        <v>Property Management Company</v>
      </c>
      <c r="H10" s="89" t="str">
        <f>_xlfn.IFNA(INDEX('4. WIP Report (Oct-25)'!H:H,MATCH('7. POC Lookback Summary'!$B10,'4. WIP Report (Oct-25)'!$B:$B,0)),INDEX('5. Completed Jobs'!H:H,MATCH('7. POC Lookback Summary'!$B10,'5. Completed Jobs'!$B:$B,0)))</f>
        <v>Retrofit</v>
      </c>
      <c r="J10" s="95"/>
      <c r="K10" s="119">
        <v>191.38038773106089</v>
      </c>
      <c r="L10" s="119">
        <v>1152.6045726736297</v>
      </c>
      <c r="M10" s="119">
        <v>0</v>
      </c>
      <c r="N10" s="119">
        <v>50.239855010843989</v>
      </c>
      <c r="O10" s="119">
        <v>0</v>
      </c>
      <c r="P10" s="119">
        <v>14797.835972308794</v>
      </c>
      <c r="Q10" s="119">
        <v>0</v>
      </c>
      <c r="R10" s="119">
        <v>11657.890926707454</v>
      </c>
      <c r="S10" s="119">
        <v>3443.6788044868626</v>
      </c>
      <c r="T10" s="119">
        <v>0</v>
      </c>
      <c r="U10" s="119">
        <v>702.86566796851753</v>
      </c>
      <c r="V10" s="119">
        <v>582.71890292929766</v>
      </c>
      <c r="W10" s="98">
        <f t="shared" si="25"/>
        <v>32579.215089816462</v>
      </c>
      <c r="X10" s="119">
        <v>0</v>
      </c>
      <c r="Y10" s="119">
        <v>1.8440471611686635</v>
      </c>
      <c r="Z10" s="119">
        <v>1925.2186126792915</v>
      </c>
      <c r="AA10" s="119">
        <v>0</v>
      </c>
      <c r="AB10" s="119">
        <v>0</v>
      </c>
      <c r="AC10" s="119">
        <v>20741.575457471477</v>
      </c>
      <c r="AD10" s="119">
        <v>0</v>
      </c>
      <c r="AE10" s="119">
        <v>0</v>
      </c>
      <c r="AF10" s="119">
        <v>153.71509865633084</v>
      </c>
      <c r="AG10" s="119">
        <v>8354.5933414038573</v>
      </c>
      <c r="AH10" s="119">
        <v>0</v>
      </c>
      <c r="AI10" s="119">
        <v>10544.445237868054</v>
      </c>
      <c r="AJ10" s="98">
        <f t="shared" si="26"/>
        <v>41721.391795240183</v>
      </c>
      <c r="AK10" s="119">
        <v>0</v>
      </c>
      <c r="AL10" s="119">
        <v>295.26449251182953</v>
      </c>
      <c r="AM10" s="119">
        <v>0</v>
      </c>
      <c r="AN10" s="119">
        <v>7320.1579809314526</v>
      </c>
      <c r="AO10" s="119">
        <v>0</v>
      </c>
      <c r="AP10" s="119">
        <v>7257.2017102028658</v>
      </c>
      <c r="AQ10" s="119">
        <v>114.19741831563046</v>
      </c>
      <c r="AR10" s="119">
        <v>14052.432058061375</v>
      </c>
      <c r="AS10" s="119">
        <v>23999.481112653997</v>
      </c>
      <c r="AT10" s="119">
        <v>419.60834226628845</v>
      </c>
      <c r="AU10" s="98">
        <f t="shared" si="27"/>
        <v>53458.34311494344</v>
      </c>
      <c r="AV10" s="96">
        <f t="shared" si="28"/>
        <v>64002.788352811491</v>
      </c>
      <c r="AW10" s="95"/>
      <c r="AX10" s="119">
        <v>229.35999999999999</v>
      </c>
      <c r="AY10" s="119">
        <v>1381.3400000000001</v>
      </c>
      <c r="AZ10" s="119">
        <v>0</v>
      </c>
      <c r="BA10" s="119">
        <v>60.21</v>
      </c>
      <c r="BB10" s="119">
        <v>0</v>
      </c>
      <c r="BC10" s="119">
        <v>17734.48</v>
      </c>
      <c r="BD10" s="119">
        <v>0</v>
      </c>
      <c r="BE10" s="119">
        <v>13971.41</v>
      </c>
      <c r="BF10" s="119">
        <v>4127.08</v>
      </c>
      <c r="BG10" s="119">
        <v>0</v>
      </c>
      <c r="BH10" s="119">
        <v>842.35</v>
      </c>
      <c r="BI10" s="119">
        <v>698.36</v>
      </c>
      <c r="BJ10" s="98">
        <f t="shared" si="29"/>
        <v>39044.590000000004</v>
      </c>
      <c r="BK10" s="119">
        <v>0</v>
      </c>
      <c r="BL10" s="119">
        <v>2.21</v>
      </c>
      <c r="BM10" s="119">
        <v>2307.2800000000002</v>
      </c>
      <c r="BN10" s="119">
        <v>0</v>
      </c>
      <c r="BO10" s="119">
        <v>0</v>
      </c>
      <c r="BP10" s="119">
        <v>24857.760000000006</v>
      </c>
      <c r="BQ10" s="119">
        <v>0</v>
      </c>
      <c r="BR10" s="119">
        <v>0</v>
      </c>
      <c r="BS10" s="119">
        <v>184.22</v>
      </c>
      <c r="BT10" s="119">
        <v>10012.57</v>
      </c>
      <c r="BU10" s="119">
        <v>0</v>
      </c>
      <c r="BV10" s="119">
        <v>12637</v>
      </c>
      <c r="BW10" s="98">
        <f t="shared" si="30"/>
        <v>50001.040000000008</v>
      </c>
      <c r="BX10" s="119">
        <v>0</v>
      </c>
      <c r="BY10" s="119">
        <v>353.86</v>
      </c>
      <c r="BZ10" s="119">
        <v>0</v>
      </c>
      <c r="CA10" s="119">
        <v>8772.85</v>
      </c>
      <c r="CB10" s="119">
        <v>0</v>
      </c>
      <c r="CC10" s="119">
        <v>8697.4</v>
      </c>
      <c r="CD10" s="119">
        <v>136.86000000000001</v>
      </c>
      <c r="CE10" s="119">
        <v>16841.150000000001</v>
      </c>
      <c r="CF10" s="119">
        <v>28762.2</v>
      </c>
      <c r="CG10" s="119">
        <v>502.88</v>
      </c>
      <c r="CH10" s="98">
        <f t="shared" si="31"/>
        <v>64067.200000000004</v>
      </c>
      <c r="CI10" s="96">
        <f t="shared" si="32"/>
        <v>76704.200000000012</v>
      </c>
      <c r="CJ10" s="95"/>
      <c r="CK10" s="119">
        <f t="shared" si="33"/>
        <v>-37.979612268939093</v>
      </c>
      <c r="CL10" s="119">
        <f t="shared" si="18"/>
        <v>-228.73542732637043</v>
      </c>
      <c r="CM10" s="119">
        <f t="shared" si="18"/>
        <v>0</v>
      </c>
      <c r="CN10" s="119">
        <f t="shared" si="18"/>
        <v>-9.9701449891560117</v>
      </c>
      <c r="CO10" s="119">
        <f t="shared" si="18"/>
        <v>0</v>
      </c>
      <c r="CP10" s="119">
        <f t="shared" si="18"/>
        <v>-2936.6440276912053</v>
      </c>
      <c r="CQ10" s="119">
        <f t="shared" si="18"/>
        <v>0</v>
      </c>
      <c r="CR10" s="119">
        <f t="shared" si="18"/>
        <v>-2313.5190732925457</v>
      </c>
      <c r="CS10" s="119">
        <f t="shared" si="18"/>
        <v>-683.40119551313728</v>
      </c>
      <c r="CT10" s="119">
        <f t="shared" si="18"/>
        <v>0</v>
      </c>
      <c r="CU10" s="119">
        <f t="shared" si="18"/>
        <v>-139.4843320314825</v>
      </c>
      <c r="CV10" s="119">
        <f t="shared" si="18"/>
        <v>-115.64109707070236</v>
      </c>
      <c r="CW10" s="98">
        <f t="shared" si="34"/>
        <v>-6465.3749101835383</v>
      </c>
      <c r="CX10" s="119">
        <f t="shared" si="19"/>
        <v>0</v>
      </c>
      <c r="CY10" s="119">
        <f t="shared" si="19"/>
        <v>-0.36595283883133645</v>
      </c>
      <c r="CZ10" s="119">
        <f t="shared" si="19"/>
        <v>-382.06138732070872</v>
      </c>
      <c r="DA10" s="119">
        <f t="shared" si="19"/>
        <v>0</v>
      </c>
      <c r="DB10" s="119">
        <f t="shared" si="19"/>
        <v>0</v>
      </c>
      <c r="DC10" s="119">
        <f t="shared" si="19"/>
        <v>-4116.1845425285283</v>
      </c>
      <c r="DD10" s="119">
        <f t="shared" si="19"/>
        <v>0</v>
      </c>
      <c r="DE10" s="119">
        <f t="shared" si="19"/>
        <v>0</v>
      </c>
      <c r="DF10" s="119">
        <f t="shared" si="19"/>
        <v>-30.504901343669161</v>
      </c>
      <c r="DG10" s="119">
        <f t="shared" si="19"/>
        <v>-1657.9766585961424</v>
      </c>
      <c r="DH10" s="119">
        <f t="shared" si="19"/>
        <v>0</v>
      </c>
      <c r="DI10" s="119">
        <f t="shared" si="19"/>
        <v>-2092.5547621319456</v>
      </c>
      <c r="DJ10" s="98">
        <f t="shared" si="35"/>
        <v>-8279.6482047598256</v>
      </c>
      <c r="DK10" s="119">
        <f t="shared" si="20"/>
        <v>0</v>
      </c>
      <c r="DL10" s="119">
        <f t="shared" si="20"/>
        <v>-58.595507488170483</v>
      </c>
      <c r="DM10" s="119">
        <f t="shared" si="20"/>
        <v>0</v>
      </c>
      <c r="DN10" s="119">
        <f t="shared" si="20"/>
        <v>-1452.6920190685478</v>
      </c>
      <c r="DO10" s="119">
        <f t="shared" si="20"/>
        <v>0</v>
      </c>
      <c r="DP10" s="119">
        <f t="shared" si="20"/>
        <v>-1440.1982897971338</v>
      </c>
      <c r="DQ10" s="119">
        <f t="shared" si="20"/>
        <v>-22.662581684369556</v>
      </c>
      <c r="DR10" s="119">
        <f t="shared" si="20"/>
        <v>-2788.7179419386266</v>
      </c>
      <c r="DS10" s="119">
        <f t="shared" si="20"/>
        <v>-4762.7188873460036</v>
      </c>
      <c r="DT10" s="119">
        <f t="shared" si="20"/>
        <v>-83.27165773371155</v>
      </c>
      <c r="DU10" s="98">
        <f t="shared" si="36"/>
        <v>-10608.856885056564</v>
      </c>
      <c r="DV10" s="96">
        <f t="shared" si="37"/>
        <v>-12701.41164718851</v>
      </c>
      <c r="DW10" s="95"/>
      <c r="DX10" s="162">
        <f t="shared" si="38"/>
        <v>-0.1984509108755193</v>
      </c>
      <c r="DY10" s="162">
        <f t="shared" si="21"/>
        <v>-0.19845091087551925</v>
      </c>
      <c r="DZ10" s="162">
        <f t="shared" si="21"/>
        <v>0</v>
      </c>
      <c r="EA10" s="162">
        <f t="shared" si="21"/>
        <v>-0.19845091087551928</v>
      </c>
      <c r="EB10" s="162">
        <f t="shared" si="21"/>
        <v>0</v>
      </c>
      <c r="EC10" s="162">
        <f t="shared" si="21"/>
        <v>-0.19845091087551925</v>
      </c>
      <c r="ED10" s="162">
        <f t="shared" si="21"/>
        <v>0</v>
      </c>
      <c r="EE10" s="162">
        <f t="shared" si="21"/>
        <v>-0.19845091087551928</v>
      </c>
      <c r="EF10" s="162">
        <f t="shared" si="21"/>
        <v>-0.1984509108755193</v>
      </c>
      <c r="EG10" s="162">
        <f t="shared" si="21"/>
        <v>0</v>
      </c>
      <c r="EH10" s="162">
        <f t="shared" si="21"/>
        <v>-0.19845091087551914</v>
      </c>
      <c r="EI10" s="162">
        <f t="shared" si="21"/>
        <v>-0.19845091087551917</v>
      </c>
      <c r="EJ10" s="163">
        <f t="shared" si="21"/>
        <v>-0.19845091087551925</v>
      </c>
      <c r="EK10" s="162">
        <f t="shared" si="21"/>
        <v>0</v>
      </c>
      <c r="EL10" s="162">
        <f t="shared" si="21"/>
        <v>-0.19845091087551911</v>
      </c>
      <c r="EM10" s="162">
        <f t="shared" si="21"/>
        <v>-0.19845091087551917</v>
      </c>
      <c r="EN10" s="162">
        <f t="shared" si="21"/>
        <v>0</v>
      </c>
      <c r="EO10" s="162">
        <f t="shared" si="21"/>
        <v>0</v>
      </c>
      <c r="EP10" s="162">
        <f t="shared" si="21"/>
        <v>-0.19845091087551919</v>
      </c>
      <c r="EQ10" s="162">
        <f t="shared" si="21"/>
        <v>0</v>
      </c>
      <c r="ER10" s="162">
        <f t="shared" si="21"/>
        <v>0</v>
      </c>
      <c r="ES10" s="162">
        <f t="shared" si="21"/>
        <v>-0.19845091087551925</v>
      </c>
      <c r="ET10" s="162">
        <f t="shared" si="21"/>
        <v>-0.19845091087551914</v>
      </c>
      <c r="EU10" s="162">
        <f t="shared" si="21"/>
        <v>0</v>
      </c>
      <c r="EV10" s="162">
        <f t="shared" si="21"/>
        <v>-0.19845091087551917</v>
      </c>
      <c r="EW10" s="163">
        <f t="shared" si="21"/>
        <v>-0.19845091087551917</v>
      </c>
      <c r="EX10" s="162">
        <f t="shared" si="21"/>
        <v>0</v>
      </c>
      <c r="EY10" s="162">
        <f t="shared" si="21"/>
        <v>-0.19845091087551919</v>
      </c>
      <c r="EZ10" s="162">
        <f t="shared" si="21"/>
        <v>0</v>
      </c>
      <c r="FA10" s="162">
        <f t="shared" si="21"/>
        <v>-0.19845091087551914</v>
      </c>
      <c r="FB10" s="162">
        <f t="shared" si="21"/>
        <v>0</v>
      </c>
      <c r="FC10" s="162">
        <f t="shared" si="21"/>
        <v>-0.19845091087551911</v>
      </c>
      <c r="FD10" s="162">
        <f t="shared" si="21"/>
        <v>-0.19845091087551914</v>
      </c>
      <c r="FE10" s="162">
        <f t="shared" si="21"/>
        <v>-0.19845091087551919</v>
      </c>
      <c r="FF10" s="162">
        <f t="shared" si="21"/>
        <v>-0.19845091087551917</v>
      </c>
      <c r="FG10" s="162">
        <f t="shared" si="21"/>
        <v>-0.19845091087551917</v>
      </c>
      <c r="FH10" s="163">
        <f t="shared" si="21"/>
        <v>-0.19845091087551917</v>
      </c>
      <c r="FI10" s="164">
        <f t="shared" si="21"/>
        <v>-0.19845091087551917</v>
      </c>
      <c r="FJ10" s="95"/>
      <c r="FK10" s="119">
        <v>0</v>
      </c>
      <c r="FL10" s="119">
        <v>0</v>
      </c>
      <c r="FM10" s="119">
        <v>0</v>
      </c>
      <c r="FN10" s="119">
        <v>0</v>
      </c>
      <c r="FO10" s="119">
        <v>0</v>
      </c>
      <c r="FP10" s="119">
        <v>0</v>
      </c>
      <c r="FQ10" s="119">
        <v>0</v>
      </c>
      <c r="FR10" s="119">
        <v>0</v>
      </c>
      <c r="FS10" s="119">
        <v>0</v>
      </c>
      <c r="FT10" s="119">
        <v>0</v>
      </c>
      <c r="FU10" s="119">
        <v>0</v>
      </c>
      <c r="FV10" s="119">
        <v>27750.83</v>
      </c>
      <c r="FW10" s="98">
        <f t="shared" si="39"/>
        <v>27750.83</v>
      </c>
      <c r="FX10" s="119">
        <v>0</v>
      </c>
      <c r="FY10" s="119">
        <v>0</v>
      </c>
      <c r="FZ10" s="119">
        <v>0</v>
      </c>
      <c r="GA10" s="119">
        <v>9110.27</v>
      </c>
      <c r="GB10" s="119">
        <v>0</v>
      </c>
      <c r="GC10" s="119">
        <v>0</v>
      </c>
      <c r="GD10" s="119">
        <v>0</v>
      </c>
      <c r="GE10" s="119">
        <v>0</v>
      </c>
      <c r="GF10" s="119">
        <v>0</v>
      </c>
      <c r="GG10" s="119">
        <v>0</v>
      </c>
      <c r="GH10" s="119">
        <v>0</v>
      </c>
      <c r="GI10" s="119">
        <v>0</v>
      </c>
      <c r="GJ10" s="98">
        <f t="shared" si="40"/>
        <v>9110.27</v>
      </c>
      <c r="GK10" s="119">
        <v>0</v>
      </c>
      <c r="GL10" s="119">
        <v>0</v>
      </c>
      <c r="GM10" s="119">
        <v>90897.85</v>
      </c>
      <c r="GN10" s="119">
        <v>0</v>
      </c>
      <c r="GO10" s="119">
        <v>0</v>
      </c>
      <c r="GP10" s="119">
        <v>0</v>
      </c>
      <c r="GQ10" s="119">
        <v>0</v>
      </c>
      <c r="GR10" s="119">
        <v>0</v>
      </c>
      <c r="GS10" s="119">
        <v>0</v>
      </c>
      <c r="GT10" s="119">
        <v>0</v>
      </c>
      <c r="GU10" s="98">
        <f t="shared" si="41"/>
        <v>90897.85</v>
      </c>
      <c r="GV10" s="96">
        <f t="shared" si="42"/>
        <v>90897.85</v>
      </c>
      <c r="GW10" s="95"/>
      <c r="GX10" s="119">
        <f t="shared" si="43"/>
        <v>191.38038773106089</v>
      </c>
      <c r="GY10" s="119">
        <f t="shared" si="22"/>
        <v>1152.6045726736297</v>
      </c>
      <c r="GZ10" s="119">
        <f t="shared" si="22"/>
        <v>0</v>
      </c>
      <c r="HA10" s="119">
        <f t="shared" si="22"/>
        <v>50.239855010843989</v>
      </c>
      <c r="HB10" s="119">
        <f t="shared" si="22"/>
        <v>0</v>
      </c>
      <c r="HC10" s="119">
        <f t="shared" si="22"/>
        <v>14797.835972308794</v>
      </c>
      <c r="HD10" s="119">
        <f t="shared" si="22"/>
        <v>0</v>
      </c>
      <c r="HE10" s="119">
        <f t="shared" si="22"/>
        <v>11657.890926707454</v>
      </c>
      <c r="HF10" s="119">
        <f t="shared" si="22"/>
        <v>3443.6788044868626</v>
      </c>
      <c r="HG10" s="119">
        <f t="shared" si="22"/>
        <v>0</v>
      </c>
      <c r="HH10" s="119">
        <f t="shared" si="22"/>
        <v>702.86566796851753</v>
      </c>
      <c r="HI10" s="119">
        <f t="shared" si="22"/>
        <v>-27168.111097070705</v>
      </c>
      <c r="HJ10" s="98">
        <f t="shared" si="44"/>
        <v>4828.3850898164601</v>
      </c>
      <c r="HK10" s="119">
        <f t="shared" si="23"/>
        <v>0</v>
      </c>
      <c r="HL10" s="119">
        <f t="shared" si="23"/>
        <v>1.8440471611686635</v>
      </c>
      <c r="HM10" s="119">
        <f t="shared" si="23"/>
        <v>1925.2186126792915</v>
      </c>
      <c r="HN10" s="119">
        <f t="shared" si="23"/>
        <v>-9110.27</v>
      </c>
      <c r="HO10" s="119">
        <f t="shared" si="23"/>
        <v>0</v>
      </c>
      <c r="HP10" s="119">
        <f t="shared" si="23"/>
        <v>20741.575457471477</v>
      </c>
      <c r="HQ10" s="119">
        <f t="shared" si="23"/>
        <v>0</v>
      </c>
      <c r="HR10" s="119">
        <f t="shared" si="23"/>
        <v>0</v>
      </c>
      <c r="HS10" s="119">
        <f t="shared" si="23"/>
        <v>153.71509865633084</v>
      </c>
      <c r="HT10" s="119">
        <f t="shared" si="23"/>
        <v>8354.5933414038573</v>
      </c>
      <c r="HU10" s="119">
        <f t="shared" si="23"/>
        <v>0</v>
      </c>
      <c r="HV10" s="119">
        <f t="shared" si="23"/>
        <v>10544.445237868054</v>
      </c>
      <c r="HW10" s="98">
        <f t="shared" si="45"/>
        <v>32611.121795240178</v>
      </c>
      <c r="HX10" s="119">
        <f t="shared" si="24"/>
        <v>0</v>
      </c>
      <c r="HY10" s="119">
        <f t="shared" si="24"/>
        <v>295.26449251182953</v>
      </c>
      <c r="HZ10" s="119">
        <f t="shared" si="24"/>
        <v>-90897.85</v>
      </c>
      <c r="IA10" s="119">
        <f t="shared" si="24"/>
        <v>7320.1579809314526</v>
      </c>
      <c r="IB10" s="119">
        <f t="shared" si="24"/>
        <v>0</v>
      </c>
      <c r="IC10" s="119">
        <f t="shared" si="24"/>
        <v>7257.2017102028658</v>
      </c>
      <c r="ID10" s="119">
        <f t="shared" si="24"/>
        <v>114.19741831563046</v>
      </c>
      <c r="IE10" s="119">
        <f t="shared" si="24"/>
        <v>14052.432058061375</v>
      </c>
      <c r="IF10" s="119">
        <f t="shared" si="24"/>
        <v>23999.481112653997</v>
      </c>
      <c r="IG10" s="119">
        <f t="shared" si="24"/>
        <v>419.60834226628845</v>
      </c>
      <c r="IH10" s="98">
        <f t="shared" si="46"/>
        <v>-37439.506885056566</v>
      </c>
      <c r="II10" s="96">
        <f t="shared" si="47"/>
        <v>-26895.061647188511</v>
      </c>
    </row>
    <row r="11" spans="2:243" x14ac:dyDescent="0.2">
      <c r="B11" s="101" t="s">
        <v>275</v>
      </c>
      <c r="C11" s="89" t="s">
        <v>276</v>
      </c>
      <c r="D11" s="89" t="str">
        <f>_xlfn.IFNA(INDEX('4. WIP Report (Oct-25)'!D:D,MATCH('7. POC Lookback Summary'!$B11,'4. WIP Report (Oct-25)'!$B:$B,0)),INDEX('5. Completed Jobs'!D:D,MATCH('7. POC Lookback Summary'!$B11,'5. Completed Jobs'!$B:$B,0)))</f>
        <v>Industrial Real Estate Trust</v>
      </c>
      <c r="E11" s="89" t="str">
        <f>_xlfn.IFNA(INDEX('4. WIP Report (Oct-25)'!E:E,MATCH('7. POC Lookback Summary'!$B11,'4. WIP Report (Oct-25)'!$B:$B,0)),INDEX('5. Completed Jobs'!E:E,MATCH('7. POC Lookback Summary'!$B11,'5. Completed Jobs'!$B:$B,0)))</f>
        <v>Fire Alarm Installation</v>
      </c>
      <c r="F11" s="89" t="str">
        <f>_xlfn.IFNA(INDEX('4. WIP Report (Oct-25)'!F:F,MATCH('7. POC Lookback Summary'!$B11,'4. WIP Report (Oct-25)'!$B:$B,0)),INDEX('5. Completed Jobs'!F:F,MATCH('7. POC Lookback Summary'!$B11,'5. Completed Jobs'!$B:$B,0)))</f>
        <v>Infrastructure</v>
      </c>
      <c r="G11" s="89" t="str">
        <f>_xlfn.IFNA(INDEX('4. WIP Report (Oct-25)'!G:G,MATCH('7. POC Lookback Summary'!$B11,'4. WIP Report (Oct-25)'!$B:$B,0)),INDEX('5. Completed Jobs'!G:G,MATCH('7. POC Lookback Summary'!$B11,'5. Completed Jobs'!$B:$B,0)))</f>
        <v>Direct</v>
      </c>
      <c r="H11" s="89" t="str">
        <f>_xlfn.IFNA(INDEX('4. WIP Report (Oct-25)'!H:H,MATCH('7. POC Lookback Summary'!$B11,'4. WIP Report (Oct-25)'!$B:$B,0)),INDEX('5. Completed Jobs'!H:H,MATCH('7. POC Lookback Summary'!$B11,'5. Completed Jobs'!$B:$B,0)))</f>
        <v>New Construction</v>
      </c>
      <c r="J11" s="95"/>
      <c r="K11" s="119">
        <v>0</v>
      </c>
      <c r="L11" s="119">
        <v>0</v>
      </c>
      <c r="M11" s="119">
        <v>47220.783116439932</v>
      </c>
      <c r="N11" s="119">
        <v>0</v>
      </c>
      <c r="O11" s="119">
        <v>17028.822255524407</v>
      </c>
      <c r="P11" s="119">
        <v>311.92357226279319</v>
      </c>
      <c r="Q11" s="119">
        <v>9789.5207157196692</v>
      </c>
      <c r="R11" s="119">
        <v>679.76206530085187</v>
      </c>
      <c r="S11" s="119">
        <v>0</v>
      </c>
      <c r="T11" s="119">
        <v>417.68120522234511</v>
      </c>
      <c r="U11" s="119">
        <v>11664.495838678233</v>
      </c>
      <c r="V11" s="119">
        <v>2983.9845050836252</v>
      </c>
      <c r="W11" s="98">
        <f t="shared" si="25"/>
        <v>90096.973274231859</v>
      </c>
      <c r="X11" s="119">
        <v>212.05742740044121</v>
      </c>
      <c r="Y11" s="119">
        <v>5575.9139709627862</v>
      </c>
      <c r="Z11" s="119">
        <v>0</v>
      </c>
      <c r="AA11" s="119">
        <v>0</v>
      </c>
      <c r="AB11" s="119">
        <v>0</v>
      </c>
      <c r="AC11" s="119">
        <v>5011.5600129892928</v>
      </c>
      <c r="AD11" s="119">
        <v>1996.4554388769</v>
      </c>
      <c r="AE11" s="119">
        <v>70724.061637996987</v>
      </c>
      <c r="AF11" s="119">
        <v>0</v>
      </c>
      <c r="AG11" s="119">
        <v>0</v>
      </c>
      <c r="AH11" s="119">
        <v>50.601738258158811</v>
      </c>
      <c r="AI11" s="119">
        <v>0</v>
      </c>
      <c r="AJ11" s="98">
        <f t="shared" si="26"/>
        <v>83570.650226484562</v>
      </c>
      <c r="AK11" s="119">
        <v>476.95752718190266</v>
      </c>
      <c r="AL11" s="119">
        <v>0</v>
      </c>
      <c r="AM11" s="119">
        <v>3953.1162250236339</v>
      </c>
      <c r="AN11" s="119">
        <v>4595.0354189271329</v>
      </c>
      <c r="AO11" s="119">
        <v>248.34610255129229</v>
      </c>
      <c r="AP11" s="119">
        <v>0</v>
      </c>
      <c r="AQ11" s="119">
        <v>0</v>
      </c>
      <c r="AR11" s="119">
        <v>12069.454321138526</v>
      </c>
      <c r="AS11" s="119">
        <v>26512.816904461062</v>
      </c>
      <c r="AT11" s="119">
        <v>0</v>
      </c>
      <c r="AU11" s="98">
        <f t="shared" si="27"/>
        <v>47855.726499283548</v>
      </c>
      <c r="AV11" s="96">
        <f t="shared" si="28"/>
        <v>47906.328237541704</v>
      </c>
      <c r="AW11" s="95"/>
      <c r="AX11" s="119">
        <v>0</v>
      </c>
      <c r="AY11" s="119">
        <v>0</v>
      </c>
      <c r="AZ11" s="119">
        <v>13064.590000000002</v>
      </c>
      <c r="BA11" s="119">
        <v>0</v>
      </c>
      <c r="BB11" s="119">
        <v>4711.3700000000008</v>
      </c>
      <c r="BC11" s="119">
        <v>86.3</v>
      </c>
      <c r="BD11" s="119">
        <v>2708.47</v>
      </c>
      <c r="BE11" s="119">
        <v>188.07</v>
      </c>
      <c r="BF11" s="119">
        <v>0</v>
      </c>
      <c r="BG11" s="119">
        <v>115.56</v>
      </c>
      <c r="BH11" s="119">
        <v>3227.22</v>
      </c>
      <c r="BI11" s="119">
        <v>825.58</v>
      </c>
      <c r="BJ11" s="98">
        <f t="shared" si="29"/>
        <v>24927.160000000007</v>
      </c>
      <c r="BK11" s="119">
        <v>58.67</v>
      </c>
      <c r="BL11" s="119">
        <v>1542.69</v>
      </c>
      <c r="BM11" s="119">
        <v>0</v>
      </c>
      <c r="BN11" s="119">
        <v>0</v>
      </c>
      <c r="BO11" s="119">
        <v>0</v>
      </c>
      <c r="BP11" s="119">
        <v>1386.55</v>
      </c>
      <c r="BQ11" s="119">
        <v>552.36</v>
      </c>
      <c r="BR11" s="119">
        <v>19567.25</v>
      </c>
      <c r="BS11" s="119">
        <v>0</v>
      </c>
      <c r="BT11" s="119">
        <v>0</v>
      </c>
      <c r="BU11" s="119">
        <v>14</v>
      </c>
      <c r="BV11" s="119">
        <v>0</v>
      </c>
      <c r="BW11" s="98">
        <f t="shared" si="30"/>
        <v>23121.52</v>
      </c>
      <c r="BX11" s="119">
        <v>131.96</v>
      </c>
      <c r="BY11" s="119">
        <v>0</v>
      </c>
      <c r="BZ11" s="119">
        <v>1093.71</v>
      </c>
      <c r="CA11" s="119">
        <v>1271.31</v>
      </c>
      <c r="CB11" s="119">
        <v>68.710000000000008</v>
      </c>
      <c r="CC11" s="119">
        <v>0</v>
      </c>
      <c r="CD11" s="119">
        <v>0</v>
      </c>
      <c r="CE11" s="119">
        <v>3339.2599999999998</v>
      </c>
      <c r="CF11" s="119">
        <v>7335.31</v>
      </c>
      <c r="CG11" s="119">
        <v>0</v>
      </c>
      <c r="CH11" s="98">
        <f t="shared" si="31"/>
        <v>13240.26</v>
      </c>
      <c r="CI11" s="96">
        <f t="shared" si="32"/>
        <v>13254.26</v>
      </c>
      <c r="CJ11" s="95"/>
      <c r="CK11" s="119">
        <f t="shared" si="33"/>
        <v>0</v>
      </c>
      <c r="CL11" s="119">
        <f t="shared" si="18"/>
        <v>0</v>
      </c>
      <c r="CM11" s="119">
        <f t="shared" si="18"/>
        <v>34156.193116439928</v>
      </c>
      <c r="CN11" s="119">
        <f t="shared" si="18"/>
        <v>0</v>
      </c>
      <c r="CO11" s="119">
        <f t="shared" si="18"/>
        <v>12317.452255524406</v>
      </c>
      <c r="CP11" s="119">
        <f t="shared" si="18"/>
        <v>225.62357226279318</v>
      </c>
      <c r="CQ11" s="119">
        <f t="shared" si="18"/>
        <v>7081.0507157196698</v>
      </c>
      <c r="CR11" s="119">
        <f t="shared" si="18"/>
        <v>491.69206530085188</v>
      </c>
      <c r="CS11" s="119">
        <f t="shared" si="18"/>
        <v>0</v>
      </c>
      <c r="CT11" s="119">
        <f t="shared" si="18"/>
        <v>302.12120522234511</v>
      </c>
      <c r="CU11" s="119">
        <f t="shared" si="18"/>
        <v>8437.2758386782334</v>
      </c>
      <c r="CV11" s="119">
        <f t="shared" si="18"/>
        <v>2158.4045050836253</v>
      </c>
      <c r="CW11" s="98">
        <f t="shared" si="34"/>
        <v>65169.813274231841</v>
      </c>
      <c r="CX11" s="119">
        <f t="shared" si="19"/>
        <v>153.3874274004412</v>
      </c>
      <c r="CY11" s="119">
        <f t="shared" si="19"/>
        <v>4033.2239709627861</v>
      </c>
      <c r="CZ11" s="119">
        <f t="shared" si="19"/>
        <v>0</v>
      </c>
      <c r="DA11" s="119">
        <f t="shared" si="19"/>
        <v>0</v>
      </c>
      <c r="DB11" s="119">
        <f t="shared" si="19"/>
        <v>0</v>
      </c>
      <c r="DC11" s="119">
        <f t="shared" si="19"/>
        <v>3625.0100129892926</v>
      </c>
      <c r="DD11" s="119">
        <f t="shared" si="19"/>
        <v>1444.0954388769001</v>
      </c>
      <c r="DE11" s="119">
        <f t="shared" si="19"/>
        <v>51156.811637996987</v>
      </c>
      <c r="DF11" s="119">
        <f t="shared" si="19"/>
        <v>0</v>
      </c>
      <c r="DG11" s="119">
        <f t="shared" si="19"/>
        <v>0</v>
      </c>
      <c r="DH11" s="119">
        <f t="shared" si="19"/>
        <v>36.601738258158811</v>
      </c>
      <c r="DI11" s="119">
        <f t="shared" si="19"/>
        <v>0</v>
      </c>
      <c r="DJ11" s="98">
        <f t="shared" si="35"/>
        <v>60449.130226484565</v>
      </c>
      <c r="DK11" s="119">
        <f t="shared" si="20"/>
        <v>344.99752718190268</v>
      </c>
      <c r="DL11" s="119">
        <f t="shared" si="20"/>
        <v>0</v>
      </c>
      <c r="DM11" s="119">
        <f t="shared" si="20"/>
        <v>2859.4062250236339</v>
      </c>
      <c r="DN11" s="119">
        <f t="shared" si="20"/>
        <v>3323.725418927133</v>
      </c>
      <c r="DO11" s="119">
        <f t="shared" si="20"/>
        <v>179.63610255129228</v>
      </c>
      <c r="DP11" s="119">
        <f t="shared" si="20"/>
        <v>0</v>
      </c>
      <c r="DQ11" s="119">
        <f t="shared" si="20"/>
        <v>0</v>
      </c>
      <c r="DR11" s="119">
        <f t="shared" si="20"/>
        <v>8730.194321138526</v>
      </c>
      <c r="DS11" s="119">
        <f t="shared" si="20"/>
        <v>19177.506904461061</v>
      </c>
      <c r="DT11" s="119">
        <f t="shared" si="20"/>
        <v>0</v>
      </c>
      <c r="DU11" s="98">
        <f t="shared" si="36"/>
        <v>34615.466499283546</v>
      </c>
      <c r="DV11" s="96">
        <f t="shared" si="37"/>
        <v>34652.068237541702</v>
      </c>
      <c r="DW11" s="95"/>
      <c r="DX11" s="162">
        <f t="shared" si="38"/>
        <v>0</v>
      </c>
      <c r="DY11" s="162">
        <f t="shared" si="21"/>
        <v>0</v>
      </c>
      <c r="DZ11" s="162">
        <f t="shared" si="21"/>
        <v>0.72332966253896025</v>
      </c>
      <c r="EA11" s="162">
        <f t="shared" si="21"/>
        <v>0</v>
      </c>
      <c r="EB11" s="162">
        <f t="shared" si="21"/>
        <v>0.72332966253896025</v>
      </c>
      <c r="EC11" s="162">
        <f t="shared" si="21"/>
        <v>0.72332966253896025</v>
      </c>
      <c r="ED11" s="162">
        <f t="shared" si="21"/>
        <v>0.72332966253896036</v>
      </c>
      <c r="EE11" s="162">
        <f t="shared" si="21"/>
        <v>0.72332966253896025</v>
      </c>
      <c r="EF11" s="162">
        <f t="shared" si="21"/>
        <v>0</v>
      </c>
      <c r="EG11" s="162">
        <f t="shared" si="21"/>
        <v>0.72332966253896025</v>
      </c>
      <c r="EH11" s="162">
        <f t="shared" si="21"/>
        <v>0.72332966253896036</v>
      </c>
      <c r="EI11" s="162">
        <f t="shared" si="21"/>
        <v>0.72332966253896036</v>
      </c>
      <c r="EJ11" s="163">
        <f t="shared" si="21"/>
        <v>0.72332966253896014</v>
      </c>
      <c r="EK11" s="162">
        <f t="shared" si="21"/>
        <v>0.72332966253896025</v>
      </c>
      <c r="EL11" s="162">
        <f t="shared" si="21"/>
        <v>0.72332966253896025</v>
      </c>
      <c r="EM11" s="162">
        <f t="shared" si="21"/>
        <v>0</v>
      </c>
      <c r="EN11" s="162">
        <f t="shared" si="21"/>
        <v>0</v>
      </c>
      <c r="EO11" s="162">
        <f t="shared" si="21"/>
        <v>0</v>
      </c>
      <c r="EP11" s="162">
        <f t="shared" si="21"/>
        <v>0.72332966253896025</v>
      </c>
      <c r="EQ11" s="162">
        <f t="shared" si="21"/>
        <v>0.72332966253896036</v>
      </c>
      <c r="ER11" s="162">
        <f t="shared" si="21"/>
        <v>0.72332966253896025</v>
      </c>
      <c r="ES11" s="162">
        <f t="shared" si="21"/>
        <v>0</v>
      </c>
      <c r="ET11" s="162">
        <f t="shared" si="21"/>
        <v>0</v>
      </c>
      <c r="EU11" s="162">
        <f t="shared" si="21"/>
        <v>0.72332966253896036</v>
      </c>
      <c r="EV11" s="162">
        <f t="shared" si="21"/>
        <v>0</v>
      </c>
      <c r="EW11" s="163">
        <f t="shared" si="21"/>
        <v>0.72332966253896036</v>
      </c>
      <c r="EX11" s="162">
        <f t="shared" si="21"/>
        <v>0.72332966253896036</v>
      </c>
      <c r="EY11" s="162">
        <f t="shared" si="21"/>
        <v>0</v>
      </c>
      <c r="EZ11" s="162">
        <f t="shared" si="21"/>
        <v>0.72332966253896036</v>
      </c>
      <c r="FA11" s="162">
        <f t="shared" si="21"/>
        <v>0.72332966253896025</v>
      </c>
      <c r="FB11" s="162">
        <f t="shared" si="21"/>
        <v>0.72332966253896036</v>
      </c>
      <c r="FC11" s="162">
        <f t="shared" si="21"/>
        <v>0</v>
      </c>
      <c r="FD11" s="162">
        <f t="shared" si="21"/>
        <v>0</v>
      </c>
      <c r="FE11" s="162">
        <f t="shared" si="21"/>
        <v>0.72332966253896025</v>
      </c>
      <c r="FF11" s="162">
        <f t="shared" si="21"/>
        <v>0.72332966253896025</v>
      </c>
      <c r="FG11" s="162">
        <f t="shared" si="21"/>
        <v>0</v>
      </c>
      <c r="FH11" s="163">
        <f t="shared" si="21"/>
        <v>0.72332966253896025</v>
      </c>
      <c r="FI11" s="164">
        <f t="shared" si="21"/>
        <v>0.72332966253896025</v>
      </c>
      <c r="FJ11" s="95"/>
      <c r="FK11" s="119">
        <v>0</v>
      </c>
      <c r="FL11" s="119">
        <v>0</v>
      </c>
      <c r="FM11" s="119">
        <v>0</v>
      </c>
      <c r="FN11" s="119">
        <v>0</v>
      </c>
      <c r="FO11" s="119">
        <v>0</v>
      </c>
      <c r="FP11" s="119">
        <v>0</v>
      </c>
      <c r="FQ11" s="119">
        <v>0</v>
      </c>
      <c r="FR11" s="119">
        <v>0</v>
      </c>
      <c r="FS11" s="119">
        <v>0</v>
      </c>
      <c r="FT11" s="119">
        <v>0</v>
      </c>
      <c r="FU11" s="119">
        <v>0</v>
      </c>
      <c r="FV11" s="119">
        <v>0</v>
      </c>
      <c r="FW11" s="98">
        <f t="shared" si="39"/>
        <v>0</v>
      </c>
      <c r="FX11" s="119">
        <v>0</v>
      </c>
      <c r="FY11" s="119">
        <v>86647.64</v>
      </c>
      <c r="FZ11" s="119">
        <v>0</v>
      </c>
      <c r="GA11" s="119">
        <v>0</v>
      </c>
      <c r="GB11" s="119">
        <v>0</v>
      </c>
      <c r="GC11" s="119">
        <v>0</v>
      </c>
      <c r="GD11" s="119">
        <v>0</v>
      </c>
      <c r="GE11" s="119">
        <v>0</v>
      </c>
      <c r="GF11" s="119">
        <v>0</v>
      </c>
      <c r="GG11" s="119">
        <v>0</v>
      </c>
      <c r="GH11" s="119">
        <v>35595.96</v>
      </c>
      <c r="GI11" s="119">
        <v>38720.559999999998</v>
      </c>
      <c r="GJ11" s="98">
        <f t="shared" si="40"/>
        <v>160964.16</v>
      </c>
      <c r="GK11" s="119">
        <v>0</v>
      </c>
      <c r="GL11" s="119">
        <v>0</v>
      </c>
      <c r="GM11" s="119">
        <v>0</v>
      </c>
      <c r="GN11" s="119">
        <v>0</v>
      </c>
      <c r="GO11" s="119">
        <v>0</v>
      </c>
      <c r="GP11" s="119">
        <v>60559.19</v>
      </c>
      <c r="GQ11" s="119">
        <v>0</v>
      </c>
      <c r="GR11" s="119">
        <v>0</v>
      </c>
      <c r="GS11" s="119">
        <v>0</v>
      </c>
      <c r="GT11" s="119">
        <v>0</v>
      </c>
      <c r="GU11" s="98">
        <f t="shared" si="41"/>
        <v>60559.19</v>
      </c>
      <c r="GV11" s="96">
        <f t="shared" si="42"/>
        <v>134875.71</v>
      </c>
      <c r="GW11" s="95"/>
      <c r="GX11" s="119">
        <f t="shared" si="43"/>
        <v>0</v>
      </c>
      <c r="GY11" s="119">
        <f t="shared" si="22"/>
        <v>0</v>
      </c>
      <c r="GZ11" s="119">
        <f t="shared" si="22"/>
        <v>47220.783116439932</v>
      </c>
      <c r="HA11" s="119">
        <f t="shared" si="22"/>
        <v>0</v>
      </c>
      <c r="HB11" s="119">
        <f t="shared" si="22"/>
        <v>17028.822255524407</v>
      </c>
      <c r="HC11" s="119">
        <f t="shared" si="22"/>
        <v>311.92357226279319</v>
      </c>
      <c r="HD11" s="119">
        <f t="shared" si="22"/>
        <v>9789.5207157196692</v>
      </c>
      <c r="HE11" s="119">
        <f t="shared" si="22"/>
        <v>679.76206530085187</v>
      </c>
      <c r="HF11" s="119">
        <f t="shared" si="22"/>
        <v>0</v>
      </c>
      <c r="HG11" s="119">
        <f t="shared" si="22"/>
        <v>417.68120522234511</v>
      </c>
      <c r="HH11" s="119">
        <f t="shared" si="22"/>
        <v>11664.495838678233</v>
      </c>
      <c r="HI11" s="119">
        <f t="shared" si="22"/>
        <v>2983.9845050836252</v>
      </c>
      <c r="HJ11" s="98">
        <f t="shared" si="44"/>
        <v>90096.973274231859</v>
      </c>
      <c r="HK11" s="119">
        <f t="shared" si="23"/>
        <v>212.05742740044121</v>
      </c>
      <c r="HL11" s="119">
        <f t="shared" si="23"/>
        <v>-81071.726029037207</v>
      </c>
      <c r="HM11" s="119">
        <f t="shared" si="23"/>
        <v>0</v>
      </c>
      <c r="HN11" s="119">
        <f t="shared" si="23"/>
        <v>0</v>
      </c>
      <c r="HO11" s="119">
        <f t="shared" si="23"/>
        <v>0</v>
      </c>
      <c r="HP11" s="119">
        <f t="shared" si="23"/>
        <v>5011.5600129892928</v>
      </c>
      <c r="HQ11" s="119">
        <f t="shared" si="23"/>
        <v>1996.4554388769</v>
      </c>
      <c r="HR11" s="119">
        <f t="shared" si="23"/>
        <v>70724.061637996987</v>
      </c>
      <c r="HS11" s="119">
        <f t="shared" si="23"/>
        <v>0</v>
      </c>
      <c r="HT11" s="119">
        <f t="shared" si="23"/>
        <v>0</v>
      </c>
      <c r="HU11" s="119">
        <f t="shared" si="23"/>
        <v>-35545.358261741843</v>
      </c>
      <c r="HV11" s="119">
        <f t="shared" si="23"/>
        <v>-38720.559999999998</v>
      </c>
      <c r="HW11" s="98">
        <f t="shared" si="45"/>
        <v>-77393.509773515412</v>
      </c>
      <c r="HX11" s="119">
        <f t="shared" si="24"/>
        <v>476.95752718190266</v>
      </c>
      <c r="HY11" s="119">
        <f t="shared" si="24"/>
        <v>0</v>
      </c>
      <c r="HZ11" s="119">
        <f t="shared" si="24"/>
        <v>3953.1162250236339</v>
      </c>
      <c r="IA11" s="119">
        <f t="shared" si="24"/>
        <v>4595.0354189271329</v>
      </c>
      <c r="IB11" s="119">
        <f t="shared" si="24"/>
        <v>248.34610255129229</v>
      </c>
      <c r="IC11" s="119">
        <f t="shared" si="24"/>
        <v>-60559.19</v>
      </c>
      <c r="ID11" s="119">
        <f t="shared" si="24"/>
        <v>0</v>
      </c>
      <c r="IE11" s="119">
        <f t="shared" si="24"/>
        <v>12069.454321138526</v>
      </c>
      <c r="IF11" s="119">
        <f t="shared" si="24"/>
        <v>26512.816904461062</v>
      </c>
      <c r="IG11" s="119">
        <f t="shared" si="24"/>
        <v>0</v>
      </c>
      <c r="IH11" s="98">
        <f t="shared" si="46"/>
        <v>-12703.463500716454</v>
      </c>
      <c r="II11" s="96">
        <f t="shared" si="47"/>
        <v>-86969.381762458303</v>
      </c>
    </row>
    <row r="12" spans="2:243" x14ac:dyDescent="0.2">
      <c r="B12" s="101" t="s">
        <v>277</v>
      </c>
      <c r="C12" s="89" t="s">
        <v>278</v>
      </c>
      <c r="D12" s="89" t="str">
        <f>_xlfn.IFNA(INDEX('4. WIP Report (Oct-25)'!D:D,MATCH('7. POC Lookback Summary'!$B12,'4. WIP Report (Oct-25)'!$B:$B,0)),INDEX('5. Completed Jobs'!D:D,MATCH('7. POC Lookback Summary'!$B12,'5. Completed Jobs'!$B:$B,0)))</f>
        <v>City Government</v>
      </c>
      <c r="E12" s="89" t="str">
        <f>_xlfn.IFNA(INDEX('4. WIP Report (Oct-25)'!E:E,MATCH('7. POC Lookback Summary'!$B12,'4. WIP Report (Oct-25)'!$B:$B,0)),INDEX('5. Completed Jobs'!E:E,MATCH('7. POC Lookback Summary'!$B12,'5. Completed Jobs'!$B:$B,0)))</f>
        <v>Fire Alarm Installation</v>
      </c>
      <c r="F12" s="89" t="str">
        <f>_xlfn.IFNA(INDEX('4. WIP Report (Oct-25)'!F:F,MATCH('7. POC Lookback Summary'!$B12,'4. WIP Report (Oct-25)'!$B:$B,0)),INDEX('5. Completed Jobs'!F:F,MATCH('7. POC Lookback Summary'!$B12,'5. Completed Jobs'!$B:$B,0)))</f>
        <v>Data Center</v>
      </c>
      <c r="G12" s="89" t="str">
        <f>_xlfn.IFNA(INDEX('4. WIP Report (Oct-25)'!G:G,MATCH('7. POC Lookback Summary'!$B12,'4. WIP Report (Oct-25)'!$B:$B,0)),INDEX('5. Completed Jobs'!G:G,MATCH('7. POC Lookback Summary'!$B12,'5. Completed Jobs'!$B:$B,0)))</f>
        <v>Direct</v>
      </c>
      <c r="H12" s="89" t="str">
        <f>_xlfn.IFNA(INDEX('4. WIP Report (Oct-25)'!H:H,MATCH('7. POC Lookback Summary'!$B12,'4. WIP Report (Oct-25)'!$B:$B,0)),INDEX('5. Completed Jobs'!H:H,MATCH('7. POC Lookback Summary'!$B12,'5. Completed Jobs'!$B:$B,0)))</f>
        <v>New Construction</v>
      </c>
      <c r="J12" s="95"/>
      <c r="K12" s="119">
        <v>6468.8077147061877</v>
      </c>
      <c r="L12" s="119">
        <v>22678.11179718627</v>
      </c>
      <c r="M12" s="119">
        <v>1103.2751911037478</v>
      </c>
      <c r="N12" s="119">
        <v>246.8378686442199</v>
      </c>
      <c r="O12" s="119">
        <v>4462.7152803542594</v>
      </c>
      <c r="P12" s="119">
        <v>9340.067400365002</v>
      </c>
      <c r="Q12" s="119">
        <v>9852.6985608479063</v>
      </c>
      <c r="R12" s="119">
        <v>7887.3515912158155</v>
      </c>
      <c r="S12" s="119">
        <v>0</v>
      </c>
      <c r="T12" s="119">
        <v>15993.942650516574</v>
      </c>
      <c r="U12" s="119">
        <v>13738.369022451108</v>
      </c>
      <c r="V12" s="119">
        <v>0</v>
      </c>
      <c r="W12" s="98">
        <f t="shared" si="25"/>
        <v>91772.177077391098</v>
      </c>
      <c r="X12" s="119">
        <v>6670.6742765789577</v>
      </c>
      <c r="Y12" s="119">
        <v>20150.658273504083</v>
      </c>
      <c r="Z12" s="119">
        <v>0</v>
      </c>
      <c r="AA12" s="119">
        <v>0</v>
      </c>
      <c r="AB12" s="119">
        <v>0</v>
      </c>
      <c r="AC12" s="119">
        <v>25253.927735459096</v>
      </c>
      <c r="AD12" s="119">
        <v>201.15355971591455</v>
      </c>
      <c r="AE12" s="119">
        <v>0</v>
      </c>
      <c r="AF12" s="119">
        <v>1025.1579791867523</v>
      </c>
      <c r="AG12" s="119">
        <v>31218.329899930999</v>
      </c>
      <c r="AH12" s="119">
        <v>21417.402251789426</v>
      </c>
      <c r="AI12" s="119">
        <v>0</v>
      </c>
      <c r="AJ12" s="98">
        <f t="shared" si="26"/>
        <v>105937.30397616525</v>
      </c>
      <c r="AK12" s="119">
        <v>3119.9061451399371</v>
      </c>
      <c r="AL12" s="119">
        <v>0</v>
      </c>
      <c r="AM12" s="119">
        <v>0</v>
      </c>
      <c r="AN12" s="119">
        <v>1701.8839775255697</v>
      </c>
      <c r="AO12" s="119">
        <v>21406.933293291208</v>
      </c>
      <c r="AP12" s="119">
        <v>571.68860742638333</v>
      </c>
      <c r="AQ12" s="119">
        <v>0</v>
      </c>
      <c r="AR12" s="119">
        <v>17371.949745864466</v>
      </c>
      <c r="AS12" s="119">
        <v>0</v>
      </c>
      <c r="AT12" s="119">
        <v>7145.7771771961252</v>
      </c>
      <c r="AU12" s="98">
        <f t="shared" si="27"/>
        <v>51318.138946443694</v>
      </c>
      <c r="AV12" s="96">
        <f t="shared" si="28"/>
        <v>72735.541198233113</v>
      </c>
      <c r="AW12" s="95"/>
      <c r="AX12" s="119">
        <v>3719.78</v>
      </c>
      <c r="AY12" s="119">
        <v>13040.67</v>
      </c>
      <c r="AZ12" s="119">
        <v>634.41999999999996</v>
      </c>
      <c r="BA12" s="119">
        <v>141.94</v>
      </c>
      <c r="BB12" s="119">
        <v>2566.21</v>
      </c>
      <c r="BC12" s="119">
        <v>5370.8499999999995</v>
      </c>
      <c r="BD12" s="119">
        <v>5665.630000000001</v>
      </c>
      <c r="BE12" s="119">
        <v>4535.49</v>
      </c>
      <c r="BF12" s="119">
        <v>0</v>
      </c>
      <c r="BG12" s="119">
        <v>9197.0499999999993</v>
      </c>
      <c r="BH12" s="119">
        <v>7900.02</v>
      </c>
      <c r="BI12" s="119">
        <v>0</v>
      </c>
      <c r="BJ12" s="98">
        <f t="shared" si="29"/>
        <v>52772.06</v>
      </c>
      <c r="BK12" s="119">
        <v>3835.8599999999997</v>
      </c>
      <c r="BL12" s="119">
        <v>11587.300000000001</v>
      </c>
      <c r="BM12" s="119">
        <v>0</v>
      </c>
      <c r="BN12" s="119">
        <v>0</v>
      </c>
      <c r="BO12" s="119">
        <v>0</v>
      </c>
      <c r="BP12" s="119">
        <v>14521.849999999999</v>
      </c>
      <c r="BQ12" s="119">
        <v>115.66999999999999</v>
      </c>
      <c r="BR12" s="119">
        <v>0</v>
      </c>
      <c r="BS12" s="119">
        <v>589.5</v>
      </c>
      <c r="BT12" s="119">
        <v>17951.580000000002</v>
      </c>
      <c r="BU12" s="119">
        <v>12315.719999999998</v>
      </c>
      <c r="BV12" s="119">
        <v>0</v>
      </c>
      <c r="BW12" s="98">
        <f t="shared" si="30"/>
        <v>60917.479999999996</v>
      </c>
      <c r="BX12" s="119">
        <v>1794.05</v>
      </c>
      <c r="BY12" s="119">
        <v>0</v>
      </c>
      <c r="BZ12" s="119">
        <v>0</v>
      </c>
      <c r="CA12" s="119">
        <v>978.64</v>
      </c>
      <c r="CB12" s="119">
        <v>12309.7</v>
      </c>
      <c r="CC12" s="119">
        <v>328.74</v>
      </c>
      <c r="CD12" s="119">
        <v>0</v>
      </c>
      <c r="CE12" s="119">
        <v>9989.4500000000007</v>
      </c>
      <c r="CF12" s="119">
        <v>0</v>
      </c>
      <c r="CG12" s="119">
        <v>4109.0599999999995</v>
      </c>
      <c r="CH12" s="98">
        <f t="shared" si="31"/>
        <v>29509.64</v>
      </c>
      <c r="CI12" s="96">
        <f t="shared" si="32"/>
        <v>41825.360000000001</v>
      </c>
      <c r="CJ12" s="95"/>
      <c r="CK12" s="119">
        <f t="shared" si="33"/>
        <v>2749.0277147061875</v>
      </c>
      <c r="CL12" s="119">
        <f t="shared" si="18"/>
        <v>9637.4417971862695</v>
      </c>
      <c r="CM12" s="119">
        <f t="shared" si="18"/>
        <v>468.85519110374787</v>
      </c>
      <c r="CN12" s="119">
        <f t="shared" si="18"/>
        <v>104.8978686442199</v>
      </c>
      <c r="CO12" s="119">
        <f t="shared" si="18"/>
        <v>1896.5052803542594</v>
      </c>
      <c r="CP12" s="119">
        <f t="shared" si="18"/>
        <v>3969.2174003650025</v>
      </c>
      <c r="CQ12" s="119">
        <f t="shared" si="18"/>
        <v>4187.0685608479052</v>
      </c>
      <c r="CR12" s="119">
        <f t="shared" si="18"/>
        <v>3351.8615912158157</v>
      </c>
      <c r="CS12" s="119">
        <f t="shared" si="18"/>
        <v>0</v>
      </c>
      <c r="CT12" s="119">
        <f t="shared" si="18"/>
        <v>6796.8926505165746</v>
      </c>
      <c r="CU12" s="119">
        <f t="shared" si="18"/>
        <v>5838.3490224511079</v>
      </c>
      <c r="CV12" s="119">
        <f t="shared" si="18"/>
        <v>0</v>
      </c>
      <c r="CW12" s="98">
        <f t="shared" si="34"/>
        <v>39000.1170773911</v>
      </c>
      <c r="CX12" s="119">
        <f t="shared" si="19"/>
        <v>2834.814276578958</v>
      </c>
      <c r="CY12" s="119">
        <f t="shared" si="19"/>
        <v>8563.3582735040818</v>
      </c>
      <c r="CZ12" s="119">
        <f t="shared" si="19"/>
        <v>0</v>
      </c>
      <c r="DA12" s="119">
        <f t="shared" si="19"/>
        <v>0</v>
      </c>
      <c r="DB12" s="119">
        <f t="shared" si="19"/>
        <v>0</v>
      </c>
      <c r="DC12" s="119">
        <f t="shared" si="19"/>
        <v>10732.077735459097</v>
      </c>
      <c r="DD12" s="119">
        <f t="shared" si="19"/>
        <v>85.483559715914566</v>
      </c>
      <c r="DE12" s="119">
        <f t="shared" si="19"/>
        <v>0</v>
      </c>
      <c r="DF12" s="119">
        <f t="shared" si="19"/>
        <v>435.6579791867523</v>
      </c>
      <c r="DG12" s="119">
        <f t="shared" si="19"/>
        <v>13266.749899930997</v>
      </c>
      <c r="DH12" s="119">
        <f t="shared" si="19"/>
        <v>9101.6822517894288</v>
      </c>
      <c r="DI12" s="119">
        <f t="shared" si="19"/>
        <v>0</v>
      </c>
      <c r="DJ12" s="98">
        <f t="shared" si="35"/>
        <v>45019.823976165237</v>
      </c>
      <c r="DK12" s="119">
        <f t="shared" si="20"/>
        <v>1325.8561451399371</v>
      </c>
      <c r="DL12" s="119">
        <f t="shared" si="20"/>
        <v>0</v>
      </c>
      <c r="DM12" s="119">
        <f t="shared" si="20"/>
        <v>0</v>
      </c>
      <c r="DN12" s="119">
        <f t="shared" si="20"/>
        <v>723.24397752556968</v>
      </c>
      <c r="DO12" s="119">
        <f t="shared" si="20"/>
        <v>9097.2332932912068</v>
      </c>
      <c r="DP12" s="119">
        <f t="shared" si="20"/>
        <v>242.94860742638332</v>
      </c>
      <c r="DQ12" s="119">
        <f t="shared" si="20"/>
        <v>0</v>
      </c>
      <c r="DR12" s="119">
        <f t="shared" si="20"/>
        <v>7382.4997458644648</v>
      </c>
      <c r="DS12" s="119">
        <f t="shared" si="20"/>
        <v>0</v>
      </c>
      <c r="DT12" s="119">
        <f t="shared" si="20"/>
        <v>3036.7171771961257</v>
      </c>
      <c r="DU12" s="98">
        <f t="shared" si="36"/>
        <v>21808.498946443688</v>
      </c>
      <c r="DV12" s="96">
        <f t="shared" si="37"/>
        <v>30910.181198233116</v>
      </c>
      <c r="DW12" s="95"/>
      <c r="DX12" s="162">
        <f t="shared" si="38"/>
        <v>0.42496667638714131</v>
      </c>
      <c r="DY12" s="162">
        <f t="shared" si="21"/>
        <v>0.42496667638714131</v>
      </c>
      <c r="DZ12" s="162">
        <f t="shared" si="21"/>
        <v>0.42496667638714131</v>
      </c>
      <c r="EA12" s="162">
        <f t="shared" si="21"/>
        <v>0.42496667638714136</v>
      </c>
      <c r="EB12" s="162">
        <f t="shared" si="21"/>
        <v>0.42496667638714136</v>
      </c>
      <c r="EC12" s="162">
        <f t="shared" si="21"/>
        <v>0.42496667638714136</v>
      </c>
      <c r="ED12" s="162">
        <f t="shared" si="21"/>
        <v>0.42496667638714131</v>
      </c>
      <c r="EE12" s="162">
        <f t="shared" si="21"/>
        <v>0.42496667638714131</v>
      </c>
      <c r="EF12" s="162">
        <f t="shared" si="21"/>
        <v>0</v>
      </c>
      <c r="EG12" s="162">
        <f t="shared" si="21"/>
        <v>0.42496667638714136</v>
      </c>
      <c r="EH12" s="162">
        <f t="shared" si="21"/>
        <v>0.42496667638714136</v>
      </c>
      <c r="EI12" s="162">
        <f t="shared" si="21"/>
        <v>0</v>
      </c>
      <c r="EJ12" s="163">
        <f t="shared" si="21"/>
        <v>0.42496667638714142</v>
      </c>
      <c r="EK12" s="162">
        <f t="shared" si="21"/>
        <v>0.42496667638714131</v>
      </c>
      <c r="EL12" s="162">
        <f t="shared" si="21"/>
        <v>0.42496667638714136</v>
      </c>
      <c r="EM12" s="162">
        <f t="shared" si="21"/>
        <v>0</v>
      </c>
      <c r="EN12" s="162">
        <f t="shared" si="21"/>
        <v>0</v>
      </c>
      <c r="EO12" s="162">
        <f t="shared" si="21"/>
        <v>0</v>
      </c>
      <c r="EP12" s="162">
        <f t="shared" si="21"/>
        <v>0.42496667638714131</v>
      </c>
      <c r="EQ12" s="162">
        <f t="shared" si="21"/>
        <v>0.42496667638714131</v>
      </c>
      <c r="ER12" s="162">
        <f t="shared" si="21"/>
        <v>0</v>
      </c>
      <c r="ES12" s="162">
        <f t="shared" si="21"/>
        <v>0.42496667638714131</v>
      </c>
      <c r="ET12" s="162">
        <f t="shared" si="21"/>
        <v>0.42496667638714142</v>
      </c>
      <c r="EU12" s="162">
        <f t="shared" si="21"/>
        <v>0.42496667638714131</v>
      </c>
      <c r="EV12" s="162">
        <f t="shared" si="21"/>
        <v>0</v>
      </c>
      <c r="EW12" s="163">
        <f t="shared" si="21"/>
        <v>0.42496667638714131</v>
      </c>
      <c r="EX12" s="162">
        <f t="shared" si="21"/>
        <v>0.42496667638714131</v>
      </c>
      <c r="EY12" s="162">
        <f t="shared" si="21"/>
        <v>0</v>
      </c>
      <c r="EZ12" s="162">
        <f t="shared" si="21"/>
        <v>0</v>
      </c>
      <c r="FA12" s="162">
        <f t="shared" si="21"/>
        <v>0.42496667638714131</v>
      </c>
      <c r="FB12" s="162">
        <f t="shared" si="21"/>
        <v>0.42496667638714136</v>
      </c>
      <c r="FC12" s="162">
        <f t="shared" si="21"/>
        <v>0.42496667638714131</v>
      </c>
      <c r="FD12" s="162">
        <f t="shared" si="21"/>
        <v>0</v>
      </c>
      <c r="FE12" s="162">
        <f t="shared" si="21"/>
        <v>0.42496667638714125</v>
      </c>
      <c r="FF12" s="162">
        <f t="shared" si="21"/>
        <v>0</v>
      </c>
      <c r="FG12" s="162">
        <f t="shared" si="21"/>
        <v>0.42496667638714131</v>
      </c>
      <c r="FH12" s="163">
        <f t="shared" si="21"/>
        <v>0.42496667638714125</v>
      </c>
      <c r="FI12" s="164">
        <f t="shared" si="21"/>
        <v>0.42496667638714131</v>
      </c>
      <c r="FJ12" s="95"/>
      <c r="FK12" s="119">
        <v>55336.76</v>
      </c>
      <c r="FL12" s="119">
        <v>0</v>
      </c>
      <c r="FM12" s="119">
        <v>0</v>
      </c>
      <c r="FN12" s="119">
        <v>0</v>
      </c>
      <c r="FO12" s="119">
        <v>0</v>
      </c>
      <c r="FP12" s="119">
        <v>802.12</v>
      </c>
      <c r="FQ12" s="119">
        <v>0</v>
      </c>
      <c r="FR12" s="119">
        <v>0</v>
      </c>
      <c r="FS12" s="119">
        <v>20779.810000000001</v>
      </c>
      <c r="FT12" s="119">
        <v>0</v>
      </c>
      <c r="FU12" s="119">
        <v>0</v>
      </c>
      <c r="FV12" s="119">
        <v>0</v>
      </c>
      <c r="FW12" s="98">
        <f t="shared" si="39"/>
        <v>76918.69</v>
      </c>
      <c r="FX12" s="119">
        <v>0</v>
      </c>
      <c r="FY12" s="119">
        <v>0</v>
      </c>
      <c r="FZ12" s="119">
        <v>0</v>
      </c>
      <c r="GA12" s="119">
        <v>0</v>
      </c>
      <c r="GB12" s="119">
        <v>0</v>
      </c>
      <c r="GC12" s="119">
        <v>0</v>
      </c>
      <c r="GD12" s="119">
        <v>0</v>
      </c>
      <c r="GE12" s="119">
        <v>0</v>
      </c>
      <c r="GF12" s="119">
        <v>0</v>
      </c>
      <c r="GG12" s="119">
        <v>90358.930000000008</v>
      </c>
      <c r="GH12" s="119">
        <v>0</v>
      </c>
      <c r="GI12" s="119">
        <v>0</v>
      </c>
      <c r="GJ12" s="98">
        <f t="shared" si="40"/>
        <v>90358.930000000008</v>
      </c>
      <c r="GK12" s="119">
        <v>0</v>
      </c>
      <c r="GL12" s="119">
        <v>0</v>
      </c>
      <c r="GM12" s="119">
        <v>0</v>
      </c>
      <c r="GN12" s="119">
        <v>0</v>
      </c>
      <c r="GO12" s="119">
        <v>0</v>
      </c>
      <c r="GP12" s="119">
        <v>0</v>
      </c>
      <c r="GQ12" s="119">
        <v>0</v>
      </c>
      <c r="GR12" s="119">
        <v>0</v>
      </c>
      <c r="GS12" s="119">
        <v>81750</v>
      </c>
      <c r="GT12" s="119">
        <v>0</v>
      </c>
      <c r="GU12" s="98">
        <f t="shared" si="41"/>
        <v>81750</v>
      </c>
      <c r="GV12" s="96">
        <f t="shared" si="42"/>
        <v>81750</v>
      </c>
      <c r="GW12" s="95"/>
      <c r="GX12" s="119">
        <f t="shared" si="43"/>
        <v>-48867.952285293817</v>
      </c>
      <c r="GY12" s="119">
        <f t="shared" si="22"/>
        <v>22678.11179718627</v>
      </c>
      <c r="GZ12" s="119">
        <f t="shared" si="22"/>
        <v>1103.2751911037478</v>
      </c>
      <c r="HA12" s="119">
        <f t="shared" si="22"/>
        <v>246.8378686442199</v>
      </c>
      <c r="HB12" s="119">
        <f t="shared" si="22"/>
        <v>4462.7152803542594</v>
      </c>
      <c r="HC12" s="119">
        <f t="shared" si="22"/>
        <v>8537.9474003650012</v>
      </c>
      <c r="HD12" s="119">
        <f t="shared" si="22"/>
        <v>9852.6985608479063</v>
      </c>
      <c r="HE12" s="119">
        <f t="shared" si="22"/>
        <v>7887.3515912158155</v>
      </c>
      <c r="HF12" s="119">
        <f t="shared" si="22"/>
        <v>-20779.810000000001</v>
      </c>
      <c r="HG12" s="119">
        <f t="shared" si="22"/>
        <v>15993.942650516574</v>
      </c>
      <c r="HH12" s="119">
        <f t="shared" si="22"/>
        <v>13738.369022451108</v>
      </c>
      <c r="HI12" s="119">
        <f t="shared" si="22"/>
        <v>0</v>
      </c>
      <c r="HJ12" s="98">
        <f t="shared" si="44"/>
        <v>14853.487077391082</v>
      </c>
      <c r="HK12" s="119">
        <f t="shared" si="23"/>
        <v>6670.6742765789577</v>
      </c>
      <c r="HL12" s="119">
        <f t="shared" si="23"/>
        <v>20150.658273504083</v>
      </c>
      <c r="HM12" s="119">
        <f t="shared" si="23"/>
        <v>0</v>
      </c>
      <c r="HN12" s="119">
        <f t="shared" si="23"/>
        <v>0</v>
      </c>
      <c r="HO12" s="119">
        <f t="shared" si="23"/>
        <v>0</v>
      </c>
      <c r="HP12" s="119">
        <f t="shared" si="23"/>
        <v>25253.927735459096</v>
      </c>
      <c r="HQ12" s="119">
        <f t="shared" si="23"/>
        <v>201.15355971591455</v>
      </c>
      <c r="HR12" s="119">
        <f t="shared" si="23"/>
        <v>0</v>
      </c>
      <c r="HS12" s="119">
        <f t="shared" si="23"/>
        <v>1025.1579791867523</v>
      </c>
      <c r="HT12" s="119">
        <f t="shared" si="23"/>
        <v>-59140.600100069008</v>
      </c>
      <c r="HU12" s="119">
        <f t="shared" si="23"/>
        <v>21417.402251789426</v>
      </c>
      <c r="HV12" s="119">
        <f t="shared" si="23"/>
        <v>0</v>
      </c>
      <c r="HW12" s="98">
        <f t="shared" si="45"/>
        <v>15578.373976165225</v>
      </c>
      <c r="HX12" s="119">
        <f t="shared" si="24"/>
        <v>3119.9061451399371</v>
      </c>
      <c r="HY12" s="119">
        <f t="shared" si="24"/>
        <v>0</v>
      </c>
      <c r="HZ12" s="119">
        <f t="shared" si="24"/>
        <v>0</v>
      </c>
      <c r="IA12" s="119">
        <f t="shared" si="24"/>
        <v>1701.8839775255697</v>
      </c>
      <c r="IB12" s="119">
        <f t="shared" si="24"/>
        <v>21406.933293291208</v>
      </c>
      <c r="IC12" s="119">
        <f t="shared" si="24"/>
        <v>571.68860742638333</v>
      </c>
      <c r="ID12" s="119">
        <f t="shared" si="24"/>
        <v>0</v>
      </c>
      <c r="IE12" s="119">
        <f t="shared" si="24"/>
        <v>17371.949745864466</v>
      </c>
      <c r="IF12" s="119">
        <f t="shared" si="24"/>
        <v>-81750</v>
      </c>
      <c r="IG12" s="119">
        <f t="shared" si="24"/>
        <v>7145.7771771961252</v>
      </c>
      <c r="IH12" s="98">
        <f t="shared" si="46"/>
        <v>-30431.861053556306</v>
      </c>
      <c r="II12" s="96">
        <f t="shared" si="47"/>
        <v>-9014.4588017668793</v>
      </c>
    </row>
    <row r="13" spans="2:243" x14ac:dyDescent="0.2">
      <c r="B13" s="101" t="s">
        <v>279</v>
      </c>
      <c r="C13" s="89" t="s">
        <v>280</v>
      </c>
      <c r="D13" s="89" t="str">
        <f>_xlfn.IFNA(INDEX('4. WIP Report (Oct-25)'!D:D,MATCH('7. POC Lookback Summary'!$B13,'4. WIP Report (Oct-25)'!$B:$B,0)),INDEX('5. Completed Jobs'!D:D,MATCH('7. POC Lookback Summary'!$B13,'5. Completed Jobs'!$B:$B,0)))</f>
        <v>Hospital Management Group</v>
      </c>
      <c r="E13" s="89" t="str">
        <f>_xlfn.IFNA(INDEX('4. WIP Report (Oct-25)'!E:E,MATCH('7. POC Lookback Summary'!$B13,'4. WIP Report (Oct-25)'!$B:$B,0)),INDEX('5. Completed Jobs'!E:E,MATCH('7. POC Lookback Summary'!$B13,'5. Completed Jobs'!$B:$B,0)))</f>
        <v>Fire Alarm Installation</v>
      </c>
      <c r="F13" s="89" t="str">
        <f>_xlfn.IFNA(INDEX('4. WIP Report (Oct-25)'!F:F,MATCH('7. POC Lookback Summary'!$B13,'4. WIP Report (Oct-25)'!$B:$B,0)),INDEX('5. Completed Jobs'!F:F,MATCH('7. POC Lookback Summary'!$B13,'5. Completed Jobs'!$B:$B,0)))</f>
        <v>Higher Education</v>
      </c>
      <c r="G13" s="89" t="str">
        <f>_xlfn.IFNA(INDEX('4. WIP Report (Oct-25)'!G:G,MATCH('7. POC Lookback Summary'!$B13,'4. WIP Report (Oct-25)'!$B:$B,0)),INDEX('5. Completed Jobs'!G:G,MATCH('7. POC Lookback Summary'!$B13,'5. Completed Jobs'!$B:$B,0)))</f>
        <v>Property Management Company</v>
      </c>
      <c r="H13" s="89" t="str">
        <f>_xlfn.IFNA(INDEX('4. WIP Report (Oct-25)'!H:H,MATCH('7. POC Lookback Summary'!$B13,'4. WIP Report (Oct-25)'!$B:$B,0)),INDEX('5. Completed Jobs'!H:H,MATCH('7. POC Lookback Summary'!$B13,'5. Completed Jobs'!$B:$B,0)))</f>
        <v>Retrofit</v>
      </c>
      <c r="J13" s="95"/>
      <c r="K13" s="119">
        <v>0</v>
      </c>
      <c r="L13" s="119">
        <v>211.58747670940653</v>
      </c>
      <c r="M13" s="119">
        <v>0</v>
      </c>
      <c r="N13" s="119">
        <v>2606.3298851760946</v>
      </c>
      <c r="O13" s="119">
        <v>0</v>
      </c>
      <c r="P13" s="119">
        <v>9034.1054442356308</v>
      </c>
      <c r="Q13" s="119">
        <v>0</v>
      </c>
      <c r="R13" s="119">
        <v>73.256460949539786</v>
      </c>
      <c r="S13" s="119">
        <v>2122.9931462905151</v>
      </c>
      <c r="T13" s="119">
        <v>408.16472088572249</v>
      </c>
      <c r="U13" s="119">
        <v>5.4324472815009708</v>
      </c>
      <c r="V13" s="119">
        <v>263.11414853294247</v>
      </c>
      <c r="W13" s="98">
        <f t="shared" si="25"/>
        <v>14724.983730061353</v>
      </c>
      <c r="X13" s="119">
        <v>0</v>
      </c>
      <c r="Y13" s="119">
        <v>1599.4599231818597</v>
      </c>
      <c r="Z13" s="119">
        <v>1461.8782104953038</v>
      </c>
      <c r="AA13" s="119">
        <v>879.02314649399534</v>
      </c>
      <c r="AB13" s="119">
        <v>0</v>
      </c>
      <c r="AC13" s="119">
        <v>2540.7900373283092</v>
      </c>
      <c r="AD13" s="119">
        <v>0</v>
      </c>
      <c r="AE13" s="119">
        <v>0</v>
      </c>
      <c r="AF13" s="119">
        <v>746.20313398299243</v>
      </c>
      <c r="AG13" s="119">
        <v>1317.3594016139048</v>
      </c>
      <c r="AH13" s="119">
        <v>0</v>
      </c>
      <c r="AI13" s="119">
        <v>59.889860964356075</v>
      </c>
      <c r="AJ13" s="98">
        <f t="shared" si="26"/>
        <v>8604.6037140607223</v>
      </c>
      <c r="AK13" s="119">
        <v>369.29160257438127</v>
      </c>
      <c r="AL13" s="119">
        <v>0</v>
      </c>
      <c r="AM13" s="119">
        <v>57.533181943460214</v>
      </c>
      <c r="AN13" s="119">
        <v>510.83737022941887</v>
      </c>
      <c r="AO13" s="119">
        <v>3951.1476187667977</v>
      </c>
      <c r="AP13" s="119">
        <v>98.18287367055369</v>
      </c>
      <c r="AQ13" s="119">
        <v>21277.469908693318</v>
      </c>
      <c r="AR13" s="119">
        <v>0</v>
      </c>
      <c r="AS13" s="119">
        <v>0</v>
      </c>
      <c r="AT13" s="119">
        <v>0</v>
      </c>
      <c r="AU13" s="98">
        <f t="shared" si="27"/>
        <v>26264.46255587793</v>
      </c>
      <c r="AV13" s="96">
        <f t="shared" si="28"/>
        <v>26324.352416842285</v>
      </c>
      <c r="AW13" s="95"/>
      <c r="AX13" s="119">
        <v>0</v>
      </c>
      <c r="AY13" s="119">
        <v>350.15</v>
      </c>
      <c r="AZ13" s="119">
        <v>0</v>
      </c>
      <c r="BA13" s="119">
        <v>4313.1399999999994</v>
      </c>
      <c r="BB13" s="119">
        <v>0</v>
      </c>
      <c r="BC13" s="119">
        <v>14950.279999999999</v>
      </c>
      <c r="BD13" s="119">
        <v>0</v>
      </c>
      <c r="BE13" s="119">
        <v>121.23</v>
      </c>
      <c r="BF13" s="119">
        <v>3513.28</v>
      </c>
      <c r="BG13" s="119">
        <v>675.46</v>
      </c>
      <c r="BH13" s="119">
        <v>8.99</v>
      </c>
      <c r="BI13" s="119">
        <v>435.42000000000007</v>
      </c>
      <c r="BJ13" s="98">
        <f t="shared" si="29"/>
        <v>24367.949999999997</v>
      </c>
      <c r="BK13" s="119">
        <v>0</v>
      </c>
      <c r="BL13" s="119">
        <v>2646.9</v>
      </c>
      <c r="BM13" s="119">
        <v>2419.2200000000007</v>
      </c>
      <c r="BN13" s="119">
        <v>1454.6700000000003</v>
      </c>
      <c r="BO13" s="119">
        <v>0</v>
      </c>
      <c r="BP13" s="119">
        <v>4204.68</v>
      </c>
      <c r="BQ13" s="119">
        <v>0</v>
      </c>
      <c r="BR13" s="119">
        <v>0</v>
      </c>
      <c r="BS13" s="119">
        <v>1234.8699999999999</v>
      </c>
      <c r="BT13" s="119">
        <v>2180.06</v>
      </c>
      <c r="BU13" s="119">
        <v>0</v>
      </c>
      <c r="BV13" s="119">
        <v>99.11</v>
      </c>
      <c r="BW13" s="98">
        <f t="shared" si="30"/>
        <v>14239.51</v>
      </c>
      <c r="BX13" s="119">
        <v>611.13</v>
      </c>
      <c r="BY13" s="119">
        <v>0</v>
      </c>
      <c r="BZ13" s="119">
        <v>95.21</v>
      </c>
      <c r="CA13" s="119">
        <v>845.37000000000012</v>
      </c>
      <c r="CB13" s="119">
        <v>6538.6400000000012</v>
      </c>
      <c r="CC13" s="119">
        <v>162.47999999999999</v>
      </c>
      <c r="CD13" s="119">
        <v>35211.469999999994</v>
      </c>
      <c r="CE13" s="119">
        <v>0</v>
      </c>
      <c r="CF13" s="119">
        <v>0</v>
      </c>
      <c r="CG13" s="119">
        <v>0</v>
      </c>
      <c r="CH13" s="98">
        <f t="shared" si="31"/>
        <v>43464.299999999996</v>
      </c>
      <c r="CI13" s="96">
        <f t="shared" si="32"/>
        <v>43563.409999999996</v>
      </c>
      <c r="CJ13" s="95"/>
      <c r="CK13" s="119">
        <f t="shared" si="33"/>
        <v>0</v>
      </c>
      <c r="CL13" s="119">
        <f t="shared" si="18"/>
        <v>-138.56252329059345</v>
      </c>
      <c r="CM13" s="119">
        <f t="shared" si="18"/>
        <v>0</v>
      </c>
      <c r="CN13" s="119">
        <f t="shared" si="18"/>
        <v>-1706.8101148239048</v>
      </c>
      <c r="CO13" s="119">
        <f t="shared" si="18"/>
        <v>0</v>
      </c>
      <c r="CP13" s="119">
        <f t="shared" si="18"/>
        <v>-5916.1745557643681</v>
      </c>
      <c r="CQ13" s="119">
        <f t="shared" si="18"/>
        <v>0</v>
      </c>
      <c r="CR13" s="119">
        <f t="shared" si="18"/>
        <v>-47.973539050460218</v>
      </c>
      <c r="CS13" s="119">
        <f t="shared" si="18"/>
        <v>-1390.2868537094851</v>
      </c>
      <c r="CT13" s="119">
        <f t="shared" si="18"/>
        <v>-267.29527911427755</v>
      </c>
      <c r="CU13" s="119">
        <f t="shared" si="18"/>
        <v>-3.5575527184990294</v>
      </c>
      <c r="CV13" s="119">
        <f t="shared" si="18"/>
        <v>-172.30585146705761</v>
      </c>
      <c r="CW13" s="98">
        <f t="shared" si="34"/>
        <v>-9642.9662699386463</v>
      </c>
      <c r="CX13" s="119">
        <f t="shared" si="19"/>
        <v>0</v>
      </c>
      <c r="CY13" s="119">
        <f t="shared" si="19"/>
        <v>-1047.4400768181404</v>
      </c>
      <c r="CZ13" s="119">
        <f t="shared" si="19"/>
        <v>-957.34178950469686</v>
      </c>
      <c r="DA13" s="119">
        <f t="shared" si="19"/>
        <v>-575.64685350600496</v>
      </c>
      <c r="DB13" s="119">
        <f t="shared" si="19"/>
        <v>0</v>
      </c>
      <c r="DC13" s="119">
        <f t="shared" si="19"/>
        <v>-1663.8899626716911</v>
      </c>
      <c r="DD13" s="119">
        <f t="shared" si="19"/>
        <v>0</v>
      </c>
      <c r="DE13" s="119">
        <f t="shared" si="19"/>
        <v>0</v>
      </c>
      <c r="DF13" s="119">
        <f t="shared" si="19"/>
        <v>-488.66686601700746</v>
      </c>
      <c r="DG13" s="119">
        <f t="shared" si="19"/>
        <v>-862.70059838609518</v>
      </c>
      <c r="DH13" s="119">
        <f t="shared" si="19"/>
        <v>0</v>
      </c>
      <c r="DI13" s="119">
        <f t="shared" si="19"/>
        <v>-39.220139035643925</v>
      </c>
      <c r="DJ13" s="98">
        <f t="shared" si="35"/>
        <v>-5634.9062859392798</v>
      </c>
      <c r="DK13" s="119">
        <f t="shared" si="20"/>
        <v>-241.83839742561872</v>
      </c>
      <c r="DL13" s="119">
        <f t="shared" si="20"/>
        <v>0</v>
      </c>
      <c r="DM13" s="119">
        <f t="shared" si="20"/>
        <v>-37.67681805653978</v>
      </c>
      <c r="DN13" s="119">
        <f t="shared" si="20"/>
        <v>-334.53262977058125</v>
      </c>
      <c r="DO13" s="119">
        <f t="shared" si="20"/>
        <v>-2587.4923812332036</v>
      </c>
      <c r="DP13" s="119">
        <f t="shared" si="20"/>
        <v>-64.2971263294463</v>
      </c>
      <c r="DQ13" s="119">
        <f t="shared" si="20"/>
        <v>-13934.000091306676</v>
      </c>
      <c r="DR13" s="119">
        <f t="shared" si="20"/>
        <v>0</v>
      </c>
      <c r="DS13" s="119">
        <f t="shared" si="20"/>
        <v>0</v>
      </c>
      <c r="DT13" s="119">
        <f t="shared" si="20"/>
        <v>0</v>
      </c>
      <c r="DU13" s="98">
        <f t="shared" si="36"/>
        <v>-17199.837444122066</v>
      </c>
      <c r="DV13" s="96">
        <f t="shared" si="37"/>
        <v>-17239.057583157708</v>
      </c>
      <c r="DW13" s="95"/>
      <c r="DX13" s="162">
        <f t="shared" si="38"/>
        <v>0</v>
      </c>
      <c r="DY13" s="162">
        <f t="shared" si="21"/>
        <v>-0.65487109844830138</v>
      </c>
      <c r="DZ13" s="162">
        <f t="shared" si="21"/>
        <v>0</v>
      </c>
      <c r="EA13" s="162">
        <f t="shared" si="21"/>
        <v>-0.6548710984483016</v>
      </c>
      <c r="EB13" s="162">
        <f t="shared" si="21"/>
        <v>0</v>
      </c>
      <c r="EC13" s="162">
        <f t="shared" si="21"/>
        <v>-0.65487109844830149</v>
      </c>
      <c r="ED13" s="162">
        <f t="shared" si="21"/>
        <v>0</v>
      </c>
      <c r="EE13" s="162">
        <f t="shared" si="21"/>
        <v>-0.65487109844830138</v>
      </c>
      <c r="EF13" s="162">
        <f t="shared" si="21"/>
        <v>-0.65487109844830138</v>
      </c>
      <c r="EG13" s="162">
        <f t="shared" si="21"/>
        <v>-0.65487109844830171</v>
      </c>
      <c r="EH13" s="162">
        <f t="shared" si="21"/>
        <v>-0.65487109844830138</v>
      </c>
      <c r="EI13" s="162">
        <f t="shared" si="21"/>
        <v>-0.6548710984483016</v>
      </c>
      <c r="EJ13" s="163">
        <f t="shared" si="21"/>
        <v>-0.65487109844830149</v>
      </c>
      <c r="EK13" s="162">
        <f t="shared" si="21"/>
        <v>0</v>
      </c>
      <c r="EL13" s="162">
        <f t="shared" si="21"/>
        <v>-0.65487109844830149</v>
      </c>
      <c r="EM13" s="162">
        <f t="shared" si="21"/>
        <v>-0.65487109844830149</v>
      </c>
      <c r="EN13" s="162">
        <f t="shared" si="21"/>
        <v>-0.65487109844830149</v>
      </c>
      <c r="EO13" s="162">
        <f t="shared" si="21"/>
        <v>0</v>
      </c>
      <c r="EP13" s="162">
        <f t="shared" si="21"/>
        <v>-0.6548710984483016</v>
      </c>
      <c r="EQ13" s="162">
        <f t="shared" si="21"/>
        <v>0</v>
      </c>
      <c r="ER13" s="162">
        <f t="shared" si="21"/>
        <v>0</v>
      </c>
      <c r="ES13" s="162">
        <f t="shared" si="21"/>
        <v>-0.6548710984483016</v>
      </c>
      <c r="ET13" s="162">
        <f t="shared" si="21"/>
        <v>-0.6548710984483016</v>
      </c>
      <c r="EU13" s="162">
        <f t="shared" si="21"/>
        <v>0</v>
      </c>
      <c r="EV13" s="162">
        <f t="shared" si="21"/>
        <v>-0.6548710984483016</v>
      </c>
      <c r="EW13" s="163">
        <f t="shared" si="21"/>
        <v>-0.65487109844830149</v>
      </c>
      <c r="EX13" s="162">
        <f t="shared" si="21"/>
        <v>-0.6548710984483016</v>
      </c>
      <c r="EY13" s="162">
        <f t="shared" si="21"/>
        <v>0</v>
      </c>
      <c r="EZ13" s="162">
        <f t="shared" si="21"/>
        <v>-0.6548710984483016</v>
      </c>
      <c r="FA13" s="162">
        <f t="shared" si="21"/>
        <v>-0.6548710984483016</v>
      </c>
      <c r="FB13" s="162">
        <f t="shared" si="21"/>
        <v>-0.65487109844830149</v>
      </c>
      <c r="FC13" s="162">
        <f t="shared" si="21"/>
        <v>-0.65487109844830138</v>
      </c>
      <c r="FD13" s="162">
        <f t="shared" si="21"/>
        <v>-0.6548710984483016</v>
      </c>
      <c r="FE13" s="162">
        <f t="shared" si="21"/>
        <v>0</v>
      </c>
      <c r="FF13" s="162">
        <f t="shared" si="21"/>
        <v>0</v>
      </c>
      <c r="FG13" s="162">
        <f t="shared" si="21"/>
        <v>0</v>
      </c>
      <c r="FH13" s="163">
        <f t="shared" si="21"/>
        <v>-0.6548710984483016</v>
      </c>
      <c r="FI13" s="164">
        <f t="shared" si="21"/>
        <v>-0.65487109844830149</v>
      </c>
      <c r="FJ13" s="95"/>
      <c r="FK13" s="119">
        <v>0</v>
      </c>
      <c r="FL13" s="119">
        <v>2078.71</v>
      </c>
      <c r="FM13" s="119">
        <v>0</v>
      </c>
      <c r="FN13" s="119">
        <v>0</v>
      </c>
      <c r="FO13" s="119">
        <v>0</v>
      </c>
      <c r="FP13" s="119">
        <v>14658.1</v>
      </c>
      <c r="FQ13" s="119">
        <v>0</v>
      </c>
      <c r="FR13" s="119">
        <v>0</v>
      </c>
      <c r="FS13" s="119">
        <v>0</v>
      </c>
      <c r="FT13" s="119">
        <v>0</v>
      </c>
      <c r="FU13" s="119">
        <v>0</v>
      </c>
      <c r="FV13" s="119">
        <v>0</v>
      </c>
      <c r="FW13" s="98">
        <f t="shared" si="39"/>
        <v>16736.810000000001</v>
      </c>
      <c r="FX13" s="119">
        <v>0</v>
      </c>
      <c r="FY13" s="119">
        <v>0</v>
      </c>
      <c r="FZ13" s="119">
        <v>0</v>
      </c>
      <c r="GA13" s="119">
        <v>0</v>
      </c>
      <c r="GB13" s="119">
        <v>0</v>
      </c>
      <c r="GC13" s="119">
        <v>0</v>
      </c>
      <c r="GD13" s="119">
        <v>0</v>
      </c>
      <c r="GE13" s="119">
        <v>0</v>
      </c>
      <c r="GF13" s="119">
        <v>0</v>
      </c>
      <c r="GG13" s="119">
        <v>0</v>
      </c>
      <c r="GH13" s="119">
        <v>0</v>
      </c>
      <c r="GI13" s="119">
        <v>0</v>
      </c>
      <c r="GJ13" s="98">
        <f t="shared" si="40"/>
        <v>0</v>
      </c>
      <c r="GK13" s="119">
        <v>0</v>
      </c>
      <c r="GL13" s="119">
        <v>0</v>
      </c>
      <c r="GM13" s="119">
        <v>0</v>
      </c>
      <c r="GN13" s="119">
        <v>0</v>
      </c>
      <c r="GO13" s="119">
        <v>0</v>
      </c>
      <c r="GP13" s="119">
        <v>0</v>
      </c>
      <c r="GQ13" s="119">
        <v>0</v>
      </c>
      <c r="GR13" s="119">
        <v>0</v>
      </c>
      <c r="GS13" s="119">
        <v>0</v>
      </c>
      <c r="GT13" s="119">
        <v>32857.24</v>
      </c>
      <c r="GU13" s="98">
        <f t="shared" si="41"/>
        <v>32857.24</v>
      </c>
      <c r="GV13" s="96">
        <f t="shared" si="42"/>
        <v>32857.24</v>
      </c>
      <c r="GW13" s="95"/>
      <c r="GX13" s="119">
        <f t="shared" si="43"/>
        <v>0</v>
      </c>
      <c r="GY13" s="119">
        <f t="shared" si="22"/>
        <v>-1867.1225232905936</v>
      </c>
      <c r="GZ13" s="119">
        <f t="shared" si="22"/>
        <v>0</v>
      </c>
      <c r="HA13" s="119">
        <f t="shared" si="22"/>
        <v>2606.3298851760946</v>
      </c>
      <c r="HB13" s="119">
        <f t="shared" si="22"/>
        <v>0</v>
      </c>
      <c r="HC13" s="119">
        <f t="shared" si="22"/>
        <v>-5623.9945557643696</v>
      </c>
      <c r="HD13" s="119">
        <f t="shared" si="22"/>
        <v>0</v>
      </c>
      <c r="HE13" s="119">
        <f t="shared" si="22"/>
        <v>73.256460949539786</v>
      </c>
      <c r="HF13" s="119">
        <f t="shared" si="22"/>
        <v>2122.9931462905151</v>
      </c>
      <c r="HG13" s="119">
        <f t="shared" si="22"/>
        <v>408.16472088572249</v>
      </c>
      <c r="HH13" s="119">
        <f t="shared" si="22"/>
        <v>5.4324472815009708</v>
      </c>
      <c r="HI13" s="119">
        <f t="shared" si="22"/>
        <v>263.11414853294247</v>
      </c>
      <c r="HJ13" s="98">
        <f t="shared" si="44"/>
        <v>-2011.826269938648</v>
      </c>
      <c r="HK13" s="119">
        <f t="shared" si="23"/>
        <v>0</v>
      </c>
      <c r="HL13" s="119">
        <f t="shared" si="23"/>
        <v>1599.4599231818597</v>
      </c>
      <c r="HM13" s="119">
        <f t="shared" si="23"/>
        <v>1461.8782104953038</v>
      </c>
      <c r="HN13" s="119">
        <f t="shared" si="23"/>
        <v>879.02314649399534</v>
      </c>
      <c r="HO13" s="119">
        <f t="shared" si="23"/>
        <v>0</v>
      </c>
      <c r="HP13" s="119">
        <f t="shared" si="23"/>
        <v>2540.7900373283092</v>
      </c>
      <c r="HQ13" s="119">
        <f t="shared" si="23"/>
        <v>0</v>
      </c>
      <c r="HR13" s="119">
        <f t="shared" si="23"/>
        <v>0</v>
      </c>
      <c r="HS13" s="119">
        <f t="shared" si="23"/>
        <v>746.20313398299243</v>
      </c>
      <c r="HT13" s="119">
        <f t="shared" si="23"/>
        <v>1317.3594016139048</v>
      </c>
      <c r="HU13" s="119">
        <f t="shared" si="23"/>
        <v>0</v>
      </c>
      <c r="HV13" s="119">
        <f t="shared" si="23"/>
        <v>59.889860964356075</v>
      </c>
      <c r="HW13" s="98">
        <f t="shared" si="45"/>
        <v>8604.6037140607223</v>
      </c>
      <c r="HX13" s="119">
        <f t="shared" si="24"/>
        <v>369.29160257438127</v>
      </c>
      <c r="HY13" s="119">
        <f t="shared" si="24"/>
        <v>0</v>
      </c>
      <c r="HZ13" s="119">
        <f t="shared" si="24"/>
        <v>57.533181943460214</v>
      </c>
      <c r="IA13" s="119">
        <f t="shared" si="24"/>
        <v>510.83737022941887</v>
      </c>
      <c r="IB13" s="119">
        <f t="shared" si="24"/>
        <v>3951.1476187667977</v>
      </c>
      <c r="IC13" s="119">
        <f t="shared" si="24"/>
        <v>98.18287367055369</v>
      </c>
      <c r="ID13" s="119">
        <f t="shared" si="24"/>
        <v>21277.469908693318</v>
      </c>
      <c r="IE13" s="119">
        <f t="shared" si="24"/>
        <v>0</v>
      </c>
      <c r="IF13" s="119">
        <f t="shared" si="24"/>
        <v>0</v>
      </c>
      <c r="IG13" s="119">
        <f t="shared" si="24"/>
        <v>-32857.24</v>
      </c>
      <c r="IH13" s="98">
        <f t="shared" si="46"/>
        <v>-6592.7774441220681</v>
      </c>
      <c r="II13" s="96">
        <f t="shared" si="47"/>
        <v>-6532.8875831577125</v>
      </c>
    </row>
    <row r="14" spans="2:243" x14ac:dyDescent="0.2">
      <c r="B14" s="101" t="s">
        <v>215</v>
      </c>
      <c r="C14" s="89" t="s">
        <v>216</v>
      </c>
      <c r="D14" s="89" t="str">
        <f>_xlfn.IFNA(INDEX('4. WIP Report (Oct-25)'!D:D,MATCH('7. POC Lookback Summary'!$B14,'4. WIP Report (Oct-25)'!$B:$B,0)),INDEX('5. Completed Jobs'!D:D,MATCH('7. POC Lookback Summary'!$B14,'5. Completed Jobs'!$B:$B,0)))</f>
        <v>ABC Construction Company</v>
      </c>
      <c r="E14" s="89" t="str">
        <f>_xlfn.IFNA(INDEX('4. WIP Report (Oct-25)'!E:E,MATCH('7. POC Lookback Summary'!$B14,'4. WIP Report (Oct-25)'!$B:$B,0)),INDEX('5. Completed Jobs'!E:E,MATCH('7. POC Lookback Summary'!$B14,'5. Completed Jobs'!$B:$B,0)))</f>
        <v>Fire Alarm Installation</v>
      </c>
      <c r="F14" s="89" t="str">
        <f>_xlfn.IFNA(INDEX('4. WIP Report (Oct-25)'!F:F,MATCH('7. POC Lookback Summary'!$B14,'4. WIP Report (Oct-25)'!$B:$B,0)),INDEX('5. Completed Jobs'!F:F,MATCH('7. POC Lookback Summary'!$B14,'5. Completed Jobs'!$B:$B,0)))</f>
        <v>Commercial</v>
      </c>
      <c r="G14" s="89" t="str">
        <f>_xlfn.IFNA(INDEX('4. WIP Report (Oct-25)'!G:G,MATCH('7. POC Lookback Summary'!$B14,'4. WIP Report (Oct-25)'!$B:$B,0)),INDEX('5. Completed Jobs'!G:G,MATCH('7. POC Lookback Summary'!$B14,'5. Completed Jobs'!$B:$B,0)))</f>
        <v>General Contractor</v>
      </c>
      <c r="H14" s="89" t="str">
        <f>_xlfn.IFNA(INDEX('4. WIP Report (Oct-25)'!H:H,MATCH('7. POC Lookback Summary'!$B14,'4. WIP Report (Oct-25)'!$B:$B,0)),INDEX('5. Completed Jobs'!H:H,MATCH('7. POC Lookback Summary'!$B14,'5. Completed Jobs'!$B:$B,0)))</f>
        <v>New Construction</v>
      </c>
      <c r="J14" s="95"/>
      <c r="K14" s="119">
        <v>363.89600000000024</v>
      </c>
      <c r="L14" s="119">
        <v>893.39900000000057</v>
      </c>
      <c r="M14" s="119">
        <v>10818.548000000006</v>
      </c>
      <c r="N14" s="119">
        <v>0</v>
      </c>
      <c r="O14" s="119">
        <v>0</v>
      </c>
      <c r="P14" s="119">
        <v>92.222000000000051</v>
      </c>
      <c r="Q14" s="119">
        <v>0</v>
      </c>
      <c r="R14" s="119">
        <v>0</v>
      </c>
      <c r="S14" s="119">
        <v>0</v>
      </c>
      <c r="T14" s="119">
        <v>17.01700000000001</v>
      </c>
      <c r="U14" s="119">
        <v>0</v>
      </c>
      <c r="V14" s="119">
        <v>0</v>
      </c>
      <c r="W14" s="98">
        <f t="shared" si="25"/>
        <v>12185.082000000006</v>
      </c>
      <c r="X14" s="119">
        <v>2222.7660000000014</v>
      </c>
      <c r="Y14" s="119">
        <v>0</v>
      </c>
      <c r="Z14" s="119">
        <v>1617.9020000000007</v>
      </c>
      <c r="AA14" s="119">
        <v>784.53700000000038</v>
      </c>
      <c r="AB14" s="119">
        <v>629.34300000000042</v>
      </c>
      <c r="AC14" s="119">
        <v>21085.220000000012</v>
      </c>
      <c r="AD14" s="119">
        <v>19627.088000000014</v>
      </c>
      <c r="AE14" s="119">
        <v>1579.3830000000005</v>
      </c>
      <c r="AF14" s="119">
        <v>0</v>
      </c>
      <c r="AG14" s="119">
        <v>147.86200000000008</v>
      </c>
      <c r="AH14" s="119">
        <v>0</v>
      </c>
      <c r="AI14" s="119">
        <v>39.416000000000025</v>
      </c>
      <c r="AJ14" s="98">
        <f t="shared" si="26"/>
        <v>47733.517000000029</v>
      </c>
      <c r="AK14" s="119">
        <v>9063.8340000000062</v>
      </c>
      <c r="AL14" s="119">
        <v>903.65600000000063</v>
      </c>
      <c r="AM14" s="119">
        <v>0</v>
      </c>
      <c r="AN14" s="119">
        <v>11831.23500000001</v>
      </c>
      <c r="AO14" s="119">
        <v>5295.1340000000037</v>
      </c>
      <c r="AP14" s="119">
        <v>47246.914000000026</v>
      </c>
      <c r="AQ14" s="119">
        <v>0</v>
      </c>
      <c r="AR14" s="119">
        <v>78.845000000000041</v>
      </c>
      <c r="AS14" s="119">
        <v>19590.402000000013</v>
      </c>
      <c r="AT14" s="119">
        <v>1754.4800000000009</v>
      </c>
      <c r="AU14" s="98">
        <f t="shared" si="27"/>
        <v>95764.500000000058</v>
      </c>
      <c r="AV14" s="96">
        <f t="shared" si="28"/>
        <v>95803.916000000056</v>
      </c>
      <c r="AW14" s="95"/>
      <c r="AX14" s="119">
        <v>279.92</v>
      </c>
      <c r="AY14" s="119">
        <v>687.23</v>
      </c>
      <c r="AZ14" s="119">
        <v>8321.9599999999991</v>
      </c>
      <c r="BA14" s="119">
        <v>0</v>
      </c>
      <c r="BB14" s="119">
        <v>0</v>
      </c>
      <c r="BC14" s="119">
        <v>70.94</v>
      </c>
      <c r="BD14" s="119">
        <v>0</v>
      </c>
      <c r="BE14" s="119">
        <v>0</v>
      </c>
      <c r="BF14" s="119">
        <v>0</v>
      </c>
      <c r="BG14" s="119">
        <v>13.09</v>
      </c>
      <c r="BH14" s="119">
        <v>0</v>
      </c>
      <c r="BI14" s="119">
        <v>0</v>
      </c>
      <c r="BJ14" s="98">
        <f t="shared" si="29"/>
        <v>9373.14</v>
      </c>
      <c r="BK14" s="119">
        <v>1709.8200000000002</v>
      </c>
      <c r="BL14" s="119">
        <v>0</v>
      </c>
      <c r="BM14" s="119">
        <v>1244.54</v>
      </c>
      <c r="BN14" s="119">
        <v>603.49</v>
      </c>
      <c r="BO14" s="119">
        <v>484.11</v>
      </c>
      <c r="BP14" s="119">
        <v>16219.4</v>
      </c>
      <c r="BQ14" s="119">
        <v>15097.760000000002</v>
      </c>
      <c r="BR14" s="119">
        <v>1214.9099999999999</v>
      </c>
      <c r="BS14" s="119">
        <v>0</v>
      </c>
      <c r="BT14" s="119">
        <v>113.74</v>
      </c>
      <c r="BU14" s="119">
        <v>0</v>
      </c>
      <c r="BV14" s="119">
        <v>30.32</v>
      </c>
      <c r="BW14" s="98">
        <f t="shared" si="30"/>
        <v>36718.089999999997</v>
      </c>
      <c r="BX14" s="119">
        <v>6972.18</v>
      </c>
      <c r="BY14" s="119">
        <v>695.12</v>
      </c>
      <c r="BZ14" s="119">
        <v>0</v>
      </c>
      <c r="CA14" s="119">
        <v>9100.9500000000007</v>
      </c>
      <c r="CB14" s="119">
        <v>4073.1800000000003</v>
      </c>
      <c r="CC14" s="119">
        <v>36343.78</v>
      </c>
      <c r="CD14" s="119">
        <v>0</v>
      </c>
      <c r="CE14" s="119">
        <v>60.65</v>
      </c>
      <c r="CF14" s="119">
        <v>15069.54</v>
      </c>
      <c r="CG14" s="119">
        <v>1349.6</v>
      </c>
      <c r="CH14" s="98">
        <f t="shared" si="31"/>
        <v>73665</v>
      </c>
      <c r="CI14" s="96">
        <f t="shared" si="32"/>
        <v>73695.320000000007</v>
      </c>
      <c r="CJ14" s="95"/>
      <c r="CK14" s="119">
        <f t="shared" si="33"/>
        <v>83.976000000000226</v>
      </c>
      <c r="CL14" s="119">
        <f t="shared" si="18"/>
        <v>206.16900000000055</v>
      </c>
      <c r="CM14" s="119">
        <f t="shared" si="18"/>
        <v>2496.588000000007</v>
      </c>
      <c r="CN14" s="119">
        <f t="shared" si="18"/>
        <v>0</v>
      </c>
      <c r="CO14" s="119">
        <f t="shared" si="18"/>
        <v>0</v>
      </c>
      <c r="CP14" s="119">
        <f t="shared" si="18"/>
        <v>21.282000000000053</v>
      </c>
      <c r="CQ14" s="119">
        <f t="shared" si="18"/>
        <v>0</v>
      </c>
      <c r="CR14" s="119">
        <f t="shared" si="18"/>
        <v>0</v>
      </c>
      <c r="CS14" s="119">
        <f t="shared" si="18"/>
        <v>0</v>
      </c>
      <c r="CT14" s="119">
        <f t="shared" si="18"/>
        <v>3.9270000000000103</v>
      </c>
      <c r="CU14" s="119">
        <f t="shared" si="18"/>
        <v>0</v>
      </c>
      <c r="CV14" s="119">
        <f t="shared" si="18"/>
        <v>0</v>
      </c>
      <c r="CW14" s="98">
        <f t="shared" si="34"/>
        <v>2811.9420000000082</v>
      </c>
      <c r="CX14" s="119">
        <f t="shared" si="19"/>
        <v>512.94600000000128</v>
      </c>
      <c r="CY14" s="119">
        <f t="shared" si="19"/>
        <v>0</v>
      </c>
      <c r="CZ14" s="119">
        <f t="shared" si="19"/>
        <v>373.36200000000076</v>
      </c>
      <c r="DA14" s="119">
        <f t="shared" si="19"/>
        <v>181.04700000000037</v>
      </c>
      <c r="DB14" s="119">
        <f t="shared" si="19"/>
        <v>145.2330000000004</v>
      </c>
      <c r="DC14" s="119">
        <f t="shared" si="19"/>
        <v>4865.8200000000124</v>
      </c>
      <c r="DD14" s="119">
        <f t="shared" si="19"/>
        <v>4529.3280000000123</v>
      </c>
      <c r="DE14" s="119">
        <f t="shared" si="19"/>
        <v>364.47300000000064</v>
      </c>
      <c r="DF14" s="119">
        <f t="shared" si="19"/>
        <v>0</v>
      </c>
      <c r="DG14" s="119">
        <f t="shared" si="19"/>
        <v>34.122000000000085</v>
      </c>
      <c r="DH14" s="119">
        <f t="shared" si="19"/>
        <v>0</v>
      </c>
      <c r="DI14" s="119">
        <f t="shared" si="19"/>
        <v>9.096000000000025</v>
      </c>
      <c r="DJ14" s="98">
        <f t="shared" si="35"/>
        <v>11015.427000000025</v>
      </c>
      <c r="DK14" s="119">
        <f t="shared" si="20"/>
        <v>2091.6540000000059</v>
      </c>
      <c r="DL14" s="119">
        <f t="shared" si="20"/>
        <v>208.53600000000063</v>
      </c>
      <c r="DM14" s="119">
        <f t="shared" si="20"/>
        <v>0</v>
      </c>
      <c r="DN14" s="119">
        <f t="shared" si="20"/>
        <v>2730.2850000000089</v>
      </c>
      <c r="DO14" s="119">
        <f t="shared" si="20"/>
        <v>1221.9540000000034</v>
      </c>
      <c r="DP14" s="119">
        <f t="shared" si="20"/>
        <v>10903.134000000027</v>
      </c>
      <c r="DQ14" s="119">
        <f t="shared" si="20"/>
        <v>0</v>
      </c>
      <c r="DR14" s="119">
        <f t="shared" si="20"/>
        <v>18.195000000000043</v>
      </c>
      <c r="DS14" s="119">
        <f t="shared" si="20"/>
        <v>4520.8620000000119</v>
      </c>
      <c r="DT14" s="119">
        <f t="shared" si="20"/>
        <v>404.88000000000102</v>
      </c>
      <c r="DU14" s="98">
        <f t="shared" si="36"/>
        <v>22099.500000000058</v>
      </c>
      <c r="DV14" s="96">
        <f t="shared" si="37"/>
        <v>22108.59600000006</v>
      </c>
      <c r="DW14" s="95"/>
      <c r="DX14" s="162">
        <f t="shared" si="38"/>
        <v>0.23076923076923123</v>
      </c>
      <c r="DY14" s="162">
        <f t="shared" si="21"/>
        <v>0.23076923076923123</v>
      </c>
      <c r="DZ14" s="162">
        <f t="shared" si="21"/>
        <v>0.23076923076923128</v>
      </c>
      <c r="EA14" s="162">
        <f t="shared" si="21"/>
        <v>0</v>
      </c>
      <c r="EB14" s="162">
        <f t="shared" si="21"/>
        <v>0</v>
      </c>
      <c r="EC14" s="162">
        <f t="shared" si="21"/>
        <v>0.23076923076923123</v>
      </c>
      <c r="ED14" s="162">
        <f t="shared" si="21"/>
        <v>0</v>
      </c>
      <c r="EE14" s="162">
        <f t="shared" si="21"/>
        <v>0</v>
      </c>
      <c r="EF14" s="162">
        <f t="shared" si="21"/>
        <v>0</v>
      </c>
      <c r="EG14" s="162">
        <f t="shared" si="21"/>
        <v>0.23076923076923123</v>
      </c>
      <c r="EH14" s="162">
        <f t="shared" si="21"/>
        <v>0</v>
      </c>
      <c r="EI14" s="162">
        <f t="shared" si="21"/>
        <v>0</v>
      </c>
      <c r="EJ14" s="163">
        <f t="shared" si="21"/>
        <v>0.23076923076923134</v>
      </c>
      <c r="EK14" s="162">
        <f t="shared" si="21"/>
        <v>0.2307692307692312</v>
      </c>
      <c r="EL14" s="162">
        <f t="shared" si="21"/>
        <v>0</v>
      </c>
      <c r="EM14" s="162">
        <f t="shared" si="21"/>
        <v>0.23076923076923114</v>
      </c>
      <c r="EN14" s="162">
        <f t="shared" si="21"/>
        <v>0.23076923076923112</v>
      </c>
      <c r="EO14" s="162">
        <f t="shared" si="21"/>
        <v>0.23076923076923125</v>
      </c>
      <c r="EP14" s="162">
        <f t="shared" si="21"/>
        <v>0.23076923076923123</v>
      </c>
      <c r="EQ14" s="162">
        <f t="shared" si="21"/>
        <v>0.23076923076923123</v>
      </c>
      <c r="ER14" s="162">
        <f t="shared" si="21"/>
        <v>0.23076923076923112</v>
      </c>
      <c r="ES14" s="162">
        <f t="shared" si="21"/>
        <v>0</v>
      </c>
      <c r="ET14" s="162">
        <f t="shared" si="21"/>
        <v>0.23076923076923123</v>
      </c>
      <c r="EU14" s="162">
        <f t="shared" si="21"/>
        <v>0</v>
      </c>
      <c r="EV14" s="162">
        <f t="shared" si="21"/>
        <v>0.23076923076923125</v>
      </c>
      <c r="EW14" s="163">
        <f t="shared" si="21"/>
        <v>0.23076923076923114</v>
      </c>
      <c r="EX14" s="162">
        <f t="shared" si="21"/>
        <v>0.23076923076923125</v>
      </c>
      <c r="EY14" s="162">
        <f t="shared" si="21"/>
        <v>0.23076923076923131</v>
      </c>
      <c r="EZ14" s="162">
        <f t="shared" si="21"/>
        <v>0</v>
      </c>
      <c r="FA14" s="162">
        <f t="shared" si="21"/>
        <v>0.23076923076923134</v>
      </c>
      <c r="FB14" s="162">
        <f t="shared" si="21"/>
        <v>0.23076923076923125</v>
      </c>
      <c r="FC14" s="162">
        <f t="shared" si="21"/>
        <v>0.23076923076923123</v>
      </c>
      <c r="FD14" s="162">
        <f t="shared" si="21"/>
        <v>0</v>
      </c>
      <c r="FE14" s="162">
        <f t="shared" si="21"/>
        <v>0.2307692307692312</v>
      </c>
      <c r="FF14" s="162">
        <f t="shared" ref="FF14:FI53" si="48">IFERROR(DS14/AS14,0)</f>
        <v>0.23076923076923123</v>
      </c>
      <c r="FG14" s="162">
        <f t="shared" si="48"/>
        <v>0.23076923076923123</v>
      </c>
      <c r="FH14" s="163">
        <f t="shared" si="48"/>
        <v>0.23076923076923123</v>
      </c>
      <c r="FI14" s="164">
        <f t="shared" si="48"/>
        <v>0.23076923076923125</v>
      </c>
      <c r="FJ14" s="95"/>
      <c r="FK14" s="119">
        <v>0</v>
      </c>
      <c r="FL14" s="119">
        <v>0</v>
      </c>
      <c r="FM14" s="119">
        <v>0</v>
      </c>
      <c r="FN14" s="119">
        <v>0</v>
      </c>
      <c r="FO14" s="119">
        <v>0</v>
      </c>
      <c r="FP14" s="119">
        <v>0</v>
      </c>
      <c r="FQ14" s="119">
        <v>0</v>
      </c>
      <c r="FR14" s="119">
        <v>0</v>
      </c>
      <c r="FS14" s="119">
        <v>0</v>
      </c>
      <c r="FT14" s="119">
        <v>0</v>
      </c>
      <c r="FU14" s="119">
        <v>0</v>
      </c>
      <c r="FV14" s="119">
        <v>0</v>
      </c>
      <c r="FW14" s="98">
        <f t="shared" si="39"/>
        <v>0</v>
      </c>
      <c r="FX14" s="119">
        <v>0</v>
      </c>
      <c r="FY14" s="119">
        <v>0</v>
      </c>
      <c r="FZ14" s="119">
        <v>16705.16</v>
      </c>
      <c r="GA14" s="119">
        <v>0</v>
      </c>
      <c r="GB14" s="119">
        <v>0</v>
      </c>
      <c r="GC14" s="119">
        <v>0</v>
      </c>
      <c r="GD14" s="119">
        <v>0</v>
      </c>
      <c r="GE14" s="119">
        <v>0</v>
      </c>
      <c r="GF14" s="119">
        <v>0</v>
      </c>
      <c r="GG14" s="119">
        <v>0</v>
      </c>
      <c r="GH14" s="119">
        <v>0</v>
      </c>
      <c r="GI14" s="119">
        <v>0</v>
      </c>
      <c r="GJ14" s="98">
        <f t="shared" si="40"/>
        <v>16705.16</v>
      </c>
      <c r="GK14" s="119">
        <v>0</v>
      </c>
      <c r="GL14" s="119">
        <v>9434.2000000000007</v>
      </c>
      <c r="GM14" s="119">
        <v>0</v>
      </c>
      <c r="GN14" s="119">
        <v>0</v>
      </c>
      <c r="GO14" s="119">
        <v>0</v>
      </c>
      <c r="GP14" s="119">
        <v>0</v>
      </c>
      <c r="GQ14" s="119">
        <v>0</v>
      </c>
      <c r="GR14" s="119">
        <v>0</v>
      </c>
      <c r="GS14" s="119">
        <v>0</v>
      </c>
      <c r="GT14" s="119">
        <v>0</v>
      </c>
      <c r="GU14" s="98">
        <f t="shared" si="41"/>
        <v>9434.2000000000007</v>
      </c>
      <c r="GV14" s="96">
        <f t="shared" si="42"/>
        <v>9434.2000000000007</v>
      </c>
      <c r="GW14" s="95"/>
      <c r="GX14" s="119">
        <f t="shared" si="43"/>
        <v>363.89600000000024</v>
      </c>
      <c r="GY14" s="119">
        <f t="shared" si="22"/>
        <v>893.39900000000057</v>
      </c>
      <c r="GZ14" s="119">
        <f t="shared" si="22"/>
        <v>10818.548000000006</v>
      </c>
      <c r="HA14" s="119">
        <f t="shared" si="22"/>
        <v>0</v>
      </c>
      <c r="HB14" s="119">
        <f t="shared" si="22"/>
        <v>0</v>
      </c>
      <c r="HC14" s="119">
        <f t="shared" si="22"/>
        <v>92.222000000000051</v>
      </c>
      <c r="HD14" s="119">
        <f t="shared" si="22"/>
        <v>0</v>
      </c>
      <c r="HE14" s="119">
        <f t="shared" si="22"/>
        <v>0</v>
      </c>
      <c r="HF14" s="119">
        <f t="shared" si="22"/>
        <v>0</v>
      </c>
      <c r="HG14" s="119">
        <f t="shared" si="22"/>
        <v>17.01700000000001</v>
      </c>
      <c r="HH14" s="119">
        <f t="shared" si="22"/>
        <v>0</v>
      </c>
      <c r="HI14" s="119">
        <f t="shared" si="22"/>
        <v>0</v>
      </c>
      <c r="HJ14" s="98">
        <f t="shared" si="44"/>
        <v>12185.082000000006</v>
      </c>
      <c r="HK14" s="119">
        <f t="shared" si="23"/>
        <v>2222.7660000000014</v>
      </c>
      <c r="HL14" s="119">
        <f t="shared" si="23"/>
        <v>0</v>
      </c>
      <c r="HM14" s="119">
        <f t="shared" si="23"/>
        <v>-15087.258</v>
      </c>
      <c r="HN14" s="119">
        <f t="shared" si="23"/>
        <v>784.53700000000038</v>
      </c>
      <c r="HO14" s="119">
        <f t="shared" si="23"/>
        <v>629.34300000000042</v>
      </c>
      <c r="HP14" s="119">
        <f t="shared" si="23"/>
        <v>21085.220000000012</v>
      </c>
      <c r="HQ14" s="119">
        <f t="shared" si="23"/>
        <v>19627.088000000014</v>
      </c>
      <c r="HR14" s="119">
        <f t="shared" si="23"/>
        <v>1579.3830000000005</v>
      </c>
      <c r="HS14" s="119">
        <f t="shared" si="23"/>
        <v>0</v>
      </c>
      <c r="HT14" s="119">
        <f t="shared" si="23"/>
        <v>147.86200000000008</v>
      </c>
      <c r="HU14" s="119">
        <f t="shared" si="23"/>
        <v>0</v>
      </c>
      <c r="HV14" s="119">
        <f t="shared" si="23"/>
        <v>39.416000000000025</v>
      </c>
      <c r="HW14" s="98">
        <f t="shared" si="45"/>
        <v>31028.357000000033</v>
      </c>
      <c r="HX14" s="119">
        <f t="shared" si="24"/>
        <v>9063.8340000000062</v>
      </c>
      <c r="HY14" s="119">
        <f t="shared" si="24"/>
        <v>-8530.5439999999999</v>
      </c>
      <c r="HZ14" s="119">
        <f t="shared" si="24"/>
        <v>0</v>
      </c>
      <c r="IA14" s="119">
        <f t="shared" si="24"/>
        <v>11831.23500000001</v>
      </c>
      <c r="IB14" s="119">
        <f t="shared" si="24"/>
        <v>5295.1340000000037</v>
      </c>
      <c r="IC14" s="119">
        <f t="shared" si="24"/>
        <v>47246.914000000026</v>
      </c>
      <c r="ID14" s="119">
        <f t="shared" si="24"/>
        <v>0</v>
      </c>
      <c r="IE14" s="119">
        <f t="shared" si="24"/>
        <v>78.845000000000041</v>
      </c>
      <c r="IF14" s="119">
        <f t="shared" si="24"/>
        <v>19590.402000000013</v>
      </c>
      <c r="IG14" s="119">
        <f t="shared" si="24"/>
        <v>1754.4800000000009</v>
      </c>
      <c r="IH14" s="98">
        <f t="shared" si="46"/>
        <v>86330.300000000061</v>
      </c>
      <c r="II14" s="96">
        <f t="shared" si="47"/>
        <v>86369.716000000059</v>
      </c>
    </row>
    <row r="15" spans="2:243" x14ac:dyDescent="0.2">
      <c r="B15" s="101" t="s">
        <v>281</v>
      </c>
      <c r="C15" s="89" t="s">
        <v>282</v>
      </c>
      <c r="D15" s="89" t="str">
        <f>_xlfn.IFNA(INDEX('4. WIP Report (Oct-25)'!D:D,MATCH('7. POC Lookback Summary'!$B15,'4. WIP Report (Oct-25)'!$B:$B,0)),INDEX('5. Completed Jobs'!D:D,MATCH('7. POC Lookback Summary'!$B15,'5. Completed Jobs'!$B:$B,0)))</f>
        <v>General Contractor - Smith Bros</v>
      </c>
      <c r="E15" s="89" t="str">
        <f>_xlfn.IFNA(INDEX('4. WIP Report (Oct-25)'!E:E,MATCH('7. POC Lookback Summary'!$B15,'4. WIP Report (Oct-25)'!$B:$B,0)),INDEX('5. Completed Jobs'!E:E,MATCH('7. POC Lookback Summary'!$B15,'5. Completed Jobs'!$B:$B,0)))</f>
        <v>Fire Alarm Installation</v>
      </c>
      <c r="F15" s="89" t="str">
        <f>_xlfn.IFNA(INDEX('4. WIP Report (Oct-25)'!F:F,MATCH('7. POC Lookback Summary'!$B15,'4. WIP Report (Oct-25)'!$B:$B,0)),INDEX('5. Completed Jobs'!F:F,MATCH('7. POC Lookback Summary'!$B15,'5. Completed Jobs'!$B:$B,0)))</f>
        <v>Commercial</v>
      </c>
      <c r="G15" s="89" t="str">
        <f>_xlfn.IFNA(INDEX('4. WIP Report (Oct-25)'!G:G,MATCH('7. POC Lookback Summary'!$B15,'4. WIP Report (Oct-25)'!$B:$B,0)),INDEX('5. Completed Jobs'!G:G,MATCH('7. POC Lookback Summary'!$B15,'5. Completed Jobs'!$B:$B,0)))</f>
        <v>General Contractor</v>
      </c>
      <c r="H15" s="89" t="str">
        <f>_xlfn.IFNA(INDEX('4. WIP Report (Oct-25)'!H:H,MATCH('7. POC Lookback Summary'!$B15,'4. WIP Report (Oct-25)'!$B:$B,0)),INDEX('5. Completed Jobs'!H:H,MATCH('7. POC Lookback Summary'!$B15,'5. Completed Jobs'!$B:$B,0)))</f>
        <v>New Construction</v>
      </c>
      <c r="J15" s="95"/>
      <c r="K15" s="119">
        <v>0</v>
      </c>
      <c r="L15" s="119">
        <v>0</v>
      </c>
      <c r="M15" s="119">
        <v>0</v>
      </c>
      <c r="N15" s="119">
        <v>0</v>
      </c>
      <c r="O15" s="119">
        <v>21731.598412258354</v>
      </c>
      <c r="P15" s="119">
        <v>0</v>
      </c>
      <c r="Q15" s="119">
        <v>349.61079557871415</v>
      </c>
      <c r="R15" s="119">
        <v>49992.799550461161</v>
      </c>
      <c r="S15" s="119">
        <v>837.06872168743371</v>
      </c>
      <c r="T15" s="119">
        <v>5435.7478260752896</v>
      </c>
      <c r="U15" s="119">
        <v>12117.473113543152</v>
      </c>
      <c r="V15" s="119">
        <v>12430.983540359715</v>
      </c>
      <c r="W15" s="98">
        <f t="shared" si="25"/>
        <v>102895.28195996382</v>
      </c>
      <c r="X15" s="119">
        <v>27796.15152084094</v>
      </c>
      <c r="Y15" s="119">
        <v>389.72612930775978</v>
      </c>
      <c r="Z15" s="119">
        <v>56171.864950449934</v>
      </c>
      <c r="AA15" s="119">
        <v>673.79347970043693</v>
      </c>
      <c r="AB15" s="119">
        <v>0</v>
      </c>
      <c r="AC15" s="119">
        <v>18644.948251214559</v>
      </c>
      <c r="AD15" s="119">
        <v>702.13844604790631</v>
      </c>
      <c r="AE15" s="119">
        <v>0</v>
      </c>
      <c r="AF15" s="119">
        <v>0</v>
      </c>
      <c r="AG15" s="119">
        <v>0</v>
      </c>
      <c r="AH15" s="119">
        <v>0</v>
      </c>
      <c r="AI15" s="119">
        <v>42787.927759401085</v>
      </c>
      <c r="AJ15" s="98">
        <f t="shared" si="26"/>
        <v>147166.55053696263</v>
      </c>
      <c r="AK15" s="119">
        <v>19425.361356146943</v>
      </c>
      <c r="AL15" s="119">
        <v>0</v>
      </c>
      <c r="AM15" s="119">
        <v>0</v>
      </c>
      <c r="AN15" s="119">
        <v>3569.8185946665167</v>
      </c>
      <c r="AO15" s="119">
        <v>0</v>
      </c>
      <c r="AP15" s="119">
        <v>0</v>
      </c>
      <c r="AQ15" s="119">
        <v>0</v>
      </c>
      <c r="AR15" s="119">
        <v>966.92023822354008</v>
      </c>
      <c r="AS15" s="119">
        <v>28773.229277271319</v>
      </c>
      <c r="AT15" s="119">
        <v>200.50803676545218</v>
      </c>
      <c r="AU15" s="98">
        <f t="shared" si="27"/>
        <v>52935.837503073773</v>
      </c>
      <c r="AV15" s="96">
        <f t="shared" si="28"/>
        <v>95723.765262474859</v>
      </c>
      <c r="AW15" s="95"/>
      <c r="AX15" s="119">
        <v>0</v>
      </c>
      <c r="AY15" s="119">
        <v>0</v>
      </c>
      <c r="AZ15" s="119">
        <v>0</v>
      </c>
      <c r="BA15" s="119">
        <v>0</v>
      </c>
      <c r="BB15" s="119">
        <v>6332.8</v>
      </c>
      <c r="BC15" s="119">
        <v>0</v>
      </c>
      <c r="BD15" s="119">
        <v>101.88</v>
      </c>
      <c r="BE15" s="119">
        <v>14568.390000000001</v>
      </c>
      <c r="BF15" s="119">
        <v>243.93</v>
      </c>
      <c r="BG15" s="119">
        <v>1584.03</v>
      </c>
      <c r="BH15" s="119">
        <v>3531.1499999999996</v>
      </c>
      <c r="BI15" s="119">
        <v>3622.51</v>
      </c>
      <c r="BJ15" s="98">
        <f t="shared" si="29"/>
        <v>29984.690000000002</v>
      </c>
      <c r="BK15" s="119">
        <v>8100.07</v>
      </c>
      <c r="BL15" s="119">
        <v>113.57000000000001</v>
      </c>
      <c r="BM15" s="119">
        <v>16369.03</v>
      </c>
      <c r="BN15" s="119">
        <v>196.35</v>
      </c>
      <c r="BO15" s="119">
        <v>0</v>
      </c>
      <c r="BP15" s="119">
        <v>5433.3200000000006</v>
      </c>
      <c r="BQ15" s="119">
        <v>204.61</v>
      </c>
      <c r="BR15" s="119">
        <v>0</v>
      </c>
      <c r="BS15" s="119">
        <v>0</v>
      </c>
      <c r="BT15" s="119">
        <v>0</v>
      </c>
      <c r="BU15" s="119">
        <v>0</v>
      </c>
      <c r="BV15" s="119">
        <v>12468.82</v>
      </c>
      <c r="BW15" s="98">
        <f t="shared" si="30"/>
        <v>42885.77</v>
      </c>
      <c r="BX15" s="119">
        <v>5660.74</v>
      </c>
      <c r="BY15" s="119">
        <v>0</v>
      </c>
      <c r="BZ15" s="119">
        <v>0</v>
      </c>
      <c r="CA15" s="119">
        <v>1040.28</v>
      </c>
      <c r="CB15" s="119">
        <v>0</v>
      </c>
      <c r="CC15" s="119">
        <v>0</v>
      </c>
      <c r="CD15" s="119">
        <v>0</v>
      </c>
      <c r="CE15" s="119">
        <v>281.77</v>
      </c>
      <c r="CF15" s="119">
        <v>8384.7999999999993</v>
      </c>
      <c r="CG15" s="119">
        <v>58.43</v>
      </c>
      <c r="CH15" s="98">
        <f t="shared" si="31"/>
        <v>15426.019999999999</v>
      </c>
      <c r="CI15" s="96">
        <f t="shared" si="32"/>
        <v>27894.839999999997</v>
      </c>
      <c r="CJ15" s="95"/>
      <c r="CK15" s="119">
        <f t="shared" si="33"/>
        <v>0</v>
      </c>
      <c r="CL15" s="119">
        <f t="shared" si="18"/>
        <v>0</v>
      </c>
      <c r="CM15" s="119">
        <f t="shared" si="18"/>
        <v>0</v>
      </c>
      <c r="CN15" s="119">
        <f t="shared" si="18"/>
        <v>0</v>
      </c>
      <c r="CO15" s="119">
        <f t="shared" si="18"/>
        <v>15398.798412258355</v>
      </c>
      <c r="CP15" s="119">
        <f t="shared" si="18"/>
        <v>0</v>
      </c>
      <c r="CQ15" s="119">
        <f t="shared" si="18"/>
        <v>247.73079557871415</v>
      </c>
      <c r="CR15" s="119">
        <f t="shared" si="18"/>
        <v>35424.409550461161</v>
      </c>
      <c r="CS15" s="119">
        <f t="shared" si="18"/>
        <v>593.13872168743364</v>
      </c>
      <c r="CT15" s="119">
        <f t="shared" si="18"/>
        <v>3851.7178260752898</v>
      </c>
      <c r="CU15" s="119">
        <f t="shared" si="18"/>
        <v>8586.3231135431524</v>
      </c>
      <c r="CV15" s="119">
        <f t="shared" si="18"/>
        <v>8808.4735403597151</v>
      </c>
      <c r="CW15" s="98">
        <f t="shared" si="34"/>
        <v>72910.591959963829</v>
      </c>
      <c r="CX15" s="119">
        <f t="shared" si="19"/>
        <v>19696.08152084094</v>
      </c>
      <c r="CY15" s="119">
        <f t="shared" si="19"/>
        <v>276.15612930775978</v>
      </c>
      <c r="CZ15" s="119">
        <f t="shared" si="19"/>
        <v>39802.834950449935</v>
      </c>
      <c r="DA15" s="119">
        <f t="shared" si="19"/>
        <v>477.44347970043691</v>
      </c>
      <c r="DB15" s="119">
        <f t="shared" si="19"/>
        <v>0</v>
      </c>
      <c r="DC15" s="119">
        <f t="shared" si="19"/>
        <v>13211.628251214559</v>
      </c>
      <c r="DD15" s="119">
        <f t="shared" si="19"/>
        <v>497.5284460479063</v>
      </c>
      <c r="DE15" s="119">
        <f t="shared" si="19"/>
        <v>0</v>
      </c>
      <c r="DF15" s="119">
        <f t="shared" si="19"/>
        <v>0</v>
      </c>
      <c r="DG15" s="119">
        <f t="shared" si="19"/>
        <v>0</v>
      </c>
      <c r="DH15" s="119">
        <f t="shared" si="19"/>
        <v>0</v>
      </c>
      <c r="DI15" s="119">
        <f t="shared" si="19"/>
        <v>30319.107759401086</v>
      </c>
      <c r="DJ15" s="98">
        <f t="shared" si="35"/>
        <v>104280.78053696261</v>
      </c>
      <c r="DK15" s="119">
        <f t="shared" si="20"/>
        <v>13764.621356146943</v>
      </c>
      <c r="DL15" s="119">
        <f t="shared" si="20"/>
        <v>0</v>
      </c>
      <c r="DM15" s="119">
        <f t="shared" si="20"/>
        <v>0</v>
      </c>
      <c r="DN15" s="119">
        <f t="shared" si="20"/>
        <v>2529.5385946665165</v>
      </c>
      <c r="DO15" s="119">
        <f t="shared" si="20"/>
        <v>0</v>
      </c>
      <c r="DP15" s="119">
        <f t="shared" si="20"/>
        <v>0</v>
      </c>
      <c r="DQ15" s="119">
        <f t="shared" si="20"/>
        <v>0</v>
      </c>
      <c r="DR15" s="119">
        <f t="shared" si="20"/>
        <v>685.1502382235401</v>
      </c>
      <c r="DS15" s="119">
        <f t="shared" si="20"/>
        <v>20388.42927727132</v>
      </c>
      <c r="DT15" s="119">
        <f t="shared" si="20"/>
        <v>142.07803676545217</v>
      </c>
      <c r="DU15" s="98">
        <f t="shared" si="36"/>
        <v>37509.817503073777</v>
      </c>
      <c r="DV15" s="96">
        <f t="shared" si="37"/>
        <v>67828.925262474862</v>
      </c>
      <c r="DW15" s="95"/>
      <c r="DX15" s="162">
        <f t="shared" si="38"/>
        <v>0</v>
      </c>
      <c r="DY15" s="162">
        <f t="shared" si="38"/>
        <v>0</v>
      </c>
      <c r="DZ15" s="162">
        <f t="shared" si="38"/>
        <v>0</v>
      </c>
      <c r="EA15" s="162">
        <f t="shared" si="38"/>
        <v>0</v>
      </c>
      <c r="EB15" s="162">
        <f t="shared" si="38"/>
        <v>0.70859023437374968</v>
      </c>
      <c r="EC15" s="162">
        <f t="shared" si="38"/>
        <v>0</v>
      </c>
      <c r="ED15" s="162">
        <f t="shared" si="38"/>
        <v>0.70859023437374968</v>
      </c>
      <c r="EE15" s="162">
        <f t="shared" si="38"/>
        <v>0.70859023437374968</v>
      </c>
      <c r="EF15" s="162">
        <f t="shared" si="38"/>
        <v>0.70859023437374957</v>
      </c>
      <c r="EG15" s="162">
        <f t="shared" si="38"/>
        <v>0.70859023437374968</v>
      </c>
      <c r="EH15" s="162">
        <f t="shared" si="38"/>
        <v>0.70859023437374968</v>
      </c>
      <c r="EI15" s="162">
        <f t="shared" si="38"/>
        <v>0.70859023437374968</v>
      </c>
      <c r="EJ15" s="163">
        <f t="shared" si="38"/>
        <v>0.70859023437374979</v>
      </c>
      <c r="EK15" s="162">
        <f t="shared" si="38"/>
        <v>0.70859023437374968</v>
      </c>
      <c r="EL15" s="162">
        <f t="shared" si="38"/>
        <v>0.70859023437374968</v>
      </c>
      <c r="EM15" s="162">
        <f t="shared" si="38"/>
        <v>0.70859023437374968</v>
      </c>
      <c r="EN15" s="162">
        <f t="shared" ref="EN15:FC54" si="49">IFERROR(DA15/AA15,0)</f>
        <v>0.70859023437374957</v>
      </c>
      <c r="EO15" s="162">
        <f t="shared" si="49"/>
        <v>0</v>
      </c>
      <c r="EP15" s="162">
        <f t="shared" si="49"/>
        <v>0.70859023437374968</v>
      </c>
      <c r="EQ15" s="162">
        <f t="shared" si="49"/>
        <v>0.70859023437374968</v>
      </c>
      <c r="ER15" s="162">
        <f t="shared" si="49"/>
        <v>0</v>
      </c>
      <c r="ES15" s="162">
        <f t="shared" si="49"/>
        <v>0</v>
      </c>
      <c r="ET15" s="162">
        <f t="shared" si="49"/>
        <v>0</v>
      </c>
      <c r="EU15" s="162">
        <f t="shared" si="49"/>
        <v>0</v>
      </c>
      <c r="EV15" s="162">
        <f t="shared" si="49"/>
        <v>0.70859023437374968</v>
      </c>
      <c r="EW15" s="163">
        <f t="shared" si="49"/>
        <v>0.70859023437374957</v>
      </c>
      <c r="EX15" s="162">
        <f t="shared" si="49"/>
        <v>0.70859023437374968</v>
      </c>
      <c r="EY15" s="162">
        <f t="shared" si="49"/>
        <v>0</v>
      </c>
      <c r="EZ15" s="162">
        <f t="shared" si="49"/>
        <v>0</v>
      </c>
      <c r="FA15" s="162">
        <f t="shared" si="49"/>
        <v>0.70859023437374957</v>
      </c>
      <c r="FB15" s="162">
        <f t="shared" si="49"/>
        <v>0</v>
      </c>
      <c r="FC15" s="162">
        <f t="shared" si="49"/>
        <v>0</v>
      </c>
      <c r="FD15" s="162">
        <f t="shared" ref="FD15:FE54" si="50">IFERROR(DQ15/AQ15,0)</f>
        <v>0</v>
      </c>
      <c r="FE15" s="162">
        <f t="shared" si="50"/>
        <v>0.70859023437374968</v>
      </c>
      <c r="FF15" s="162">
        <f t="shared" si="48"/>
        <v>0.70859023437374968</v>
      </c>
      <c r="FG15" s="162">
        <f t="shared" si="48"/>
        <v>0.70859023437374968</v>
      </c>
      <c r="FH15" s="163">
        <f t="shared" si="48"/>
        <v>0.70859023437374979</v>
      </c>
      <c r="FI15" s="164">
        <f t="shared" si="48"/>
        <v>0.70859023437374968</v>
      </c>
      <c r="FJ15" s="95"/>
      <c r="FK15" s="119">
        <v>0</v>
      </c>
      <c r="FL15" s="119">
        <v>0</v>
      </c>
      <c r="FM15" s="119">
        <v>63762.13</v>
      </c>
      <c r="FN15" s="119">
        <v>0</v>
      </c>
      <c r="FO15" s="119">
        <v>0</v>
      </c>
      <c r="FP15" s="119">
        <v>28280.66</v>
      </c>
      <c r="FQ15" s="119">
        <v>0</v>
      </c>
      <c r="FR15" s="119">
        <v>114080.82</v>
      </c>
      <c r="FS15" s="119">
        <v>12381.94</v>
      </c>
      <c r="FT15" s="119">
        <v>0</v>
      </c>
      <c r="FU15" s="119">
        <v>0</v>
      </c>
      <c r="FV15" s="119">
        <v>0</v>
      </c>
      <c r="FW15" s="98">
        <f t="shared" si="39"/>
        <v>218505.55</v>
      </c>
      <c r="FX15" s="119">
        <v>0</v>
      </c>
      <c r="FY15" s="119">
        <v>0</v>
      </c>
      <c r="FZ15" s="119">
        <v>0</v>
      </c>
      <c r="GA15" s="119">
        <v>0</v>
      </c>
      <c r="GB15" s="119">
        <v>0</v>
      </c>
      <c r="GC15" s="119">
        <v>0</v>
      </c>
      <c r="GD15" s="119">
        <v>79148.63</v>
      </c>
      <c r="GE15" s="119">
        <v>5343.49</v>
      </c>
      <c r="GF15" s="119">
        <v>0</v>
      </c>
      <c r="GG15" s="119">
        <v>0</v>
      </c>
      <c r="GH15" s="119">
        <v>0</v>
      </c>
      <c r="GI15" s="119">
        <v>0</v>
      </c>
      <c r="GJ15" s="98">
        <f t="shared" si="40"/>
        <v>84492.12000000001</v>
      </c>
      <c r="GK15" s="119">
        <v>0</v>
      </c>
      <c r="GL15" s="119">
        <v>0</v>
      </c>
      <c r="GM15" s="119">
        <v>0</v>
      </c>
      <c r="GN15" s="119">
        <v>0</v>
      </c>
      <c r="GO15" s="119">
        <v>0</v>
      </c>
      <c r="GP15" s="119">
        <v>0</v>
      </c>
      <c r="GQ15" s="119">
        <v>0</v>
      </c>
      <c r="GR15" s="119">
        <v>0</v>
      </c>
      <c r="GS15" s="119">
        <v>0</v>
      </c>
      <c r="GT15" s="119">
        <v>0</v>
      </c>
      <c r="GU15" s="98">
        <f t="shared" si="41"/>
        <v>0</v>
      </c>
      <c r="GV15" s="96">
        <f t="shared" si="42"/>
        <v>0</v>
      </c>
      <c r="GW15" s="95"/>
      <c r="GX15" s="119">
        <f t="shared" si="43"/>
        <v>0</v>
      </c>
      <c r="GY15" s="119">
        <f t="shared" si="22"/>
        <v>0</v>
      </c>
      <c r="GZ15" s="119">
        <f t="shared" si="22"/>
        <v>-63762.13</v>
      </c>
      <c r="HA15" s="119">
        <f t="shared" si="22"/>
        <v>0</v>
      </c>
      <c r="HB15" s="119">
        <f t="shared" si="22"/>
        <v>21731.598412258354</v>
      </c>
      <c r="HC15" s="119">
        <f t="shared" si="22"/>
        <v>-28280.66</v>
      </c>
      <c r="HD15" s="119">
        <f t="shared" si="22"/>
        <v>349.61079557871415</v>
      </c>
      <c r="HE15" s="119">
        <f t="shared" si="22"/>
        <v>-64088.020449538846</v>
      </c>
      <c r="HF15" s="119">
        <f t="shared" si="22"/>
        <v>-11544.871278312567</v>
      </c>
      <c r="HG15" s="119">
        <f t="shared" si="22"/>
        <v>5435.7478260752896</v>
      </c>
      <c r="HH15" s="119">
        <f t="shared" si="22"/>
        <v>12117.473113543152</v>
      </c>
      <c r="HI15" s="119">
        <f t="shared" si="22"/>
        <v>12430.983540359715</v>
      </c>
      <c r="HJ15" s="98">
        <f t="shared" si="44"/>
        <v>-115610.26804003617</v>
      </c>
      <c r="HK15" s="119">
        <f t="shared" si="23"/>
        <v>27796.15152084094</v>
      </c>
      <c r="HL15" s="119">
        <f t="shared" si="23"/>
        <v>389.72612930775978</v>
      </c>
      <c r="HM15" s="119">
        <f t="shared" si="23"/>
        <v>56171.864950449934</v>
      </c>
      <c r="HN15" s="119">
        <f t="shared" si="23"/>
        <v>673.79347970043693</v>
      </c>
      <c r="HO15" s="119">
        <f t="shared" si="23"/>
        <v>0</v>
      </c>
      <c r="HP15" s="119">
        <f t="shared" si="23"/>
        <v>18644.948251214559</v>
      </c>
      <c r="HQ15" s="119">
        <f t="shared" si="23"/>
        <v>-78446.491553952103</v>
      </c>
      <c r="HR15" s="119">
        <f t="shared" si="23"/>
        <v>-5343.49</v>
      </c>
      <c r="HS15" s="119">
        <f t="shared" si="23"/>
        <v>0</v>
      </c>
      <c r="HT15" s="119">
        <f t="shared" si="23"/>
        <v>0</v>
      </c>
      <c r="HU15" s="119">
        <f t="shared" si="23"/>
        <v>0</v>
      </c>
      <c r="HV15" s="119">
        <f t="shared" si="23"/>
        <v>42787.927759401085</v>
      </c>
      <c r="HW15" s="98">
        <f t="shared" si="45"/>
        <v>62674.430536962624</v>
      </c>
      <c r="HX15" s="119">
        <f t="shared" si="24"/>
        <v>19425.361356146943</v>
      </c>
      <c r="HY15" s="119">
        <f t="shared" si="24"/>
        <v>0</v>
      </c>
      <c r="HZ15" s="119">
        <f t="shared" si="24"/>
        <v>0</v>
      </c>
      <c r="IA15" s="119">
        <f t="shared" si="24"/>
        <v>3569.8185946665167</v>
      </c>
      <c r="IB15" s="119">
        <f t="shared" si="24"/>
        <v>0</v>
      </c>
      <c r="IC15" s="119">
        <f t="shared" si="24"/>
        <v>0</v>
      </c>
      <c r="ID15" s="119">
        <f t="shared" si="24"/>
        <v>0</v>
      </c>
      <c r="IE15" s="119">
        <f t="shared" si="24"/>
        <v>966.92023822354008</v>
      </c>
      <c r="IF15" s="119">
        <f t="shared" si="24"/>
        <v>28773.229277271319</v>
      </c>
      <c r="IG15" s="119">
        <f t="shared" si="24"/>
        <v>200.50803676545218</v>
      </c>
      <c r="IH15" s="98">
        <f t="shared" si="46"/>
        <v>52935.837503073773</v>
      </c>
      <c r="II15" s="96">
        <f t="shared" si="47"/>
        <v>95723.765262474859</v>
      </c>
    </row>
    <row r="16" spans="2:243" x14ac:dyDescent="0.2">
      <c r="B16" s="101" t="s">
        <v>283</v>
      </c>
      <c r="C16" s="89" t="s">
        <v>284</v>
      </c>
      <c r="D16" s="89" t="str">
        <f>_xlfn.IFNA(INDEX('4. WIP Report (Oct-25)'!D:D,MATCH('7. POC Lookback Summary'!$B16,'4. WIP Report (Oct-25)'!$B:$B,0)),INDEX('5. Completed Jobs'!D:D,MATCH('7. POC Lookback Summary'!$B16,'5. Completed Jobs'!$B:$B,0)))</f>
        <v>General Contractor - Smith Bros</v>
      </c>
      <c r="E16" s="89" t="str">
        <f>_xlfn.IFNA(INDEX('4. WIP Report (Oct-25)'!E:E,MATCH('7. POC Lookback Summary'!$B16,'4. WIP Report (Oct-25)'!$B:$B,0)),INDEX('5. Completed Jobs'!E:E,MATCH('7. POC Lookback Summary'!$B16,'5. Completed Jobs'!$B:$B,0)))</f>
        <v>Fire Alarm Installation</v>
      </c>
      <c r="F16" s="89" t="str">
        <f>_xlfn.IFNA(INDEX('4. WIP Report (Oct-25)'!F:F,MATCH('7. POC Lookback Summary'!$B16,'4. WIP Report (Oct-25)'!$B:$B,0)),INDEX('5. Completed Jobs'!F:F,MATCH('7. POC Lookback Summary'!$B16,'5. Completed Jobs'!$B:$B,0)))</f>
        <v>Healthcare</v>
      </c>
      <c r="G16" s="89" t="str">
        <f>_xlfn.IFNA(INDEX('4. WIP Report (Oct-25)'!G:G,MATCH('7. POC Lookback Summary'!$B16,'4. WIP Report (Oct-25)'!$B:$B,0)),INDEX('5. Completed Jobs'!G:G,MATCH('7. POC Lookback Summary'!$B16,'5. Completed Jobs'!$B:$B,0)))</f>
        <v>General Contractor</v>
      </c>
      <c r="H16" s="89" t="str">
        <f>_xlfn.IFNA(INDEX('4. WIP Report (Oct-25)'!H:H,MATCH('7. POC Lookback Summary'!$B16,'4. WIP Report (Oct-25)'!$B:$B,0)),INDEX('5. Completed Jobs'!H:H,MATCH('7. POC Lookback Summary'!$B16,'5. Completed Jobs'!$B:$B,0)))</f>
        <v>New Construction</v>
      </c>
      <c r="J16" s="95"/>
      <c r="K16" s="119">
        <v>0</v>
      </c>
      <c r="L16" s="119">
        <v>0</v>
      </c>
      <c r="M16" s="119">
        <v>0</v>
      </c>
      <c r="N16" s="119">
        <v>0</v>
      </c>
      <c r="O16" s="119">
        <v>887.59439405227704</v>
      </c>
      <c r="P16" s="119">
        <v>7013.6514714085515</v>
      </c>
      <c r="Q16" s="119">
        <v>6438.1613102641795</v>
      </c>
      <c r="R16" s="119">
        <v>1077.5570510803434</v>
      </c>
      <c r="S16" s="119">
        <v>2232.9776277130773</v>
      </c>
      <c r="T16" s="119">
        <v>1563.3153432855861</v>
      </c>
      <c r="U16" s="119">
        <v>467.84511658073649</v>
      </c>
      <c r="V16" s="119">
        <v>14262.332106551456</v>
      </c>
      <c r="W16" s="98">
        <f t="shared" si="25"/>
        <v>33943.43442093621</v>
      </c>
      <c r="X16" s="119">
        <v>1924.7880115632695</v>
      </c>
      <c r="Y16" s="119">
        <v>2469.7081973175573</v>
      </c>
      <c r="Z16" s="119">
        <v>1736.2501090443338</v>
      </c>
      <c r="AA16" s="119">
        <v>0</v>
      </c>
      <c r="AB16" s="119">
        <v>0</v>
      </c>
      <c r="AC16" s="119">
        <v>0</v>
      </c>
      <c r="AD16" s="119">
        <v>339.16073601333676</v>
      </c>
      <c r="AE16" s="119">
        <v>0</v>
      </c>
      <c r="AF16" s="119">
        <v>2014.575210774598</v>
      </c>
      <c r="AG16" s="119">
        <v>973.31481825696108</v>
      </c>
      <c r="AH16" s="119">
        <v>0</v>
      </c>
      <c r="AI16" s="119">
        <v>0</v>
      </c>
      <c r="AJ16" s="98">
        <f t="shared" si="26"/>
        <v>9457.7970829700553</v>
      </c>
      <c r="AK16" s="119">
        <v>2743.3855561830851</v>
      </c>
      <c r="AL16" s="119">
        <v>13373.72793503154</v>
      </c>
      <c r="AM16" s="119">
        <v>75219.623825622068</v>
      </c>
      <c r="AN16" s="119">
        <v>0</v>
      </c>
      <c r="AO16" s="119">
        <v>29181.144060178933</v>
      </c>
      <c r="AP16" s="119">
        <v>0</v>
      </c>
      <c r="AQ16" s="119">
        <v>405.91670942172874</v>
      </c>
      <c r="AR16" s="119">
        <v>29996.048309129441</v>
      </c>
      <c r="AS16" s="119">
        <v>0</v>
      </c>
      <c r="AT16" s="119">
        <v>37741.982100526984</v>
      </c>
      <c r="AU16" s="98">
        <f t="shared" si="27"/>
        <v>188661.82849609377</v>
      </c>
      <c r="AV16" s="96">
        <f t="shared" si="28"/>
        <v>188661.82849609377</v>
      </c>
      <c r="AW16" s="95"/>
      <c r="AX16" s="119">
        <v>0</v>
      </c>
      <c r="AY16" s="119">
        <v>0</v>
      </c>
      <c r="AZ16" s="119">
        <v>0</v>
      </c>
      <c r="BA16" s="119">
        <v>0</v>
      </c>
      <c r="BB16" s="119">
        <v>641.66999999999996</v>
      </c>
      <c r="BC16" s="119">
        <v>5070.3900000000003</v>
      </c>
      <c r="BD16" s="119">
        <v>4654.3500000000004</v>
      </c>
      <c r="BE16" s="119">
        <v>779</v>
      </c>
      <c r="BF16" s="119">
        <v>1614.29</v>
      </c>
      <c r="BG16" s="119">
        <v>1130.17</v>
      </c>
      <c r="BH16" s="119">
        <v>338.22</v>
      </c>
      <c r="BI16" s="119">
        <v>10310.69</v>
      </c>
      <c r="BJ16" s="98">
        <f t="shared" si="29"/>
        <v>24538.78</v>
      </c>
      <c r="BK16" s="119">
        <v>1391.4900000000002</v>
      </c>
      <c r="BL16" s="119">
        <v>1785.4299999999998</v>
      </c>
      <c r="BM16" s="119">
        <v>1255.19</v>
      </c>
      <c r="BN16" s="119">
        <v>0</v>
      </c>
      <c r="BO16" s="119">
        <v>0</v>
      </c>
      <c r="BP16" s="119">
        <v>0</v>
      </c>
      <c r="BQ16" s="119">
        <v>245.19</v>
      </c>
      <c r="BR16" s="119">
        <v>0</v>
      </c>
      <c r="BS16" s="119">
        <v>1456.4</v>
      </c>
      <c r="BT16" s="119">
        <v>703.64</v>
      </c>
      <c r="BU16" s="119">
        <v>0</v>
      </c>
      <c r="BV16" s="119">
        <v>0</v>
      </c>
      <c r="BW16" s="98">
        <f t="shared" si="30"/>
        <v>6837.3400000000011</v>
      </c>
      <c r="BX16" s="119">
        <v>1983.28</v>
      </c>
      <c r="BY16" s="119">
        <v>9668.2899999999991</v>
      </c>
      <c r="BZ16" s="119">
        <v>54378.64</v>
      </c>
      <c r="CA16" s="119">
        <v>0</v>
      </c>
      <c r="CB16" s="119">
        <v>21095.97</v>
      </c>
      <c r="CC16" s="119">
        <v>0</v>
      </c>
      <c r="CD16" s="119">
        <v>293.45</v>
      </c>
      <c r="CE16" s="119">
        <v>21685.089999999997</v>
      </c>
      <c r="CF16" s="119">
        <v>0</v>
      </c>
      <c r="CG16" s="119">
        <v>27284.87</v>
      </c>
      <c r="CH16" s="98">
        <f t="shared" si="31"/>
        <v>136389.59</v>
      </c>
      <c r="CI16" s="96">
        <f t="shared" si="32"/>
        <v>136389.59</v>
      </c>
      <c r="CJ16" s="95"/>
      <c r="CK16" s="119">
        <f t="shared" si="33"/>
        <v>0</v>
      </c>
      <c r="CL16" s="119">
        <f t="shared" si="18"/>
        <v>0</v>
      </c>
      <c r="CM16" s="119">
        <f t="shared" si="18"/>
        <v>0</v>
      </c>
      <c r="CN16" s="119">
        <f t="shared" si="18"/>
        <v>0</v>
      </c>
      <c r="CO16" s="119">
        <f t="shared" si="18"/>
        <v>245.92439405227708</v>
      </c>
      <c r="CP16" s="119">
        <f t="shared" si="18"/>
        <v>1943.2614714085512</v>
      </c>
      <c r="CQ16" s="119">
        <f t="shared" si="18"/>
        <v>1783.8113102641792</v>
      </c>
      <c r="CR16" s="119">
        <f t="shared" si="18"/>
        <v>298.5570510803434</v>
      </c>
      <c r="CS16" s="119">
        <f t="shared" si="18"/>
        <v>618.68762771307729</v>
      </c>
      <c r="CT16" s="119">
        <f t="shared" si="18"/>
        <v>433.14534328558602</v>
      </c>
      <c r="CU16" s="119">
        <f t="shared" si="18"/>
        <v>129.62511658073646</v>
      </c>
      <c r="CV16" s="119">
        <f t="shared" si="18"/>
        <v>3951.6421065514551</v>
      </c>
      <c r="CW16" s="98">
        <f t="shared" si="34"/>
        <v>9404.6544209362055</v>
      </c>
      <c r="CX16" s="119">
        <f t="shared" si="19"/>
        <v>533.29801156326926</v>
      </c>
      <c r="CY16" s="119">
        <f t="shared" si="19"/>
        <v>684.27819731755744</v>
      </c>
      <c r="CZ16" s="119">
        <f t="shared" si="19"/>
        <v>481.06010904433379</v>
      </c>
      <c r="DA16" s="119">
        <f t="shared" si="19"/>
        <v>0</v>
      </c>
      <c r="DB16" s="119">
        <f t="shared" si="19"/>
        <v>0</v>
      </c>
      <c r="DC16" s="119">
        <f t="shared" si="19"/>
        <v>0</v>
      </c>
      <c r="DD16" s="119">
        <f t="shared" si="19"/>
        <v>93.970736013336762</v>
      </c>
      <c r="DE16" s="119">
        <f t="shared" si="19"/>
        <v>0</v>
      </c>
      <c r="DF16" s="119">
        <f t="shared" si="19"/>
        <v>558.17521077459787</v>
      </c>
      <c r="DG16" s="119">
        <f t="shared" si="19"/>
        <v>269.67481825696109</v>
      </c>
      <c r="DH16" s="119">
        <f t="shared" si="19"/>
        <v>0</v>
      </c>
      <c r="DI16" s="119">
        <f t="shared" si="19"/>
        <v>0</v>
      </c>
      <c r="DJ16" s="98">
        <f t="shared" si="35"/>
        <v>2620.457082970056</v>
      </c>
      <c r="DK16" s="119">
        <f t="shared" si="20"/>
        <v>760.10555618308513</v>
      </c>
      <c r="DL16" s="119">
        <f t="shared" si="20"/>
        <v>3705.4379350315412</v>
      </c>
      <c r="DM16" s="119">
        <f t="shared" si="20"/>
        <v>20840.983825622068</v>
      </c>
      <c r="DN16" s="119">
        <f t="shared" si="20"/>
        <v>0</v>
      </c>
      <c r="DO16" s="119">
        <f t="shared" si="20"/>
        <v>8085.1740601789315</v>
      </c>
      <c r="DP16" s="119">
        <f t="shared" si="20"/>
        <v>0</v>
      </c>
      <c r="DQ16" s="119">
        <f t="shared" si="20"/>
        <v>112.46670942172875</v>
      </c>
      <c r="DR16" s="119">
        <f t="shared" si="20"/>
        <v>8310.9583091294444</v>
      </c>
      <c r="DS16" s="119">
        <f t="shared" si="20"/>
        <v>0</v>
      </c>
      <c r="DT16" s="119">
        <f t="shared" si="20"/>
        <v>10457.112100526985</v>
      </c>
      <c r="DU16" s="98">
        <f t="shared" si="36"/>
        <v>52272.238496093778</v>
      </c>
      <c r="DV16" s="96">
        <f t="shared" si="37"/>
        <v>52272.238496093778</v>
      </c>
      <c r="DW16" s="95"/>
      <c r="DX16" s="162">
        <f t="shared" si="38"/>
        <v>0</v>
      </c>
      <c r="DY16" s="162">
        <f t="shared" si="38"/>
        <v>0</v>
      </c>
      <c r="DZ16" s="162">
        <f t="shared" si="38"/>
        <v>0</v>
      </c>
      <c r="EA16" s="162">
        <f t="shared" si="38"/>
        <v>0</v>
      </c>
      <c r="EB16" s="162">
        <f t="shared" si="38"/>
        <v>0.27706843993180152</v>
      </c>
      <c r="EC16" s="162">
        <f t="shared" si="38"/>
        <v>0.27706843993180147</v>
      </c>
      <c r="ED16" s="162">
        <f t="shared" si="38"/>
        <v>0.27706843993180147</v>
      </c>
      <c r="EE16" s="162">
        <f t="shared" si="38"/>
        <v>0.27706843993180158</v>
      </c>
      <c r="EF16" s="162">
        <f t="shared" si="38"/>
        <v>0.27706843993180147</v>
      </c>
      <c r="EG16" s="162">
        <f t="shared" si="38"/>
        <v>0.27706843993180147</v>
      </c>
      <c r="EH16" s="162">
        <f t="shared" si="38"/>
        <v>0.27706843993180152</v>
      </c>
      <c r="EI16" s="162">
        <f t="shared" si="38"/>
        <v>0.27706843993180141</v>
      </c>
      <c r="EJ16" s="163">
        <f t="shared" si="38"/>
        <v>0.27706843993180141</v>
      </c>
      <c r="EK16" s="162">
        <f t="shared" si="38"/>
        <v>0.27706843993180141</v>
      </c>
      <c r="EL16" s="162">
        <f t="shared" si="38"/>
        <v>0.27706843993180152</v>
      </c>
      <c r="EM16" s="162">
        <f t="shared" si="38"/>
        <v>0.27706843993180147</v>
      </c>
      <c r="EN16" s="162">
        <f t="shared" si="49"/>
        <v>0</v>
      </c>
      <c r="EO16" s="162">
        <f t="shared" si="49"/>
        <v>0</v>
      </c>
      <c r="EP16" s="162">
        <f t="shared" si="49"/>
        <v>0</v>
      </c>
      <c r="EQ16" s="162">
        <f t="shared" si="49"/>
        <v>0.27706843993180141</v>
      </c>
      <c r="ER16" s="162">
        <f t="shared" si="49"/>
        <v>0</v>
      </c>
      <c r="ES16" s="162">
        <f t="shared" si="49"/>
        <v>0.27706843993180141</v>
      </c>
      <c r="ET16" s="162">
        <f t="shared" si="49"/>
        <v>0.27706843993180147</v>
      </c>
      <c r="EU16" s="162">
        <f t="shared" si="49"/>
        <v>0</v>
      </c>
      <c r="EV16" s="162">
        <f t="shared" si="49"/>
        <v>0</v>
      </c>
      <c r="EW16" s="163">
        <f t="shared" si="49"/>
        <v>0.27706843993180147</v>
      </c>
      <c r="EX16" s="162">
        <f t="shared" si="49"/>
        <v>0.27706843993180158</v>
      </c>
      <c r="EY16" s="162">
        <f t="shared" si="49"/>
        <v>0.27706843993180141</v>
      </c>
      <c r="EZ16" s="162">
        <f t="shared" si="49"/>
        <v>0.27706843993180141</v>
      </c>
      <c r="FA16" s="162">
        <f t="shared" si="49"/>
        <v>0</v>
      </c>
      <c r="FB16" s="162">
        <f t="shared" si="49"/>
        <v>0.27706843993180147</v>
      </c>
      <c r="FC16" s="162">
        <f t="shared" si="49"/>
        <v>0</v>
      </c>
      <c r="FD16" s="162">
        <f t="shared" si="50"/>
        <v>0.27706843993180147</v>
      </c>
      <c r="FE16" s="162">
        <f t="shared" si="50"/>
        <v>0.27706843993180141</v>
      </c>
      <c r="FF16" s="162">
        <f t="shared" si="48"/>
        <v>0</v>
      </c>
      <c r="FG16" s="162">
        <f t="shared" si="48"/>
        <v>0.27706843993180141</v>
      </c>
      <c r="FH16" s="163">
        <f t="shared" si="48"/>
        <v>0.27706843993180141</v>
      </c>
      <c r="FI16" s="164">
        <f t="shared" si="48"/>
        <v>0.27706843993180141</v>
      </c>
      <c r="FJ16" s="95"/>
      <c r="FK16" s="119">
        <v>20289.789999999997</v>
      </c>
      <c r="FL16" s="119">
        <v>0</v>
      </c>
      <c r="FM16" s="119">
        <v>20272.39</v>
      </c>
      <c r="FN16" s="119">
        <v>100143.04999999999</v>
      </c>
      <c r="FO16" s="119">
        <v>0</v>
      </c>
      <c r="FP16" s="119">
        <v>0</v>
      </c>
      <c r="FQ16" s="119">
        <v>0</v>
      </c>
      <c r="FR16" s="119">
        <v>0</v>
      </c>
      <c r="FS16" s="119">
        <v>0</v>
      </c>
      <c r="FT16" s="119">
        <v>0</v>
      </c>
      <c r="FU16" s="119">
        <v>29720.74</v>
      </c>
      <c r="FV16" s="119">
        <v>0</v>
      </c>
      <c r="FW16" s="98">
        <f t="shared" si="39"/>
        <v>170425.96999999997</v>
      </c>
      <c r="FX16" s="119">
        <v>0</v>
      </c>
      <c r="FY16" s="119">
        <v>0</v>
      </c>
      <c r="FZ16" s="119">
        <v>0</v>
      </c>
      <c r="GA16" s="119">
        <v>0</v>
      </c>
      <c r="GB16" s="119">
        <v>0</v>
      </c>
      <c r="GC16" s="119">
        <v>0</v>
      </c>
      <c r="GD16" s="119">
        <v>0</v>
      </c>
      <c r="GE16" s="119">
        <v>19586.38</v>
      </c>
      <c r="GF16" s="119">
        <v>0</v>
      </c>
      <c r="GG16" s="119">
        <v>0</v>
      </c>
      <c r="GH16" s="119">
        <v>12030.46</v>
      </c>
      <c r="GI16" s="119">
        <v>0</v>
      </c>
      <c r="GJ16" s="98">
        <f t="shared" si="40"/>
        <v>31616.84</v>
      </c>
      <c r="GK16" s="119">
        <v>28000.68</v>
      </c>
      <c r="GL16" s="119">
        <v>0</v>
      </c>
      <c r="GM16" s="119">
        <v>0</v>
      </c>
      <c r="GN16" s="119">
        <v>0</v>
      </c>
      <c r="GO16" s="119">
        <v>0</v>
      </c>
      <c r="GP16" s="119">
        <v>2019.57</v>
      </c>
      <c r="GQ16" s="119">
        <v>0</v>
      </c>
      <c r="GR16" s="119">
        <v>0</v>
      </c>
      <c r="GS16" s="119">
        <v>0</v>
      </c>
      <c r="GT16" s="119">
        <v>0</v>
      </c>
      <c r="GU16" s="98">
        <f t="shared" si="41"/>
        <v>30020.25</v>
      </c>
      <c r="GV16" s="96">
        <f t="shared" si="42"/>
        <v>42050.71</v>
      </c>
      <c r="GW16" s="95"/>
      <c r="GX16" s="119">
        <f t="shared" si="43"/>
        <v>-20289.789999999997</v>
      </c>
      <c r="GY16" s="119">
        <f t="shared" si="22"/>
        <v>0</v>
      </c>
      <c r="GZ16" s="119">
        <f t="shared" si="22"/>
        <v>-20272.39</v>
      </c>
      <c r="HA16" s="119">
        <f t="shared" si="22"/>
        <v>-100143.04999999999</v>
      </c>
      <c r="HB16" s="119">
        <f t="shared" si="22"/>
        <v>887.59439405227704</v>
      </c>
      <c r="HC16" s="119">
        <f t="shared" si="22"/>
        <v>7013.6514714085515</v>
      </c>
      <c r="HD16" s="119">
        <f t="shared" si="22"/>
        <v>6438.1613102641795</v>
      </c>
      <c r="HE16" s="119">
        <f t="shared" si="22"/>
        <v>1077.5570510803434</v>
      </c>
      <c r="HF16" s="119">
        <f t="shared" si="22"/>
        <v>2232.9776277130773</v>
      </c>
      <c r="HG16" s="119">
        <f t="shared" si="22"/>
        <v>1563.3153432855861</v>
      </c>
      <c r="HH16" s="119">
        <f t="shared" si="22"/>
        <v>-29252.894883419263</v>
      </c>
      <c r="HI16" s="119">
        <f t="shared" si="22"/>
        <v>14262.332106551456</v>
      </c>
      <c r="HJ16" s="98">
        <f t="shared" si="44"/>
        <v>-136482.53557906378</v>
      </c>
      <c r="HK16" s="119">
        <f t="shared" si="23"/>
        <v>1924.7880115632695</v>
      </c>
      <c r="HL16" s="119">
        <f t="shared" si="23"/>
        <v>2469.7081973175573</v>
      </c>
      <c r="HM16" s="119">
        <f t="shared" si="23"/>
        <v>1736.2501090443338</v>
      </c>
      <c r="HN16" s="119">
        <f t="shared" si="23"/>
        <v>0</v>
      </c>
      <c r="HO16" s="119">
        <f t="shared" si="23"/>
        <v>0</v>
      </c>
      <c r="HP16" s="119">
        <f t="shared" si="23"/>
        <v>0</v>
      </c>
      <c r="HQ16" s="119">
        <f t="shared" si="23"/>
        <v>339.16073601333676</v>
      </c>
      <c r="HR16" s="119">
        <f t="shared" si="23"/>
        <v>-19586.38</v>
      </c>
      <c r="HS16" s="119">
        <f t="shared" si="23"/>
        <v>2014.575210774598</v>
      </c>
      <c r="HT16" s="119">
        <f t="shared" si="23"/>
        <v>973.31481825696108</v>
      </c>
      <c r="HU16" s="119">
        <f t="shared" si="23"/>
        <v>-12030.46</v>
      </c>
      <c r="HV16" s="119">
        <f t="shared" si="23"/>
        <v>0</v>
      </c>
      <c r="HW16" s="98">
        <f t="shared" si="45"/>
        <v>-22159.042917029947</v>
      </c>
      <c r="HX16" s="119">
        <f t="shared" si="24"/>
        <v>-25257.294443816914</v>
      </c>
      <c r="HY16" s="119">
        <f t="shared" si="24"/>
        <v>13373.72793503154</v>
      </c>
      <c r="HZ16" s="119">
        <f t="shared" si="24"/>
        <v>75219.623825622068</v>
      </c>
      <c r="IA16" s="119">
        <f t="shared" si="24"/>
        <v>0</v>
      </c>
      <c r="IB16" s="119">
        <f t="shared" si="24"/>
        <v>29181.144060178933</v>
      </c>
      <c r="IC16" s="119">
        <f t="shared" si="24"/>
        <v>-2019.57</v>
      </c>
      <c r="ID16" s="119">
        <f t="shared" si="24"/>
        <v>405.91670942172874</v>
      </c>
      <c r="IE16" s="119">
        <f t="shared" si="24"/>
        <v>29996.048309129441</v>
      </c>
      <c r="IF16" s="119">
        <f t="shared" si="24"/>
        <v>0</v>
      </c>
      <c r="IG16" s="119">
        <f t="shared" si="24"/>
        <v>37741.982100526984</v>
      </c>
      <c r="IH16" s="98">
        <f t="shared" si="46"/>
        <v>158641.57849609377</v>
      </c>
      <c r="II16" s="96">
        <f t="shared" si="47"/>
        <v>146611.11849609378</v>
      </c>
    </row>
    <row r="17" spans="2:243" x14ac:dyDescent="0.2">
      <c r="B17" s="101" t="s">
        <v>285</v>
      </c>
      <c r="C17" s="89" t="s">
        <v>286</v>
      </c>
      <c r="D17" s="89" t="str">
        <f>_xlfn.IFNA(INDEX('4. WIP Report (Oct-25)'!D:D,MATCH('7. POC Lookback Summary'!$B17,'4. WIP Report (Oct-25)'!$B:$B,0)),INDEX('5. Completed Jobs'!D:D,MATCH('7. POC Lookback Summary'!$B17,'5. Completed Jobs'!$B:$B,0)))</f>
        <v>Metro Development Partners</v>
      </c>
      <c r="E17" s="89" t="str">
        <f>_xlfn.IFNA(INDEX('4. WIP Report (Oct-25)'!E:E,MATCH('7. POC Lookback Summary'!$B17,'4. WIP Report (Oct-25)'!$B:$B,0)),INDEX('5. Completed Jobs'!E:E,MATCH('7. POC Lookback Summary'!$B17,'5. Completed Jobs'!$B:$B,0)))</f>
        <v>Fire Alarm Installation</v>
      </c>
      <c r="F17" s="89" t="str">
        <f>_xlfn.IFNA(INDEX('4. WIP Report (Oct-25)'!F:F,MATCH('7. POC Lookback Summary'!$B17,'4. WIP Report (Oct-25)'!$B:$B,0)),INDEX('5. Completed Jobs'!F:F,MATCH('7. POC Lookback Summary'!$B17,'5. Completed Jobs'!$B:$B,0)))</f>
        <v>Multi-Family</v>
      </c>
      <c r="G17" s="89" t="str">
        <f>_xlfn.IFNA(INDEX('4. WIP Report (Oct-25)'!G:G,MATCH('7. POC Lookback Summary'!$B17,'4. WIP Report (Oct-25)'!$B:$B,0)),INDEX('5. Completed Jobs'!G:G,MATCH('7. POC Lookback Summary'!$B17,'5. Completed Jobs'!$B:$B,0)))</f>
        <v>Direct</v>
      </c>
      <c r="H17" s="89" t="str">
        <f>_xlfn.IFNA(INDEX('4. WIP Report (Oct-25)'!H:H,MATCH('7. POC Lookback Summary'!$B17,'4. WIP Report (Oct-25)'!$B:$B,0)),INDEX('5. Completed Jobs'!H:H,MATCH('7. POC Lookback Summary'!$B17,'5. Completed Jobs'!$B:$B,0)))</f>
        <v>New Construction</v>
      </c>
      <c r="J17" s="95"/>
      <c r="K17" s="119">
        <v>0</v>
      </c>
      <c r="L17" s="119">
        <v>0</v>
      </c>
      <c r="M17" s="119">
        <v>0</v>
      </c>
      <c r="N17" s="119">
        <v>0</v>
      </c>
      <c r="O17" s="119">
        <v>0</v>
      </c>
      <c r="P17" s="119">
        <v>21241.65798648322</v>
      </c>
      <c r="Q17" s="119">
        <v>0</v>
      </c>
      <c r="R17" s="119">
        <v>9747.7599588113262</v>
      </c>
      <c r="S17" s="119">
        <v>17693.126773858781</v>
      </c>
      <c r="T17" s="119">
        <v>0</v>
      </c>
      <c r="U17" s="119">
        <v>0</v>
      </c>
      <c r="V17" s="119">
        <v>10914.524428272713</v>
      </c>
      <c r="W17" s="98">
        <f t="shared" si="25"/>
        <v>59597.069147426046</v>
      </c>
      <c r="X17" s="119">
        <v>0</v>
      </c>
      <c r="Y17" s="119">
        <v>0</v>
      </c>
      <c r="Z17" s="119">
        <v>3719.7116820529186</v>
      </c>
      <c r="AA17" s="119">
        <v>0</v>
      </c>
      <c r="AB17" s="119">
        <v>0</v>
      </c>
      <c r="AC17" s="119">
        <v>2327.2392391348344</v>
      </c>
      <c r="AD17" s="119">
        <v>0</v>
      </c>
      <c r="AE17" s="119">
        <v>7534.4397622356009</v>
      </c>
      <c r="AF17" s="119">
        <v>0</v>
      </c>
      <c r="AG17" s="119">
        <v>33092.072970668123</v>
      </c>
      <c r="AH17" s="119">
        <v>18374.024514101642</v>
      </c>
      <c r="AI17" s="119">
        <v>0</v>
      </c>
      <c r="AJ17" s="98">
        <f t="shared" si="26"/>
        <v>65047.488168193122</v>
      </c>
      <c r="AK17" s="119">
        <v>17784.939618229888</v>
      </c>
      <c r="AL17" s="119">
        <v>0</v>
      </c>
      <c r="AM17" s="119">
        <v>5495.4700437814754</v>
      </c>
      <c r="AN17" s="119">
        <v>0</v>
      </c>
      <c r="AO17" s="119">
        <v>0</v>
      </c>
      <c r="AP17" s="119">
        <v>0</v>
      </c>
      <c r="AQ17" s="119">
        <v>0</v>
      </c>
      <c r="AR17" s="119">
        <v>0</v>
      </c>
      <c r="AS17" s="119">
        <v>763.87145984532049</v>
      </c>
      <c r="AT17" s="119">
        <v>4235.6515625241636</v>
      </c>
      <c r="AU17" s="98">
        <f t="shared" si="27"/>
        <v>28279.932684380845</v>
      </c>
      <c r="AV17" s="96">
        <f t="shared" si="28"/>
        <v>46653.957198482487</v>
      </c>
      <c r="AW17" s="95"/>
      <c r="AX17" s="119">
        <v>0</v>
      </c>
      <c r="AY17" s="119">
        <v>0</v>
      </c>
      <c r="AZ17" s="119">
        <v>0</v>
      </c>
      <c r="BA17" s="119">
        <v>0</v>
      </c>
      <c r="BB17" s="119">
        <v>0</v>
      </c>
      <c r="BC17" s="119">
        <v>12664.550000000001</v>
      </c>
      <c r="BD17" s="119">
        <v>0</v>
      </c>
      <c r="BE17" s="119">
        <v>5811.74</v>
      </c>
      <c r="BF17" s="119">
        <v>10548.869999999999</v>
      </c>
      <c r="BG17" s="119">
        <v>0</v>
      </c>
      <c r="BH17" s="119">
        <v>0</v>
      </c>
      <c r="BI17" s="119">
        <v>6507.38</v>
      </c>
      <c r="BJ17" s="98">
        <f t="shared" si="29"/>
        <v>35532.54</v>
      </c>
      <c r="BK17" s="119">
        <v>0</v>
      </c>
      <c r="BL17" s="119">
        <v>0</v>
      </c>
      <c r="BM17" s="119">
        <v>2217.7399999999998</v>
      </c>
      <c r="BN17" s="119">
        <v>0</v>
      </c>
      <c r="BO17" s="119">
        <v>0</v>
      </c>
      <c r="BP17" s="119">
        <v>1387.5300000000002</v>
      </c>
      <c r="BQ17" s="119">
        <v>0</v>
      </c>
      <c r="BR17" s="119">
        <v>4492.13</v>
      </c>
      <c r="BS17" s="119">
        <v>0</v>
      </c>
      <c r="BT17" s="119">
        <v>19729.919999999998</v>
      </c>
      <c r="BU17" s="119">
        <v>10954.829999999998</v>
      </c>
      <c r="BV17" s="119">
        <v>0</v>
      </c>
      <c r="BW17" s="98">
        <f t="shared" si="30"/>
        <v>38782.149999999994</v>
      </c>
      <c r="BX17" s="119">
        <v>10603.609999999999</v>
      </c>
      <c r="BY17" s="119">
        <v>0</v>
      </c>
      <c r="BZ17" s="119">
        <v>3276.4700000000003</v>
      </c>
      <c r="CA17" s="119">
        <v>0</v>
      </c>
      <c r="CB17" s="119">
        <v>0</v>
      </c>
      <c r="CC17" s="119">
        <v>0</v>
      </c>
      <c r="CD17" s="119">
        <v>0</v>
      </c>
      <c r="CE17" s="119">
        <v>0</v>
      </c>
      <c r="CF17" s="119">
        <v>455.43</v>
      </c>
      <c r="CG17" s="119">
        <v>2525.35</v>
      </c>
      <c r="CH17" s="98">
        <f t="shared" si="31"/>
        <v>16860.859999999997</v>
      </c>
      <c r="CI17" s="96">
        <f t="shared" si="32"/>
        <v>27815.689999999995</v>
      </c>
      <c r="CJ17" s="95"/>
      <c r="CK17" s="119">
        <f t="shared" si="33"/>
        <v>0</v>
      </c>
      <c r="CL17" s="119">
        <f t="shared" si="18"/>
        <v>0</v>
      </c>
      <c r="CM17" s="119">
        <f t="shared" si="18"/>
        <v>0</v>
      </c>
      <c r="CN17" s="119">
        <f t="shared" si="18"/>
        <v>0</v>
      </c>
      <c r="CO17" s="119">
        <f t="shared" si="18"/>
        <v>0</v>
      </c>
      <c r="CP17" s="119">
        <f t="shared" si="18"/>
        <v>8577.1079864832191</v>
      </c>
      <c r="CQ17" s="119">
        <f t="shared" si="18"/>
        <v>0</v>
      </c>
      <c r="CR17" s="119">
        <f t="shared" si="18"/>
        <v>3936.0199588113264</v>
      </c>
      <c r="CS17" s="119">
        <f t="shared" si="18"/>
        <v>7144.2567738587823</v>
      </c>
      <c r="CT17" s="119">
        <f t="shared" si="18"/>
        <v>0</v>
      </c>
      <c r="CU17" s="119">
        <f t="shared" si="18"/>
        <v>0</v>
      </c>
      <c r="CV17" s="119">
        <f t="shared" si="18"/>
        <v>4407.1444282727125</v>
      </c>
      <c r="CW17" s="98">
        <f t="shared" si="34"/>
        <v>24064.529147426041</v>
      </c>
      <c r="CX17" s="119">
        <f t="shared" si="19"/>
        <v>0</v>
      </c>
      <c r="CY17" s="119">
        <f t="shared" si="19"/>
        <v>0</v>
      </c>
      <c r="CZ17" s="119">
        <f t="shared" si="19"/>
        <v>1501.9716820529188</v>
      </c>
      <c r="DA17" s="119">
        <f t="shared" si="19"/>
        <v>0</v>
      </c>
      <c r="DB17" s="119">
        <f t="shared" si="19"/>
        <v>0</v>
      </c>
      <c r="DC17" s="119">
        <f t="shared" si="19"/>
        <v>939.70923913483421</v>
      </c>
      <c r="DD17" s="119">
        <f t="shared" si="19"/>
        <v>0</v>
      </c>
      <c r="DE17" s="119">
        <f t="shared" si="19"/>
        <v>3042.3097622356008</v>
      </c>
      <c r="DF17" s="119">
        <f t="shared" si="19"/>
        <v>0</v>
      </c>
      <c r="DG17" s="119">
        <f t="shared" si="19"/>
        <v>13362.152970668125</v>
      </c>
      <c r="DH17" s="119">
        <f t="shared" si="19"/>
        <v>7419.194514101644</v>
      </c>
      <c r="DI17" s="119">
        <f t="shared" si="19"/>
        <v>0</v>
      </c>
      <c r="DJ17" s="98">
        <f t="shared" si="35"/>
        <v>26265.338168193124</v>
      </c>
      <c r="DK17" s="119">
        <f t="shared" si="20"/>
        <v>7181.3296182298891</v>
      </c>
      <c r="DL17" s="119">
        <f t="shared" si="20"/>
        <v>0</v>
      </c>
      <c r="DM17" s="119">
        <f t="shared" si="20"/>
        <v>2219.0000437814751</v>
      </c>
      <c r="DN17" s="119">
        <f t="shared" si="20"/>
        <v>0</v>
      </c>
      <c r="DO17" s="119">
        <f t="shared" si="20"/>
        <v>0</v>
      </c>
      <c r="DP17" s="119">
        <f t="shared" si="20"/>
        <v>0</v>
      </c>
      <c r="DQ17" s="119">
        <f t="shared" si="20"/>
        <v>0</v>
      </c>
      <c r="DR17" s="119">
        <f t="shared" si="20"/>
        <v>0</v>
      </c>
      <c r="DS17" s="119">
        <f t="shared" si="20"/>
        <v>308.44145984532048</v>
      </c>
      <c r="DT17" s="119">
        <f t="shared" si="20"/>
        <v>1710.3015625241637</v>
      </c>
      <c r="DU17" s="98">
        <f t="shared" si="36"/>
        <v>11419.07268438085</v>
      </c>
      <c r="DV17" s="96">
        <f t="shared" si="37"/>
        <v>18838.267198482492</v>
      </c>
      <c r="DW17" s="95"/>
      <c r="DX17" s="162">
        <f t="shared" si="38"/>
        <v>0</v>
      </c>
      <c r="DY17" s="162">
        <f t="shared" si="38"/>
        <v>0</v>
      </c>
      <c r="DZ17" s="162">
        <f t="shared" si="38"/>
        <v>0</v>
      </c>
      <c r="EA17" s="162">
        <f t="shared" si="38"/>
        <v>0</v>
      </c>
      <c r="EB17" s="162">
        <f t="shared" si="38"/>
        <v>0</v>
      </c>
      <c r="EC17" s="162">
        <f t="shared" si="38"/>
        <v>0.40378712395902056</v>
      </c>
      <c r="ED17" s="162">
        <f t="shared" si="38"/>
        <v>0</v>
      </c>
      <c r="EE17" s="162">
        <f t="shared" si="38"/>
        <v>0.40378712395902061</v>
      </c>
      <c r="EF17" s="162">
        <f t="shared" si="38"/>
        <v>0.40378712395902061</v>
      </c>
      <c r="EG17" s="162">
        <f t="shared" si="38"/>
        <v>0</v>
      </c>
      <c r="EH17" s="162">
        <f t="shared" si="38"/>
        <v>0</v>
      </c>
      <c r="EI17" s="162">
        <f t="shared" si="38"/>
        <v>0.40378712395902061</v>
      </c>
      <c r="EJ17" s="163">
        <f t="shared" si="38"/>
        <v>0.40378712395902056</v>
      </c>
      <c r="EK17" s="162">
        <f t="shared" si="38"/>
        <v>0</v>
      </c>
      <c r="EL17" s="162">
        <f t="shared" si="38"/>
        <v>0</v>
      </c>
      <c r="EM17" s="162">
        <f t="shared" si="38"/>
        <v>0.40378712395902061</v>
      </c>
      <c r="EN17" s="162">
        <f t="shared" si="49"/>
        <v>0</v>
      </c>
      <c r="EO17" s="162">
        <f t="shared" si="49"/>
        <v>0</v>
      </c>
      <c r="EP17" s="162">
        <f t="shared" si="49"/>
        <v>0.40378712395902061</v>
      </c>
      <c r="EQ17" s="162">
        <f t="shared" si="49"/>
        <v>0</v>
      </c>
      <c r="ER17" s="162">
        <f t="shared" si="49"/>
        <v>0.40378712395902067</v>
      </c>
      <c r="ES17" s="162">
        <f t="shared" si="49"/>
        <v>0</v>
      </c>
      <c r="ET17" s="162">
        <f t="shared" si="49"/>
        <v>0.40378712395902061</v>
      </c>
      <c r="EU17" s="162">
        <f t="shared" si="49"/>
        <v>0.40378712395902067</v>
      </c>
      <c r="EV17" s="162">
        <f t="shared" si="49"/>
        <v>0</v>
      </c>
      <c r="EW17" s="163">
        <f t="shared" si="49"/>
        <v>0.40378712395902061</v>
      </c>
      <c r="EX17" s="162">
        <f t="shared" si="49"/>
        <v>0.40378712395902067</v>
      </c>
      <c r="EY17" s="162">
        <f t="shared" si="49"/>
        <v>0</v>
      </c>
      <c r="EZ17" s="162">
        <f t="shared" si="49"/>
        <v>0.40378712395902061</v>
      </c>
      <c r="FA17" s="162">
        <f t="shared" si="49"/>
        <v>0</v>
      </c>
      <c r="FB17" s="162">
        <f t="shared" si="49"/>
        <v>0</v>
      </c>
      <c r="FC17" s="162">
        <f t="shared" si="49"/>
        <v>0</v>
      </c>
      <c r="FD17" s="162">
        <f t="shared" si="50"/>
        <v>0</v>
      </c>
      <c r="FE17" s="162">
        <f t="shared" si="50"/>
        <v>0</v>
      </c>
      <c r="FF17" s="162">
        <f t="shared" si="48"/>
        <v>0.40378712395902067</v>
      </c>
      <c r="FG17" s="162">
        <f t="shared" si="48"/>
        <v>0.40378712395902061</v>
      </c>
      <c r="FH17" s="163">
        <f t="shared" si="48"/>
        <v>0.40378712395902072</v>
      </c>
      <c r="FI17" s="164">
        <f t="shared" si="48"/>
        <v>0.40378712395902067</v>
      </c>
      <c r="FJ17" s="95"/>
      <c r="FK17" s="119">
        <v>0</v>
      </c>
      <c r="FL17" s="119">
        <v>0</v>
      </c>
      <c r="FM17" s="119">
        <v>0</v>
      </c>
      <c r="FN17" s="119">
        <v>0</v>
      </c>
      <c r="FO17" s="119">
        <v>0</v>
      </c>
      <c r="FP17" s="119">
        <v>55601.15</v>
      </c>
      <c r="FQ17" s="119">
        <v>0</v>
      </c>
      <c r="FR17" s="119">
        <v>0</v>
      </c>
      <c r="FS17" s="119">
        <v>0</v>
      </c>
      <c r="FT17" s="119">
        <v>0</v>
      </c>
      <c r="FU17" s="119">
        <v>0</v>
      </c>
      <c r="FV17" s="119">
        <v>0</v>
      </c>
      <c r="FW17" s="98">
        <f t="shared" si="39"/>
        <v>55601.15</v>
      </c>
      <c r="FX17" s="119">
        <v>0</v>
      </c>
      <c r="FY17" s="119">
        <v>0</v>
      </c>
      <c r="FZ17" s="119">
        <v>0</v>
      </c>
      <c r="GA17" s="119">
        <v>0</v>
      </c>
      <c r="GB17" s="119">
        <v>0</v>
      </c>
      <c r="GC17" s="119">
        <v>0</v>
      </c>
      <c r="GD17" s="119">
        <v>0</v>
      </c>
      <c r="GE17" s="119">
        <v>0</v>
      </c>
      <c r="GF17" s="119">
        <v>0</v>
      </c>
      <c r="GG17" s="119">
        <v>0</v>
      </c>
      <c r="GH17" s="119">
        <v>0</v>
      </c>
      <c r="GI17" s="119">
        <v>0</v>
      </c>
      <c r="GJ17" s="98">
        <f t="shared" si="40"/>
        <v>0</v>
      </c>
      <c r="GK17" s="119">
        <v>0</v>
      </c>
      <c r="GL17" s="119">
        <v>97323.34</v>
      </c>
      <c r="GM17" s="119">
        <v>0</v>
      </c>
      <c r="GN17" s="119">
        <v>0</v>
      </c>
      <c r="GO17" s="119">
        <v>0</v>
      </c>
      <c r="GP17" s="119">
        <v>0</v>
      </c>
      <c r="GQ17" s="119">
        <v>0</v>
      </c>
      <c r="GR17" s="119">
        <v>0</v>
      </c>
      <c r="GS17" s="119">
        <v>0</v>
      </c>
      <c r="GT17" s="119">
        <v>0</v>
      </c>
      <c r="GU17" s="98">
        <f t="shared" si="41"/>
        <v>97323.34</v>
      </c>
      <c r="GV17" s="96">
        <f t="shared" si="42"/>
        <v>97323.34</v>
      </c>
      <c r="GW17" s="95"/>
      <c r="GX17" s="119">
        <f t="shared" si="43"/>
        <v>0</v>
      </c>
      <c r="GY17" s="119">
        <f t="shared" si="22"/>
        <v>0</v>
      </c>
      <c r="GZ17" s="119">
        <f t="shared" si="22"/>
        <v>0</v>
      </c>
      <c r="HA17" s="119">
        <f t="shared" si="22"/>
        <v>0</v>
      </c>
      <c r="HB17" s="119">
        <f t="shared" si="22"/>
        <v>0</v>
      </c>
      <c r="HC17" s="119">
        <f t="shared" si="22"/>
        <v>-34359.492013516778</v>
      </c>
      <c r="HD17" s="119">
        <f t="shared" si="22"/>
        <v>0</v>
      </c>
      <c r="HE17" s="119">
        <f t="shared" si="22"/>
        <v>9747.7599588113262</v>
      </c>
      <c r="HF17" s="119">
        <f t="shared" si="22"/>
        <v>17693.126773858781</v>
      </c>
      <c r="HG17" s="119">
        <f t="shared" si="22"/>
        <v>0</v>
      </c>
      <c r="HH17" s="119">
        <f t="shared" si="22"/>
        <v>0</v>
      </c>
      <c r="HI17" s="119">
        <f t="shared" si="22"/>
        <v>10914.524428272713</v>
      </c>
      <c r="HJ17" s="98">
        <f t="shared" si="44"/>
        <v>3995.9191474260424</v>
      </c>
      <c r="HK17" s="119">
        <f t="shared" si="23"/>
        <v>0</v>
      </c>
      <c r="HL17" s="119">
        <f t="shared" si="23"/>
        <v>0</v>
      </c>
      <c r="HM17" s="119">
        <f t="shared" si="23"/>
        <v>3719.7116820529186</v>
      </c>
      <c r="HN17" s="119">
        <f t="shared" si="23"/>
        <v>0</v>
      </c>
      <c r="HO17" s="119">
        <f t="shared" si="23"/>
        <v>0</v>
      </c>
      <c r="HP17" s="119">
        <f t="shared" si="23"/>
        <v>2327.2392391348344</v>
      </c>
      <c r="HQ17" s="119">
        <f t="shared" si="23"/>
        <v>0</v>
      </c>
      <c r="HR17" s="119">
        <f t="shared" si="23"/>
        <v>7534.4397622356009</v>
      </c>
      <c r="HS17" s="119">
        <f t="shared" si="23"/>
        <v>0</v>
      </c>
      <c r="HT17" s="119">
        <f t="shared" si="23"/>
        <v>33092.072970668123</v>
      </c>
      <c r="HU17" s="119">
        <f t="shared" si="23"/>
        <v>18374.024514101642</v>
      </c>
      <c r="HV17" s="119">
        <f t="shared" si="23"/>
        <v>0</v>
      </c>
      <c r="HW17" s="98">
        <f t="shared" si="45"/>
        <v>65047.488168193122</v>
      </c>
      <c r="HX17" s="119">
        <f t="shared" si="24"/>
        <v>17784.939618229888</v>
      </c>
      <c r="HY17" s="119">
        <f t="shared" si="24"/>
        <v>-97323.34</v>
      </c>
      <c r="HZ17" s="119">
        <f t="shared" si="24"/>
        <v>5495.4700437814754</v>
      </c>
      <c r="IA17" s="119">
        <f t="shared" si="24"/>
        <v>0</v>
      </c>
      <c r="IB17" s="119">
        <f t="shared" si="24"/>
        <v>0</v>
      </c>
      <c r="IC17" s="119">
        <f t="shared" si="24"/>
        <v>0</v>
      </c>
      <c r="ID17" s="119">
        <f t="shared" si="24"/>
        <v>0</v>
      </c>
      <c r="IE17" s="119">
        <f t="shared" si="24"/>
        <v>0</v>
      </c>
      <c r="IF17" s="119">
        <f t="shared" si="24"/>
        <v>763.87145984532049</v>
      </c>
      <c r="IG17" s="119">
        <f t="shared" si="24"/>
        <v>4235.6515625241636</v>
      </c>
      <c r="IH17" s="98">
        <f t="shared" si="46"/>
        <v>-69043.407315619144</v>
      </c>
      <c r="II17" s="96">
        <f t="shared" si="47"/>
        <v>-50669.382801517502</v>
      </c>
    </row>
    <row r="18" spans="2:243" x14ac:dyDescent="0.2">
      <c r="B18" s="101" t="s">
        <v>217</v>
      </c>
      <c r="C18" s="89" t="s">
        <v>218</v>
      </c>
      <c r="D18" s="89" t="str">
        <f>_xlfn.IFNA(INDEX('4. WIP Report (Oct-25)'!D:D,MATCH('7. POC Lookback Summary'!$B18,'4. WIP Report (Oct-25)'!$B:$B,0)),INDEX('5. Completed Jobs'!D:D,MATCH('7. POC Lookback Summary'!$B18,'5. Completed Jobs'!$B:$B,0)))</f>
        <v>Property Management Services</v>
      </c>
      <c r="E18" s="89" t="str">
        <f>_xlfn.IFNA(INDEX('4. WIP Report (Oct-25)'!E:E,MATCH('7. POC Lookback Summary'!$B18,'4. WIP Report (Oct-25)'!$B:$B,0)),INDEX('5. Completed Jobs'!E:E,MATCH('7. POC Lookback Summary'!$B18,'5. Completed Jobs'!$B:$B,0)))</f>
        <v>Fire Alarm Installation</v>
      </c>
      <c r="F18" s="89" t="str">
        <f>_xlfn.IFNA(INDEX('4. WIP Report (Oct-25)'!F:F,MATCH('7. POC Lookback Summary'!$B18,'4. WIP Report (Oct-25)'!$B:$B,0)),INDEX('5. Completed Jobs'!F:F,MATCH('7. POC Lookback Summary'!$B18,'5. Completed Jobs'!$B:$B,0)))</f>
        <v>Industrial</v>
      </c>
      <c r="G18" s="89" t="str">
        <f>_xlfn.IFNA(INDEX('4. WIP Report (Oct-25)'!G:G,MATCH('7. POC Lookback Summary'!$B18,'4. WIP Report (Oct-25)'!$B:$B,0)),INDEX('5. Completed Jobs'!G:G,MATCH('7. POC Lookback Summary'!$B18,'5. Completed Jobs'!$B:$B,0)))</f>
        <v>Property Management Company</v>
      </c>
      <c r="H18" s="89" t="str">
        <f>_xlfn.IFNA(INDEX('4. WIP Report (Oct-25)'!H:H,MATCH('7. POC Lookback Summary'!$B18,'4. WIP Report (Oct-25)'!$B:$B,0)),INDEX('5. Completed Jobs'!H:H,MATCH('7. POC Lookback Summary'!$B18,'5. Completed Jobs'!$B:$B,0)))</f>
        <v>Retrofit</v>
      </c>
      <c r="J18" s="95"/>
      <c r="K18" s="119">
        <v>10165.675000000001</v>
      </c>
      <c r="L18" s="119">
        <v>0</v>
      </c>
      <c r="M18" s="119">
        <v>0</v>
      </c>
      <c r="N18" s="119">
        <v>161.25200000000001</v>
      </c>
      <c r="O18" s="119">
        <v>0</v>
      </c>
      <c r="P18" s="119">
        <v>2336.672</v>
      </c>
      <c r="Q18" s="119">
        <v>53934.881000000001</v>
      </c>
      <c r="R18" s="119">
        <v>0</v>
      </c>
      <c r="S18" s="119">
        <v>0</v>
      </c>
      <c r="T18" s="119">
        <v>1914.2110000000002</v>
      </c>
      <c r="U18" s="119">
        <v>5148.9229999999998</v>
      </c>
      <c r="V18" s="119">
        <v>1144.9880000000001</v>
      </c>
      <c r="W18" s="98">
        <f t="shared" si="25"/>
        <v>74806.601999999999</v>
      </c>
      <c r="X18" s="119">
        <v>785.81100000000004</v>
      </c>
      <c r="Y18" s="119">
        <v>796.01599999999996</v>
      </c>
      <c r="Z18" s="119">
        <v>1916.9929999999999</v>
      </c>
      <c r="AA18" s="119">
        <v>18245.058000000001</v>
      </c>
      <c r="AB18" s="119">
        <v>7848.0739999999987</v>
      </c>
      <c r="AC18" s="119">
        <v>0</v>
      </c>
      <c r="AD18" s="119">
        <v>0</v>
      </c>
      <c r="AE18" s="119">
        <v>38684.502999999997</v>
      </c>
      <c r="AF18" s="119">
        <v>1709.8119999999999</v>
      </c>
      <c r="AG18" s="119">
        <v>0</v>
      </c>
      <c r="AH18" s="119">
        <v>0</v>
      </c>
      <c r="AI18" s="119">
        <v>0</v>
      </c>
      <c r="AJ18" s="98">
        <f t="shared" si="26"/>
        <v>69986.266999999993</v>
      </c>
      <c r="AK18" s="119">
        <v>185.536</v>
      </c>
      <c r="AL18" s="119">
        <v>0</v>
      </c>
      <c r="AM18" s="119">
        <v>8007.1420000000016</v>
      </c>
      <c r="AN18" s="119">
        <v>2906.3969999999999</v>
      </c>
      <c r="AO18" s="119">
        <v>0</v>
      </c>
      <c r="AP18" s="119">
        <v>0</v>
      </c>
      <c r="AQ18" s="119">
        <v>0</v>
      </c>
      <c r="AR18" s="119">
        <v>1638.3899999999999</v>
      </c>
      <c r="AS18" s="119">
        <v>28634.527999999995</v>
      </c>
      <c r="AT18" s="119">
        <v>1914.796</v>
      </c>
      <c r="AU18" s="98">
        <f t="shared" si="27"/>
        <v>43286.788999999997</v>
      </c>
      <c r="AV18" s="96">
        <f t="shared" si="28"/>
        <v>43286.788999999997</v>
      </c>
      <c r="AW18" s="95"/>
      <c r="AX18" s="119">
        <v>7819.7500000000009</v>
      </c>
      <c r="AY18" s="119">
        <v>0</v>
      </c>
      <c r="AZ18" s="119">
        <v>0</v>
      </c>
      <c r="BA18" s="119">
        <v>124.04</v>
      </c>
      <c r="BB18" s="119">
        <v>0</v>
      </c>
      <c r="BC18" s="119">
        <v>1797.44</v>
      </c>
      <c r="BD18" s="119">
        <v>41488.370000000003</v>
      </c>
      <c r="BE18" s="119">
        <v>0</v>
      </c>
      <c r="BF18" s="119">
        <v>0</v>
      </c>
      <c r="BG18" s="119">
        <v>1472.47</v>
      </c>
      <c r="BH18" s="119">
        <v>3960.71</v>
      </c>
      <c r="BI18" s="119">
        <v>880.76</v>
      </c>
      <c r="BJ18" s="98">
        <f t="shared" si="29"/>
        <v>57543.540000000008</v>
      </c>
      <c r="BK18" s="119">
        <v>604.47</v>
      </c>
      <c r="BL18" s="119">
        <v>612.31999999999994</v>
      </c>
      <c r="BM18" s="119">
        <v>1474.61</v>
      </c>
      <c r="BN18" s="119">
        <v>14034.660000000002</v>
      </c>
      <c r="BO18" s="119">
        <v>6036.98</v>
      </c>
      <c r="BP18" s="119">
        <v>0</v>
      </c>
      <c r="BQ18" s="119">
        <v>0</v>
      </c>
      <c r="BR18" s="119">
        <v>29757.309999999998</v>
      </c>
      <c r="BS18" s="119">
        <v>1315.24</v>
      </c>
      <c r="BT18" s="119">
        <v>0</v>
      </c>
      <c r="BU18" s="119">
        <v>0</v>
      </c>
      <c r="BV18" s="119">
        <v>0</v>
      </c>
      <c r="BW18" s="98">
        <f t="shared" si="30"/>
        <v>53835.59</v>
      </c>
      <c r="BX18" s="119">
        <v>142.72</v>
      </c>
      <c r="BY18" s="119">
        <v>0</v>
      </c>
      <c r="BZ18" s="119">
        <v>6159.3400000000011</v>
      </c>
      <c r="CA18" s="119">
        <v>2235.69</v>
      </c>
      <c r="CB18" s="119">
        <v>0</v>
      </c>
      <c r="CC18" s="119">
        <v>0</v>
      </c>
      <c r="CD18" s="119">
        <v>0</v>
      </c>
      <c r="CE18" s="119">
        <v>1260.3</v>
      </c>
      <c r="CF18" s="119">
        <v>22026.559999999998</v>
      </c>
      <c r="CG18" s="119">
        <v>1472.92</v>
      </c>
      <c r="CH18" s="98">
        <f t="shared" si="31"/>
        <v>33297.53</v>
      </c>
      <c r="CI18" s="96">
        <f t="shared" si="32"/>
        <v>33297.53</v>
      </c>
      <c r="CJ18" s="95"/>
      <c r="CK18" s="119">
        <f t="shared" si="33"/>
        <v>2345.9250000000002</v>
      </c>
      <c r="CL18" s="119">
        <f t="shared" si="18"/>
        <v>0</v>
      </c>
      <c r="CM18" s="119">
        <f t="shared" si="18"/>
        <v>0</v>
      </c>
      <c r="CN18" s="119">
        <f t="shared" si="18"/>
        <v>37.212000000000003</v>
      </c>
      <c r="CO18" s="119">
        <f t="shared" si="18"/>
        <v>0</v>
      </c>
      <c r="CP18" s="119">
        <f t="shared" si="18"/>
        <v>539.23199999999997</v>
      </c>
      <c r="CQ18" s="119">
        <f t="shared" si="18"/>
        <v>12446.510999999999</v>
      </c>
      <c r="CR18" s="119">
        <f t="shared" si="18"/>
        <v>0</v>
      </c>
      <c r="CS18" s="119">
        <f t="shared" si="18"/>
        <v>0</v>
      </c>
      <c r="CT18" s="119">
        <f t="shared" si="18"/>
        <v>441.74100000000021</v>
      </c>
      <c r="CU18" s="119">
        <f t="shared" si="18"/>
        <v>1188.2129999999997</v>
      </c>
      <c r="CV18" s="119">
        <f t="shared" si="18"/>
        <v>264.22800000000007</v>
      </c>
      <c r="CW18" s="98">
        <f t="shared" si="34"/>
        <v>17263.061999999998</v>
      </c>
      <c r="CX18" s="119">
        <f t="shared" si="19"/>
        <v>181.34100000000001</v>
      </c>
      <c r="CY18" s="119">
        <f t="shared" si="19"/>
        <v>183.69600000000003</v>
      </c>
      <c r="CZ18" s="119">
        <f t="shared" si="19"/>
        <v>442.38300000000004</v>
      </c>
      <c r="DA18" s="119">
        <f t="shared" si="19"/>
        <v>4210.3979999999992</v>
      </c>
      <c r="DB18" s="119">
        <f t="shared" si="19"/>
        <v>1811.0939999999991</v>
      </c>
      <c r="DC18" s="119">
        <f t="shared" si="19"/>
        <v>0</v>
      </c>
      <c r="DD18" s="119">
        <f t="shared" si="19"/>
        <v>0</v>
      </c>
      <c r="DE18" s="119">
        <f t="shared" si="19"/>
        <v>8927.1929999999993</v>
      </c>
      <c r="DF18" s="119">
        <f t="shared" si="19"/>
        <v>394.57199999999989</v>
      </c>
      <c r="DG18" s="119">
        <f t="shared" si="19"/>
        <v>0</v>
      </c>
      <c r="DH18" s="119">
        <f t="shared" si="19"/>
        <v>0</v>
      </c>
      <c r="DI18" s="119">
        <f t="shared" si="19"/>
        <v>0</v>
      </c>
      <c r="DJ18" s="98">
        <f t="shared" si="35"/>
        <v>16150.676999999998</v>
      </c>
      <c r="DK18" s="119">
        <f t="shared" si="20"/>
        <v>42.816000000000003</v>
      </c>
      <c r="DL18" s="119">
        <f t="shared" si="20"/>
        <v>0</v>
      </c>
      <c r="DM18" s="119">
        <f t="shared" si="20"/>
        <v>1847.8020000000006</v>
      </c>
      <c r="DN18" s="119">
        <f t="shared" si="20"/>
        <v>670.70699999999988</v>
      </c>
      <c r="DO18" s="119">
        <f t="shared" si="20"/>
        <v>0</v>
      </c>
      <c r="DP18" s="119">
        <f t="shared" si="20"/>
        <v>0</v>
      </c>
      <c r="DQ18" s="119">
        <f t="shared" si="20"/>
        <v>0</v>
      </c>
      <c r="DR18" s="119">
        <f t="shared" si="20"/>
        <v>378.08999999999992</v>
      </c>
      <c r="DS18" s="119">
        <f t="shared" si="20"/>
        <v>6607.9679999999971</v>
      </c>
      <c r="DT18" s="119">
        <f t="shared" si="20"/>
        <v>441.87599999999998</v>
      </c>
      <c r="DU18" s="98">
        <f t="shared" si="36"/>
        <v>9989.2589999999982</v>
      </c>
      <c r="DV18" s="96">
        <f t="shared" si="37"/>
        <v>9989.2589999999982</v>
      </c>
      <c r="DW18" s="95"/>
      <c r="DX18" s="162">
        <f t="shared" si="38"/>
        <v>0.23076923076923075</v>
      </c>
      <c r="DY18" s="162">
        <f t="shared" si="38"/>
        <v>0</v>
      </c>
      <c r="DZ18" s="162">
        <f t="shared" si="38"/>
        <v>0</v>
      </c>
      <c r="EA18" s="162">
        <f t="shared" si="38"/>
        <v>0.23076923076923078</v>
      </c>
      <c r="EB18" s="162">
        <f t="shared" si="38"/>
        <v>0</v>
      </c>
      <c r="EC18" s="162">
        <f t="shared" si="38"/>
        <v>0.23076923076923075</v>
      </c>
      <c r="ED18" s="162">
        <f t="shared" si="38"/>
        <v>0.23076923076923073</v>
      </c>
      <c r="EE18" s="162">
        <f t="shared" si="38"/>
        <v>0</v>
      </c>
      <c r="EF18" s="162">
        <f t="shared" si="38"/>
        <v>0</v>
      </c>
      <c r="EG18" s="162">
        <f t="shared" si="38"/>
        <v>0.23076923076923087</v>
      </c>
      <c r="EH18" s="162">
        <f t="shared" si="38"/>
        <v>0.23076923076923073</v>
      </c>
      <c r="EI18" s="162">
        <f t="shared" si="38"/>
        <v>0.23076923076923081</v>
      </c>
      <c r="EJ18" s="163">
        <f t="shared" si="38"/>
        <v>0.23076923076923075</v>
      </c>
      <c r="EK18" s="162">
        <f t="shared" si="38"/>
        <v>0.23076923076923078</v>
      </c>
      <c r="EL18" s="162">
        <f t="shared" si="38"/>
        <v>0.23076923076923081</v>
      </c>
      <c r="EM18" s="162">
        <f t="shared" si="38"/>
        <v>0.23076923076923081</v>
      </c>
      <c r="EN18" s="162">
        <f t="shared" si="49"/>
        <v>0.23076923076923073</v>
      </c>
      <c r="EO18" s="162">
        <f t="shared" si="49"/>
        <v>0.2307692307692307</v>
      </c>
      <c r="EP18" s="162">
        <f t="shared" si="49"/>
        <v>0</v>
      </c>
      <c r="EQ18" s="162">
        <f t="shared" si="49"/>
        <v>0</v>
      </c>
      <c r="ER18" s="162">
        <f t="shared" si="49"/>
        <v>0.23076923076923078</v>
      </c>
      <c r="ES18" s="162">
        <f t="shared" si="49"/>
        <v>0.23076923076923073</v>
      </c>
      <c r="ET18" s="162">
        <f t="shared" si="49"/>
        <v>0</v>
      </c>
      <c r="EU18" s="162">
        <f t="shared" si="49"/>
        <v>0</v>
      </c>
      <c r="EV18" s="162">
        <f t="shared" si="49"/>
        <v>0</v>
      </c>
      <c r="EW18" s="163">
        <f t="shared" si="49"/>
        <v>0.23076923076923075</v>
      </c>
      <c r="EX18" s="162">
        <f t="shared" si="49"/>
        <v>0.23076923076923078</v>
      </c>
      <c r="EY18" s="162">
        <f t="shared" si="49"/>
        <v>0</v>
      </c>
      <c r="EZ18" s="162">
        <f t="shared" si="49"/>
        <v>0.23076923076923078</v>
      </c>
      <c r="FA18" s="162">
        <f t="shared" si="49"/>
        <v>0.23076923076923073</v>
      </c>
      <c r="FB18" s="162">
        <f t="shared" si="49"/>
        <v>0</v>
      </c>
      <c r="FC18" s="162">
        <f t="shared" si="49"/>
        <v>0</v>
      </c>
      <c r="FD18" s="162">
        <f t="shared" si="50"/>
        <v>0</v>
      </c>
      <c r="FE18" s="162">
        <f t="shared" si="50"/>
        <v>0.23076923076923073</v>
      </c>
      <c r="FF18" s="162">
        <f t="shared" si="48"/>
        <v>0.2307692307692307</v>
      </c>
      <c r="FG18" s="162">
        <f t="shared" si="48"/>
        <v>0.23076923076923075</v>
      </c>
      <c r="FH18" s="163">
        <f t="shared" si="48"/>
        <v>0.23076923076923075</v>
      </c>
      <c r="FI18" s="164">
        <f t="shared" si="48"/>
        <v>0.23076923076923075</v>
      </c>
      <c r="FJ18" s="95"/>
      <c r="FK18" s="119">
        <v>0</v>
      </c>
      <c r="FL18" s="119">
        <v>0</v>
      </c>
      <c r="FM18" s="119">
        <v>0</v>
      </c>
      <c r="FN18" s="119">
        <v>0</v>
      </c>
      <c r="FO18" s="119">
        <v>0</v>
      </c>
      <c r="FP18" s="119">
        <v>0</v>
      </c>
      <c r="FQ18" s="119">
        <v>0</v>
      </c>
      <c r="FR18" s="119">
        <v>0</v>
      </c>
      <c r="FS18" s="119">
        <v>0</v>
      </c>
      <c r="FT18" s="119">
        <v>0</v>
      </c>
      <c r="FU18" s="119">
        <v>0</v>
      </c>
      <c r="FV18" s="119">
        <v>0</v>
      </c>
      <c r="FW18" s="98">
        <f t="shared" si="39"/>
        <v>0</v>
      </c>
      <c r="FX18" s="119">
        <v>0</v>
      </c>
      <c r="FY18" s="119">
        <v>0</v>
      </c>
      <c r="FZ18" s="119">
        <v>0</v>
      </c>
      <c r="GA18" s="119">
        <v>0</v>
      </c>
      <c r="GB18" s="119">
        <v>0</v>
      </c>
      <c r="GC18" s="119">
        <v>0</v>
      </c>
      <c r="GD18" s="119">
        <v>0</v>
      </c>
      <c r="GE18" s="119">
        <v>0</v>
      </c>
      <c r="GF18" s="119">
        <v>108451.73999999999</v>
      </c>
      <c r="GG18" s="119">
        <v>0</v>
      </c>
      <c r="GH18" s="119">
        <v>0</v>
      </c>
      <c r="GI18" s="119">
        <v>0</v>
      </c>
      <c r="GJ18" s="98">
        <f t="shared" si="40"/>
        <v>108451.73999999999</v>
      </c>
      <c r="GK18" s="119">
        <v>0</v>
      </c>
      <c r="GL18" s="119">
        <v>0</v>
      </c>
      <c r="GM18" s="119">
        <v>0</v>
      </c>
      <c r="GN18" s="119">
        <v>0</v>
      </c>
      <c r="GO18" s="119">
        <v>0</v>
      </c>
      <c r="GP18" s="119">
        <v>0</v>
      </c>
      <c r="GQ18" s="119">
        <v>0</v>
      </c>
      <c r="GR18" s="119">
        <v>6806.14</v>
      </c>
      <c r="GS18" s="119">
        <v>0</v>
      </c>
      <c r="GT18" s="119">
        <v>0</v>
      </c>
      <c r="GU18" s="98">
        <f t="shared" si="41"/>
        <v>6806.14</v>
      </c>
      <c r="GV18" s="96">
        <f t="shared" si="42"/>
        <v>6806.14</v>
      </c>
      <c r="GW18" s="95"/>
      <c r="GX18" s="119">
        <f t="shared" si="43"/>
        <v>10165.675000000001</v>
      </c>
      <c r="GY18" s="119">
        <f t="shared" si="22"/>
        <v>0</v>
      </c>
      <c r="GZ18" s="119">
        <f t="shared" si="22"/>
        <v>0</v>
      </c>
      <c r="HA18" s="119">
        <f t="shared" si="22"/>
        <v>161.25200000000001</v>
      </c>
      <c r="HB18" s="119">
        <f t="shared" si="22"/>
        <v>0</v>
      </c>
      <c r="HC18" s="119">
        <f t="shared" si="22"/>
        <v>2336.672</v>
      </c>
      <c r="HD18" s="119">
        <f t="shared" si="22"/>
        <v>53934.881000000001</v>
      </c>
      <c r="HE18" s="119">
        <f t="shared" si="22"/>
        <v>0</v>
      </c>
      <c r="HF18" s="119">
        <f t="shared" si="22"/>
        <v>0</v>
      </c>
      <c r="HG18" s="119">
        <f t="shared" si="22"/>
        <v>1914.2110000000002</v>
      </c>
      <c r="HH18" s="119">
        <f t="shared" si="22"/>
        <v>5148.9229999999998</v>
      </c>
      <c r="HI18" s="119">
        <f t="shared" si="22"/>
        <v>1144.9880000000001</v>
      </c>
      <c r="HJ18" s="98">
        <f t="shared" si="44"/>
        <v>74806.601999999999</v>
      </c>
      <c r="HK18" s="119">
        <f t="shared" si="23"/>
        <v>785.81100000000004</v>
      </c>
      <c r="HL18" s="119">
        <f t="shared" si="23"/>
        <v>796.01599999999996</v>
      </c>
      <c r="HM18" s="119">
        <f t="shared" si="23"/>
        <v>1916.9929999999999</v>
      </c>
      <c r="HN18" s="119">
        <f t="shared" si="23"/>
        <v>18245.058000000001</v>
      </c>
      <c r="HO18" s="119">
        <f t="shared" si="23"/>
        <v>7848.0739999999987</v>
      </c>
      <c r="HP18" s="119">
        <f t="shared" si="23"/>
        <v>0</v>
      </c>
      <c r="HQ18" s="119">
        <f t="shared" si="23"/>
        <v>0</v>
      </c>
      <c r="HR18" s="119">
        <f t="shared" si="23"/>
        <v>38684.502999999997</v>
      </c>
      <c r="HS18" s="119">
        <f t="shared" si="23"/>
        <v>-106741.92799999999</v>
      </c>
      <c r="HT18" s="119">
        <f t="shared" si="23"/>
        <v>0</v>
      </c>
      <c r="HU18" s="119">
        <f t="shared" si="23"/>
        <v>0</v>
      </c>
      <c r="HV18" s="119">
        <f t="shared" si="23"/>
        <v>0</v>
      </c>
      <c r="HW18" s="98">
        <f t="shared" si="45"/>
        <v>-38465.472999999998</v>
      </c>
      <c r="HX18" s="119">
        <f t="shared" si="24"/>
        <v>185.536</v>
      </c>
      <c r="HY18" s="119">
        <f t="shared" si="24"/>
        <v>0</v>
      </c>
      <c r="HZ18" s="119">
        <f t="shared" si="24"/>
        <v>8007.1420000000016</v>
      </c>
      <c r="IA18" s="119">
        <f t="shared" si="24"/>
        <v>2906.3969999999999</v>
      </c>
      <c r="IB18" s="119">
        <f t="shared" si="24"/>
        <v>0</v>
      </c>
      <c r="IC18" s="119">
        <f t="shared" si="24"/>
        <v>0</v>
      </c>
      <c r="ID18" s="119">
        <f t="shared" si="24"/>
        <v>0</v>
      </c>
      <c r="IE18" s="119">
        <f t="shared" si="24"/>
        <v>-5167.75</v>
      </c>
      <c r="IF18" s="119">
        <f t="shared" si="24"/>
        <v>28634.527999999995</v>
      </c>
      <c r="IG18" s="119">
        <f t="shared" si="24"/>
        <v>1914.796</v>
      </c>
      <c r="IH18" s="98">
        <f t="shared" si="46"/>
        <v>36480.648999999998</v>
      </c>
      <c r="II18" s="96">
        <f t="shared" si="47"/>
        <v>36480.648999999998</v>
      </c>
    </row>
    <row r="19" spans="2:243" x14ac:dyDescent="0.2">
      <c r="B19" s="101" t="s">
        <v>287</v>
      </c>
      <c r="C19" s="89" t="s">
        <v>288</v>
      </c>
      <c r="D19" s="89" t="str">
        <f>_xlfn.IFNA(INDEX('4. WIP Report (Oct-25)'!D:D,MATCH('7. POC Lookback Summary'!$B19,'4. WIP Report (Oct-25)'!$B:$B,0)),INDEX('5. Completed Jobs'!D:D,MATCH('7. POC Lookback Summary'!$B19,'5. Completed Jobs'!$B:$B,0)))</f>
        <v>University Facilities</v>
      </c>
      <c r="E19" s="89" t="str">
        <f>_xlfn.IFNA(INDEX('4. WIP Report (Oct-25)'!E:E,MATCH('7. POC Lookback Summary'!$B19,'4. WIP Report (Oct-25)'!$B:$B,0)),INDEX('5. Completed Jobs'!E:E,MATCH('7. POC Lookback Summary'!$B19,'5. Completed Jobs'!$B:$B,0)))</f>
        <v>Fire Alarm Installation</v>
      </c>
      <c r="F19" s="89" t="str">
        <f>_xlfn.IFNA(INDEX('4. WIP Report (Oct-25)'!F:F,MATCH('7. POC Lookback Summary'!$B19,'4. WIP Report (Oct-25)'!$B:$B,0)),INDEX('5. Completed Jobs'!F:F,MATCH('7. POC Lookback Summary'!$B19,'5. Completed Jobs'!$B:$B,0)))</f>
        <v>Infrastructure</v>
      </c>
      <c r="G19" s="89" t="str">
        <f>_xlfn.IFNA(INDEX('4. WIP Report (Oct-25)'!G:G,MATCH('7. POC Lookback Summary'!$B19,'4. WIP Report (Oct-25)'!$B:$B,0)),INDEX('5. Completed Jobs'!G:G,MATCH('7. POC Lookback Summary'!$B19,'5. Completed Jobs'!$B:$B,0)))</f>
        <v>Municipality</v>
      </c>
      <c r="H19" s="89" t="str">
        <f>_xlfn.IFNA(INDEX('4. WIP Report (Oct-25)'!H:H,MATCH('7. POC Lookback Summary'!$B19,'4. WIP Report (Oct-25)'!$B:$B,0)),INDEX('5. Completed Jobs'!H:H,MATCH('7. POC Lookback Summary'!$B19,'5. Completed Jobs'!$B:$B,0)))</f>
        <v>Retrofit</v>
      </c>
      <c r="J19" s="95"/>
      <c r="K19" s="119">
        <v>0</v>
      </c>
      <c r="L19" s="119">
        <v>22013.754077337537</v>
      </c>
      <c r="M19" s="119">
        <v>403.89458804548804</v>
      </c>
      <c r="N19" s="119">
        <v>96.476560436056886</v>
      </c>
      <c r="O19" s="119">
        <v>5128.271414021312</v>
      </c>
      <c r="P19" s="119">
        <v>1556.7180471623328</v>
      </c>
      <c r="Q19" s="119">
        <v>0</v>
      </c>
      <c r="R19" s="119">
        <v>0</v>
      </c>
      <c r="S19" s="119">
        <v>8405.3358771748899</v>
      </c>
      <c r="T19" s="119">
        <v>10450.667065210393</v>
      </c>
      <c r="U19" s="119">
        <v>14770.329521733771</v>
      </c>
      <c r="V19" s="119">
        <v>31041.795911238092</v>
      </c>
      <c r="W19" s="98">
        <f t="shared" si="25"/>
        <v>93867.243062359878</v>
      </c>
      <c r="X19" s="119">
        <v>0</v>
      </c>
      <c r="Y19" s="119">
        <v>31822.883635788134</v>
      </c>
      <c r="Z19" s="119">
        <v>0</v>
      </c>
      <c r="AA19" s="119">
        <v>0</v>
      </c>
      <c r="AB19" s="119">
        <v>0</v>
      </c>
      <c r="AC19" s="119">
        <v>826.99548333971757</v>
      </c>
      <c r="AD19" s="119">
        <v>16656.014136345584</v>
      </c>
      <c r="AE19" s="119">
        <v>0</v>
      </c>
      <c r="AF19" s="119">
        <v>0</v>
      </c>
      <c r="AG19" s="119">
        <v>1883.5766052796364</v>
      </c>
      <c r="AH19" s="119">
        <v>0</v>
      </c>
      <c r="AI19" s="119">
        <v>4395.8787050446026</v>
      </c>
      <c r="AJ19" s="98">
        <f t="shared" si="26"/>
        <v>55585.348565797678</v>
      </c>
      <c r="AK19" s="119">
        <v>6574.3892382219901</v>
      </c>
      <c r="AL19" s="119">
        <v>0</v>
      </c>
      <c r="AM19" s="119">
        <v>0</v>
      </c>
      <c r="AN19" s="119">
        <v>0</v>
      </c>
      <c r="AO19" s="119">
        <v>49639.497443453707</v>
      </c>
      <c r="AP19" s="119">
        <v>59835.001690166799</v>
      </c>
      <c r="AQ19" s="119">
        <v>0</v>
      </c>
      <c r="AR19" s="119">
        <v>0</v>
      </c>
      <c r="AS19" s="119">
        <v>0</v>
      </c>
      <c r="AT19" s="119">
        <v>0</v>
      </c>
      <c r="AU19" s="98">
        <f t="shared" si="27"/>
        <v>116048.88837184251</v>
      </c>
      <c r="AV19" s="96">
        <f t="shared" si="28"/>
        <v>120444.7670768871</v>
      </c>
      <c r="AW19" s="95"/>
      <c r="AX19" s="119">
        <v>0</v>
      </c>
      <c r="AY19" s="119">
        <v>9398.6200000000008</v>
      </c>
      <c r="AZ19" s="119">
        <v>172.44</v>
      </c>
      <c r="BA19" s="119">
        <v>41.19</v>
      </c>
      <c r="BB19" s="119">
        <v>2189.48</v>
      </c>
      <c r="BC19" s="119">
        <v>664.63</v>
      </c>
      <c r="BD19" s="119">
        <v>0</v>
      </c>
      <c r="BE19" s="119">
        <v>0</v>
      </c>
      <c r="BF19" s="119">
        <v>3588.6</v>
      </c>
      <c r="BG19" s="119">
        <v>4461.84</v>
      </c>
      <c r="BH19" s="119">
        <v>6306.09</v>
      </c>
      <c r="BI19" s="119">
        <v>13253.080000000002</v>
      </c>
      <c r="BJ19" s="98">
        <f t="shared" si="29"/>
        <v>40075.97</v>
      </c>
      <c r="BK19" s="119">
        <v>0</v>
      </c>
      <c r="BL19" s="119">
        <v>13586.560000000001</v>
      </c>
      <c r="BM19" s="119">
        <v>0</v>
      </c>
      <c r="BN19" s="119">
        <v>0</v>
      </c>
      <c r="BO19" s="119">
        <v>0</v>
      </c>
      <c r="BP19" s="119">
        <v>353.08</v>
      </c>
      <c r="BQ19" s="119">
        <v>7111.17</v>
      </c>
      <c r="BR19" s="119">
        <v>0</v>
      </c>
      <c r="BS19" s="119">
        <v>0</v>
      </c>
      <c r="BT19" s="119">
        <v>804.18</v>
      </c>
      <c r="BU19" s="119">
        <v>0</v>
      </c>
      <c r="BV19" s="119">
        <v>1876.7899999999997</v>
      </c>
      <c r="BW19" s="98">
        <f t="shared" si="30"/>
        <v>23731.780000000002</v>
      </c>
      <c r="BX19" s="119">
        <v>2806.8900000000003</v>
      </c>
      <c r="BY19" s="119">
        <v>0</v>
      </c>
      <c r="BZ19" s="119">
        <v>0</v>
      </c>
      <c r="CA19" s="119">
        <v>0</v>
      </c>
      <c r="CB19" s="119">
        <v>21193.239999999998</v>
      </c>
      <c r="CC19" s="119">
        <v>25546.14</v>
      </c>
      <c r="CD19" s="119">
        <v>0</v>
      </c>
      <c r="CE19" s="119">
        <v>0</v>
      </c>
      <c r="CF19" s="119">
        <v>0</v>
      </c>
      <c r="CG19" s="119">
        <v>0</v>
      </c>
      <c r="CH19" s="98">
        <f t="shared" si="31"/>
        <v>49546.27</v>
      </c>
      <c r="CI19" s="96">
        <f t="shared" si="32"/>
        <v>51423.06</v>
      </c>
      <c r="CJ19" s="95"/>
      <c r="CK19" s="119">
        <f t="shared" si="33"/>
        <v>0</v>
      </c>
      <c r="CL19" s="119">
        <f t="shared" si="18"/>
        <v>12615.134077337536</v>
      </c>
      <c r="CM19" s="119">
        <f t="shared" si="18"/>
        <v>231.45458804548804</v>
      </c>
      <c r="CN19" s="119">
        <f t="shared" si="18"/>
        <v>55.286560436056888</v>
      </c>
      <c r="CO19" s="119">
        <f t="shared" si="18"/>
        <v>2938.791414021312</v>
      </c>
      <c r="CP19" s="119">
        <f t="shared" si="18"/>
        <v>892.08804716233283</v>
      </c>
      <c r="CQ19" s="119">
        <f t="shared" si="18"/>
        <v>0</v>
      </c>
      <c r="CR19" s="119">
        <f t="shared" si="18"/>
        <v>0</v>
      </c>
      <c r="CS19" s="119">
        <f t="shared" si="18"/>
        <v>4816.7358771748895</v>
      </c>
      <c r="CT19" s="119">
        <f t="shared" si="18"/>
        <v>5988.8270652103929</v>
      </c>
      <c r="CU19" s="119">
        <f t="shared" si="18"/>
        <v>8464.2395217337707</v>
      </c>
      <c r="CV19" s="119">
        <f t="shared" si="18"/>
        <v>17788.71591123809</v>
      </c>
      <c r="CW19" s="98">
        <f t="shared" si="34"/>
        <v>53791.273062359869</v>
      </c>
      <c r="CX19" s="119">
        <f t="shared" si="19"/>
        <v>0</v>
      </c>
      <c r="CY19" s="119">
        <f t="shared" si="19"/>
        <v>18236.323635788132</v>
      </c>
      <c r="CZ19" s="119">
        <f t="shared" si="19"/>
        <v>0</v>
      </c>
      <c r="DA19" s="119">
        <f t="shared" si="19"/>
        <v>0</v>
      </c>
      <c r="DB19" s="119">
        <f t="shared" si="19"/>
        <v>0</v>
      </c>
      <c r="DC19" s="119">
        <f t="shared" si="19"/>
        <v>473.91548333971758</v>
      </c>
      <c r="DD19" s="119">
        <f t="shared" si="19"/>
        <v>9544.844136345584</v>
      </c>
      <c r="DE19" s="119">
        <f t="shared" si="19"/>
        <v>0</v>
      </c>
      <c r="DF19" s="119">
        <f t="shared" si="19"/>
        <v>0</v>
      </c>
      <c r="DG19" s="119">
        <f t="shared" si="19"/>
        <v>1079.3966052796363</v>
      </c>
      <c r="DH19" s="119">
        <f t="shared" si="19"/>
        <v>0</v>
      </c>
      <c r="DI19" s="119">
        <f t="shared" si="19"/>
        <v>2519.0887050446026</v>
      </c>
      <c r="DJ19" s="98">
        <f t="shared" si="35"/>
        <v>31853.568565797676</v>
      </c>
      <c r="DK19" s="119">
        <f t="shared" si="20"/>
        <v>3767.4992382219898</v>
      </c>
      <c r="DL19" s="119">
        <f t="shared" si="20"/>
        <v>0</v>
      </c>
      <c r="DM19" s="119">
        <f t="shared" si="20"/>
        <v>0</v>
      </c>
      <c r="DN19" s="119">
        <f t="shared" si="20"/>
        <v>0</v>
      </c>
      <c r="DO19" s="119">
        <f t="shared" si="20"/>
        <v>28446.257443453709</v>
      </c>
      <c r="DP19" s="119">
        <f t="shared" si="20"/>
        <v>34288.861690166799</v>
      </c>
      <c r="DQ19" s="119">
        <f t="shared" si="20"/>
        <v>0</v>
      </c>
      <c r="DR19" s="119">
        <f t="shared" si="20"/>
        <v>0</v>
      </c>
      <c r="DS19" s="119">
        <f t="shared" si="20"/>
        <v>0</v>
      </c>
      <c r="DT19" s="119">
        <f t="shared" si="20"/>
        <v>0</v>
      </c>
      <c r="DU19" s="98">
        <f t="shared" si="36"/>
        <v>66502.618371842502</v>
      </c>
      <c r="DV19" s="96">
        <f t="shared" si="37"/>
        <v>69021.707076887105</v>
      </c>
      <c r="DW19" s="95"/>
      <c r="DX19" s="162">
        <f t="shared" si="38"/>
        <v>0</v>
      </c>
      <c r="DY19" s="162">
        <f t="shared" si="38"/>
        <v>0.57305691855277052</v>
      </c>
      <c r="DZ19" s="162">
        <f t="shared" si="38"/>
        <v>0.57305691855277052</v>
      </c>
      <c r="EA19" s="162">
        <f t="shared" si="38"/>
        <v>0.57305691855277041</v>
      </c>
      <c r="EB19" s="162">
        <f t="shared" si="38"/>
        <v>0.57305691855277041</v>
      </c>
      <c r="EC19" s="162">
        <f t="shared" si="38"/>
        <v>0.57305691855277041</v>
      </c>
      <c r="ED19" s="162">
        <f t="shared" si="38"/>
        <v>0</v>
      </c>
      <c r="EE19" s="162">
        <f t="shared" si="38"/>
        <v>0</v>
      </c>
      <c r="EF19" s="162">
        <f t="shared" si="38"/>
        <v>0.57305691855277041</v>
      </c>
      <c r="EG19" s="162">
        <f t="shared" si="38"/>
        <v>0.57305691855277041</v>
      </c>
      <c r="EH19" s="162">
        <f t="shared" si="38"/>
        <v>0.57305691855277052</v>
      </c>
      <c r="EI19" s="162">
        <f t="shared" si="38"/>
        <v>0.57305691855277041</v>
      </c>
      <c r="EJ19" s="163">
        <f t="shared" si="38"/>
        <v>0.57305691855277041</v>
      </c>
      <c r="EK19" s="162">
        <f t="shared" si="38"/>
        <v>0</v>
      </c>
      <c r="EL19" s="162">
        <f t="shared" si="38"/>
        <v>0.57305691855277041</v>
      </c>
      <c r="EM19" s="162">
        <f t="shared" si="38"/>
        <v>0</v>
      </c>
      <c r="EN19" s="162">
        <f t="shared" si="49"/>
        <v>0</v>
      </c>
      <c r="EO19" s="162">
        <f t="shared" si="49"/>
        <v>0</v>
      </c>
      <c r="EP19" s="162">
        <f t="shared" si="49"/>
        <v>0.57305691855277052</v>
      </c>
      <c r="EQ19" s="162">
        <f t="shared" si="49"/>
        <v>0.57305691855277041</v>
      </c>
      <c r="ER19" s="162">
        <f t="shared" si="49"/>
        <v>0</v>
      </c>
      <c r="ES19" s="162">
        <f t="shared" si="49"/>
        <v>0</v>
      </c>
      <c r="ET19" s="162">
        <f t="shared" si="49"/>
        <v>0.57305691855277041</v>
      </c>
      <c r="EU19" s="162">
        <f t="shared" si="49"/>
        <v>0</v>
      </c>
      <c r="EV19" s="162">
        <f t="shared" si="49"/>
        <v>0.57305691855277041</v>
      </c>
      <c r="EW19" s="163">
        <f t="shared" si="49"/>
        <v>0.57305691855277041</v>
      </c>
      <c r="EX19" s="162">
        <f t="shared" si="49"/>
        <v>0.57305691855277052</v>
      </c>
      <c r="EY19" s="162">
        <f t="shared" si="49"/>
        <v>0</v>
      </c>
      <c r="EZ19" s="162">
        <f t="shared" si="49"/>
        <v>0</v>
      </c>
      <c r="FA19" s="162">
        <f t="shared" si="49"/>
        <v>0</v>
      </c>
      <c r="FB19" s="162">
        <f t="shared" si="49"/>
        <v>0.57305691855277052</v>
      </c>
      <c r="FC19" s="162">
        <f t="shared" si="49"/>
        <v>0.57305691855277052</v>
      </c>
      <c r="FD19" s="162">
        <f t="shared" si="50"/>
        <v>0</v>
      </c>
      <c r="FE19" s="162">
        <f t="shared" si="50"/>
        <v>0</v>
      </c>
      <c r="FF19" s="162">
        <f t="shared" si="48"/>
        <v>0</v>
      </c>
      <c r="FG19" s="162">
        <f t="shared" si="48"/>
        <v>0</v>
      </c>
      <c r="FH19" s="163">
        <f t="shared" si="48"/>
        <v>0.57305691855277041</v>
      </c>
      <c r="FI19" s="164">
        <f t="shared" si="48"/>
        <v>0.57305691855277052</v>
      </c>
      <c r="FJ19" s="95"/>
      <c r="FK19" s="119">
        <v>0</v>
      </c>
      <c r="FL19" s="119">
        <v>0</v>
      </c>
      <c r="FM19" s="119">
        <v>0</v>
      </c>
      <c r="FN19" s="119">
        <v>0</v>
      </c>
      <c r="FO19" s="119">
        <v>0</v>
      </c>
      <c r="FP19" s="119">
        <v>0</v>
      </c>
      <c r="FQ19" s="119">
        <v>0</v>
      </c>
      <c r="FR19" s="119">
        <v>0</v>
      </c>
      <c r="FS19" s="119">
        <v>0</v>
      </c>
      <c r="FT19" s="119">
        <v>0</v>
      </c>
      <c r="FU19" s="119">
        <v>51855.85</v>
      </c>
      <c r="FV19" s="119">
        <v>0</v>
      </c>
      <c r="FW19" s="98">
        <f t="shared" si="39"/>
        <v>51855.85</v>
      </c>
      <c r="FX19" s="119">
        <v>0</v>
      </c>
      <c r="FY19" s="119">
        <v>0</v>
      </c>
      <c r="FZ19" s="119">
        <v>0</v>
      </c>
      <c r="GA19" s="119">
        <v>0</v>
      </c>
      <c r="GB19" s="119">
        <v>66874.679999999993</v>
      </c>
      <c r="GC19" s="119">
        <v>0</v>
      </c>
      <c r="GD19" s="119">
        <v>0</v>
      </c>
      <c r="GE19" s="119">
        <v>0</v>
      </c>
      <c r="GF19" s="119">
        <v>0</v>
      </c>
      <c r="GG19" s="119">
        <v>0</v>
      </c>
      <c r="GH19" s="119">
        <v>0</v>
      </c>
      <c r="GI19" s="119">
        <v>0</v>
      </c>
      <c r="GJ19" s="98">
        <f t="shared" si="40"/>
        <v>66874.679999999993</v>
      </c>
      <c r="GK19" s="119">
        <v>0</v>
      </c>
      <c r="GL19" s="119">
        <v>0</v>
      </c>
      <c r="GM19" s="119">
        <v>0</v>
      </c>
      <c r="GN19" s="119">
        <v>53312.499999999993</v>
      </c>
      <c r="GO19" s="119">
        <v>0</v>
      </c>
      <c r="GP19" s="119">
        <v>0</v>
      </c>
      <c r="GQ19" s="119">
        <v>0</v>
      </c>
      <c r="GR19" s="119">
        <v>80101.58</v>
      </c>
      <c r="GS19" s="119">
        <v>0</v>
      </c>
      <c r="GT19" s="119">
        <v>13356.87</v>
      </c>
      <c r="GU19" s="98">
        <f t="shared" si="41"/>
        <v>146770.94999999998</v>
      </c>
      <c r="GV19" s="96">
        <f t="shared" si="42"/>
        <v>146770.94999999998</v>
      </c>
      <c r="GW19" s="95"/>
      <c r="GX19" s="119">
        <f t="shared" si="43"/>
        <v>0</v>
      </c>
      <c r="GY19" s="119">
        <f t="shared" si="22"/>
        <v>22013.754077337537</v>
      </c>
      <c r="GZ19" s="119">
        <f t="shared" si="22"/>
        <v>403.89458804548804</v>
      </c>
      <c r="HA19" s="119">
        <f t="shared" si="22"/>
        <v>96.476560436056886</v>
      </c>
      <c r="HB19" s="119">
        <f t="shared" si="22"/>
        <v>5128.271414021312</v>
      </c>
      <c r="HC19" s="119">
        <f t="shared" si="22"/>
        <v>1556.7180471623328</v>
      </c>
      <c r="HD19" s="119">
        <f t="shared" si="22"/>
        <v>0</v>
      </c>
      <c r="HE19" s="119">
        <f t="shared" si="22"/>
        <v>0</v>
      </c>
      <c r="HF19" s="119">
        <f t="shared" si="22"/>
        <v>8405.3358771748899</v>
      </c>
      <c r="HG19" s="119">
        <f t="shared" si="22"/>
        <v>10450.667065210393</v>
      </c>
      <c r="HH19" s="119">
        <f t="shared" si="22"/>
        <v>-37085.520478266226</v>
      </c>
      <c r="HI19" s="119">
        <f t="shared" si="22"/>
        <v>31041.795911238092</v>
      </c>
      <c r="HJ19" s="98">
        <f t="shared" si="44"/>
        <v>42011.393062359879</v>
      </c>
      <c r="HK19" s="119">
        <f t="shared" si="23"/>
        <v>0</v>
      </c>
      <c r="HL19" s="119">
        <f t="shared" si="23"/>
        <v>31822.883635788134</v>
      </c>
      <c r="HM19" s="119">
        <f t="shared" si="23"/>
        <v>0</v>
      </c>
      <c r="HN19" s="119">
        <f t="shared" si="23"/>
        <v>0</v>
      </c>
      <c r="HO19" s="119">
        <f t="shared" si="23"/>
        <v>-66874.679999999993</v>
      </c>
      <c r="HP19" s="119">
        <f t="shared" si="23"/>
        <v>826.99548333971757</v>
      </c>
      <c r="HQ19" s="119">
        <f t="shared" si="23"/>
        <v>16656.014136345584</v>
      </c>
      <c r="HR19" s="119">
        <f t="shared" si="23"/>
        <v>0</v>
      </c>
      <c r="HS19" s="119">
        <f t="shared" si="23"/>
        <v>0</v>
      </c>
      <c r="HT19" s="119">
        <f t="shared" si="23"/>
        <v>1883.5766052796364</v>
      </c>
      <c r="HU19" s="119">
        <f t="shared" si="23"/>
        <v>0</v>
      </c>
      <c r="HV19" s="119">
        <f t="shared" si="23"/>
        <v>4395.8787050446026</v>
      </c>
      <c r="HW19" s="98">
        <f t="shared" si="45"/>
        <v>-11289.331434202311</v>
      </c>
      <c r="HX19" s="119">
        <f t="shared" si="24"/>
        <v>6574.3892382219901</v>
      </c>
      <c r="HY19" s="119">
        <f t="shared" si="24"/>
        <v>0</v>
      </c>
      <c r="HZ19" s="119">
        <f t="shared" si="24"/>
        <v>0</v>
      </c>
      <c r="IA19" s="119">
        <f t="shared" si="24"/>
        <v>-53312.499999999993</v>
      </c>
      <c r="IB19" s="119">
        <f t="shared" si="24"/>
        <v>49639.497443453707</v>
      </c>
      <c r="IC19" s="119">
        <f t="shared" si="24"/>
        <v>59835.001690166799</v>
      </c>
      <c r="ID19" s="119">
        <f t="shared" si="24"/>
        <v>0</v>
      </c>
      <c r="IE19" s="119">
        <f t="shared" si="24"/>
        <v>-80101.58</v>
      </c>
      <c r="IF19" s="119">
        <f t="shared" si="24"/>
        <v>0</v>
      </c>
      <c r="IG19" s="119">
        <f t="shared" si="24"/>
        <v>-13356.87</v>
      </c>
      <c r="IH19" s="98">
        <f t="shared" si="46"/>
        <v>-30722.061628157498</v>
      </c>
      <c r="II19" s="96">
        <f t="shared" si="47"/>
        <v>-26326.182923112894</v>
      </c>
    </row>
    <row r="20" spans="2:243" x14ac:dyDescent="0.2">
      <c r="B20" s="101" t="s">
        <v>289</v>
      </c>
      <c r="C20" s="89" t="s">
        <v>290</v>
      </c>
      <c r="D20" s="89" t="str">
        <f>_xlfn.IFNA(INDEX('4. WIP Report (Oct-25)'!D:D,MATCH('7. POC Lookback Summary'!$B20,'4. WIP Report (Oct-25)'!$B:$B,0)),INDEX('5. Completed Jobs'!D:D,MATCH('7. POC Lookback Summary'!$B20,'5. Completed Jobs'!$B:$B,0)))</f>
        <v>Hospital Management Group</v>
      </c>
      <c r="E20" s="89" t="str">
        <f>_xlfn.IFNA(INDEX('4. WIP Report (Oct-25)'!E:E,MATCH('7. POC Lookback Summary'!$B20,'4. WIP Report (Oct-25)'!$B:$B,0)),INDEX('5. Completed Jobs'!E:E,MATCH('7. POC Lookback Summary'!$B20,'5. Completed Jobs'!$B:$B,0)))</f>
        <v>Fire Alarm Installation</v>
      </c>
      <c r="F20" s="89" t="str">
        <f>_xlfn.IFNA(INDEX('4. WIP Report (Oct-25)'!F:F,MATCH('7. POC Lookback Summary'!$B20,'4. WIP Report (Oct-25)'!$B:$B,0)),INDEX('5. Completed Jobs'!F:F,MATCH('7. POC Lookback Summary'!$B20,'5. Completed Jobs'!$B:$B,0)))</f>
        <v>Higher Education</v>
      </c>
      <c r="G20" s="89" t="str">
        <f>_xlfn.IFNA(INDEX('4. WIP Report (Oct-25)'!G:G,MATCH('7. POC Lookback Summary'!$B20,'4. WIP Report (Oct-25)'!$B:$B,0)),INDEX('5. Completed Jobs'!G:G,MATCH('7. POC Lookback Summary'!$B20,'5. Completed Jobs'!$B:$B,0)))</f>
        <v>Property Management Company</v>
      </c>
      <c r="H20" s="89" t="str">
        <f>_xlfn.IFNA(INDEX('4. WIP Report (Oct-25)'!H:H,MATCH('7. POC Lookback Summary'!$B20,'4. WIP Report (Oct-25)'!$B:$B,0)),INDEX('5. Completed Jobs'!H:H,MATCH('7. POC Lookback Summary'!$B20,'5. Completed Jobs'!$B:$B,0)))</f>
        <v>Retrofit</v>
      </c>
      <c r="J20" s="95"/>
      <c r="K20" s="119">
        <v>1961.8580354921494</v>
      </c>
      <c r="L20" s="119">
        <v>0</v>
      </c>
      <c r="M20" s="119">
        <v>0</v>
      </c>
      <c r="N20" s="119">
        <v>371.98173381940461</v>
      </c>
      <c r="O20" s="119">
        <v>2853.2249112674776</v>
      </c>
      <c r="P20" s="119">
        <v>5986.8733146835539</v>
      </c>
      <c r="Q20" s="119">
        <v>0</v>
      </c>
      <c r="R20" s="119">
        <v>6854.3326191941496</v>
      </c>
      <c r="S20" s="119">
        <v>0</v>
      </c>
      <c r="T20" s="119">
        <v>24831.468862477315</v>
      </c>
      <c r="U20" s="119">
        <v>5951.958679358484</v>
      </c>
      <c r="V20" s="119">
        <v>0</v>
      </c>
      <c r="W20" s="98">
        <f t="shared" si="25"/>
        <v>48811.698156292528</v>
      </c>
      <c r="X20" s="119">
        <v>0</v>
      </c>
      <c r="Y20" s="119">
        <v>466.74514129431003</v>
      </c>
      <c r="Z20" s="119">
        <v>13834.681864024162</v>
      </c>
      <c r="AA20" s="119">
        <v>23996.186685131703</v>
      </c>
      <c r="AB20" s="119">
        <v>0</v>
      </c>
      <c r="AC20" s="119">
        <v>1621.6199900457177</v>
      </c>
      <c r="AD20" s="119">
        <v>0</v>
      </c>
      <c r="AE20" s="119">
        <v>0</v>
      </c>
      <c r="AF20" s="119">
        <v>24404.006963280215</v>
      </c>
      <c r="AG20" s="119">
        <v>0</v>
      </c>
      <c r="AH20" s="119">
        <v>5067.7663562193748</v>
      </c>
      <c r="AI20" s="119">
        <v>4823.1471895478744</v>
      </c>
      <c r="AJ20" s="98">
        <f t="shared" si="26"/>
        <v>74214.154189543362</v>
      </c>
      <c r="AK20" s="119">
        <v>265.52688524414089</v>
      </c>
      <c r="AL20" s="119">
        <v>0</v>
      </c>
      <c r="AM20" s="119">
        <v>441.40037824553303</v>
      </c>
      <c r="AN20" s="119">
        <v>0</v>
      </c>
      <c r="AO20" s="119">
        <v>19788.157579154693</v>
      </c>
      <c r="AP20" s="119">
        <v>0</v>
      </c>
      <c r="AQ20" s="119">
        <v>0</v>
      </c>
      <c r="AR20" s="119">
        <v>9884.697120987059</v>
      </c>
      <c r="AS20" s="119">
        <v>5495.3765371084855</v>
      </c>
      <c r="AT20" s="119">
        <v>397.4291534241849</v>
      </c>
      <c r="AU20" s="98">
        <f t="shared" si="27"/>
        <v>36272.587654164097</v>
      </c>
      <c r="AV20" s="96">
        <f t="shared" si="28"/>
        <v>46163.50119993135</v>
      </c>
      <c r="AW20" s="95"/>
      <c r="AX20" s="119">
        <v>1719.98</v>
      </c>
      <c r="AY20" s="119">
        <v>0</v>
      </c>
      <c r="AZ20" s="119">
        <v>0</v>
      </c>
      <c r="BA20" s="119">
        <v>326.11999999999995</v>
      </c>
      <c r="BB20" s="119">
        <v>2501.4499999999998</v>
      </c>
      <c r="BC20" s="119">
        <v>5248.75</v>
      </c>
      <c r="BD20" s="119">
        <v>0</v>
      </c>
      <c r="BE20" s="119">
        <v>6009.26</v>
      </c>
      <c r="BF20" s="119">
        <v>0</v>
      </c>
      <c r="BG20" s="119">
        <v>21769.989999999998</v>
      </c>
      <c r="BH20" s="119">
        <v>5218.1400000000012</v>
      </c>
      <c r="BI20" s="119">
        <v>0</v>
      </c>
      <c r="BJ20" s="98">
        <f t="shared" si="29"/>
        <v>42793.689999999995</v>
      </c>
      <c r="BK20" s="119">
        <v>0</v>
      </c>
      <c r="BL20" s="119">
        <v>409.2</v>
      </c>
      <c r="BM20" s="119">
        <v>12129</v>
      </c>
      <c r="BN20" s="119">
        <v>21037.69</v>
      </c>
      <c r="BO20" s="119">
        <v>0</v>
      </c>
      <c r="BP20" s="119">
        <v>1421.69</v>
      </c>
      <c r="BQ20" s="119">
        <v>0</v>
      </c>
      <c r="BR20" s="119">
        <v>0</v>
      </c>
      <c r="BS20" s="119">
        <v>21395.230000000003</v>
      </c>
      <c r="BT20" s="119">
        <v>0</v>
      </c>
      <c r="BU20" s="119">
        <v>4442.96</v>
      </c>
      <c r="BV20" s="119">
        <v>4228.5</v>
      </c>
      <c r="BW20" s="98">
        <f t="shared" si="30"/>
        <v>65064.270000000004</v>
      </c>
      <c r="BX20" s="119">
        <v>232.79</v>
      </c>
      <c r="BY20" s="119">
        <v>0</v>
      </c>
      <c r="BZ20" s="119">
        <v>386.98</v>
      </c>
      <c r="CA20" s="119">
        <v>0</v>
      </c>
      <c r="CB20" s="119">
        <v>17348.47</v>
      </c>
      <c r="CC20" s="119">
        <v>0</v>
      </c>
      <c r="CD20" s="119">
        <v>0</v>
      </c>
      <c r="CE20" s="119">
        <v>8666.01</v>
      </c>
      <c r="CF20" s="119">
        <v>4817.8500000000004</v>
      </c>
      <c r="CG20" s="119">
        <v>348.43</v>
      </c>
      <c r="CH20" s="98">
        <f t="shared" si="31"/>
        <v>31800.53</v>
      </c>
      <c r="CI20" s="96">
        <f t="shared" si="32"/>
        <v>40471.99</v>
      </c>
      <c r="CJ20" s="95"/>
      <c r="CK20" s="119">
        <f t="shared" si="33"/>
        <v>241.87803549214937</v>
      </c>
      <c r="CL20" s="119">
        <f t="shared" si="18"/>
        <v>0</v>
      </c>
      <c r="CM20" s="119">
        <f t="shared" si="18"/>
        <v>0</v>
      </c>
      <c r="CN20" s="119">
        <f t="shared" si="18"/>
        <v>45.861733819404662</v>
      </c>
      <c r="CO20" s="119">
        <f t="shared" si="18"/>
        <v>351.77491126747782</v>
      </c>
      <c r="CP20" s="119">
        <f t="shared" si="18"/>
        <v>738.12331468355387</v>
      </c>
      <c r="CQ20" s="119">
        <f t="shared" si="18"/>
        <v>0</v>
      </c>
      <c r="CR20" s="119">
        <f t="shared" si="18"/>
        <v>845.07261919414941</v>
      </c>
      <c r="CS20" s="119">
        <f t="shared" si="18"/>
        <v>0</v>
      </c>
      <c r="CT20" s="119">
        <f t="shared" si="18"/>
        <v>3061.4788624773173</v>
      </c>
      <c r="CU20" s="119">
        <f t="shared" si="18"/>
        <v>733.81867935848277</v>
      </c>
      <c r="CV20" s="119">
        <f t="shared" si="18"/>
        <v>0</v>
      </c>
      <c r="CW20" s="98">
        <f t="shared" si="34"/>
        <v>6018.0081562925352</v>
      </c>
      <c r="CX20" s="119">
        <f t="shared" si="19"/>
        <v>0</v>
      </c>
      <c r="CY20" s="119">
        <f t="shared" si="19"/>
        <v>57.545141294310042</v>
      </c>
      <c r="CZ20" s="119">
        <f t="shared" si="19"/>
        <v>1705.6818640241618</v>
      </c>
      <c r="DA20" s="119">
        <f t="shared" si="19"/>
        <v>2958.496685131704</v>
      </c>
      <c r="DB20" s="119">
        <f t="shared" si="19"/>
        <v>0</v>
      </c>
      <c r="DC20" s="119">
        <f t="shared" si="19"/>
        <v>199.92999004571766</v>
      </c>
      <c r="DD20" s="119">
        <f t="shared" si="19"/>
        <v>0</v>
      </c>
      <c r="DE20" s="119">
        <f t="shared" si="19"/>
        <v>0</v>
      </c>
      <c r="DF20" s="119">
        <f t="shared" si="19"/>
        <v>3008.7769632802119</v>
      </c>
      <c r="DG20" s="119">
        <f t="shared" si="19"/>
        <v>0</v>
      </c>
      <c r="DH20" s="119">
        <f t="shared" si="19"/>
        <v>624.80635621937472</v>
      </c>
      <c r="DI20" s="119">
        <f t="shared" si="19"/>
        <v>594.6471895478744</v>
      </c>
      <c r="DJ20" s="98">
        <f t="shared" si="35"/>
        <v>9149.8841895433543</v>
      </c>
      <c r="DK20" s="119">
        <f t="shared" si="20"/>
        <v>32.736885244140893</v>
      </c>
      <c r="DL20" s="119">
        <f t="shared" si="20"/>
        <v>0</v>
      </c>
      <c r="DM20" s="119">
        <f t="shared" si="20"/>
        <v>54.420378245533016</v>
      </c>
      <c r="DN20" s="119">
        <f t="shared" si="20"/>
        <v>0</v>
      </c>
      <c r="DO20" s="119">
        <f t="shared" si="20"/>
        <v>2439.6875791546918</v>
      </c>
      <c r="DP20" s="119">
        <f t="shared" si="20"/>
        <v>0</v>
      </c>
      <c r="DQ20" s="119">
        <f t="shared" si="20"/>
        <v>0</v>
      </c>
      <c r="DR20" s="119">
        <f t="shared" si="20"/>
        <v>1218.6871209870587</v>
      </c>
      <c r="DS20" s="119">
        <f t="shared" si="20"/>
        <v>677.52653710848517</v>
      </c>
      <c r="DT20" s="119">
        <f t="shared" si="20"/>
        <v>48.999153424184897</v>
      </c>
      <c r="DU20" s="98">
        <f t="shared" si="36"/>
        <v>4472.0576541640949</v>
      </c>
      <c r="DV20" s="96">
        <f t="shared" si="37"/>
        <v>5691.511199931344</v>
      </c>
      <c r="DW20" s="95"/>
      <c r="DX20" s="162">
        <f t="shared" si="38"/>
        <v>0.12329028457529147</v>
      </c>
      <c r="DY20" s="162">
        <f t="shared" si="38"/>
        <v>0</v>
      </c>
      <c r="DZ20" s="162">
        <f t="shared" si="38"/>
        <v>0</v>
      </c>
      <c r="EA20" s="162">
        <f t="shared" si="38"/>
        <v>0.12329028457529133</v>
      </c>
      <c r="EB20" s="162">
        <f t="shared" si="38"/>
        <v>0.12329028457529138</v>
      </c>
      <c r="EC20" s="162">
        <f t="shared" si="38"/>
        <v>0.12329028457529147</v>
      </c>
      <c r="ED20" s="162">
        <f t="shared" si="38"/>
        <v>0</v>
      </c>
      <c r="EE20" s="162">
        <f t="shared" si="38"/>
        <v>0.12329028457529144</v>
      </c>
      <c r="EF20" s="162">
        <f t="shared" si="38"/>
        <v>0</v>
      </c>
      <c r="EG20" s="162">
        <f t="shared" si="38"/>
        <v>0.12329028457529147</v>
      </c>
      <c r="EH20" s="162">
        <f t="shared" si="38"/>
        <v>0.12329028457529134</v>
      </c>
      <c r="EI20" s="162">
        <f t="shared" si="38"/>
        <v>0</v>
      </c>
      <c r="EJ20" s="163">
        <f t="shared" si="38"/>
        <v>0.12329028457529145</v>
      </c>
      <c r="EK20" s="162">
        <f t="shared" si="38"/>
        <v>0</v>
      </c>
      <c r="EL20" s="162">
        <f t="shared" si="38"/>
        <v>0.12329028457529133</v>
      </c>
      <c r="EM20" s="162">
        <f t="shared" si="38"/>
        <v>0.1232902845752914</v>
      </c>
      <c r="EN20" s="162">
        <f t="shared" si="49"/>
        <v>0.12329028457529131</v>
      </c>
      <c r="EO20" s="162">
        <f t="shared" si="49"/>
        <v>0</v>
      </c>
      <c r="EP20" s="162">
        <f t="shared" si="49"/>
        <v>0.12329028457529134</v>
      </c>
      <c r="EQ20" s="162">
        <f t="shared" si="49"/>
        <v>0</v>
      </c>
      <c r="ER20" s="162">
        <f t="shared" si="49"/>
        <v>0</v>
      </c>
      <c r="ES20" s="162">
        <f t="shared" si="49"/>
        <v>0.12329028457529145</v>
      </c>
      <c r="ET20" s="162">
        <f t="shared" si="49"/>
        <v>0</v>
      </c>
      <c r="EU20" s="162">
        <f t="shared" si="49"/>
        <v>0.12329028457529148</v>
      </c>
      <c r="EV20" s="162">
        <f t="shared" si="49"/>
        <v>0.12329028457529141</v>
      </c>
      <c r="EW20" s="163">
        <f t="shared" si="49"/>
        <v>0.12329028457529138</v>
      </c>
      <c r="EX20" s="162">
        <f t="shared" si="49"/>
        <v>0.12329028457529148</v>
      </c>
      <c r="EY20" s="162">
        <f t="shared" si="49"/>
        <v>0</v>
      </c>
      <c r="EZ20" s="162">
        <f t="shared" si="49"/>
        <v>0.12329028457529137</v>
      </c>
      <c r="FA20" s="162">
        <f t="shared" si="49"/>
        <v>0</v>
      </c>
      <c r="FB20" s="162">
        <f t="shared" si="49"/>
        <v>0.12329028457529141</v>
      </c>
      <c r="FC20" s="162">
        <f t="shared" si="49"/>
        <v>0</v>
      </c>
      <c r="FD20" s="162">
        <f t="shared" si="50"/>
        <v>0</v>
      </c>
      <c r="FE20" s="162">
        <f t="shared" si="50"/>
        <v>0.12329028457529147</v>
      </c>
      <c r="FF20" s="162">
        <f t="shared" si="48"/>
        <v>0.12329028457529151</v>
      </c>
      <c r="FG20" s="162">
        <f t="shared" si="48"/>
        <v>0.12329028457529138</v>
      </c>
      <c r="FH20" s="163">
        <f t="shared" si="48"/>
        <v>0.12329028457529145</v>
      </c>
      <c r="FI20" s="164">
        <f t="shared" si="48"/>
        <v>0.12329028457529144</v>
      </c>
      <c r="FJ20" s="95"/>
      <c r="FK20" s="119">
        <v>0</v>
      </c>
      <c r="FL20" s="119">
        <v>0</v>
      </c>
      <c r="FM20" s="119">
        <v>0</v>
      </c>
      <c r="FN20" s="119">
        <v>0</v>
      </c>
      <c r="FO20" s="119">
        <v>0</v>
      </c>
      <c r="FP20" s="119">
        <v>0</v>
      </c>
      <c r="FQ20" s="119">
        <v>0</v>
      </c>
      <c r="FR20" s="119">
        <v>0</v>
      </c>
      <c r="FS20" s="119">
        <v>0</v>
      </c>
      <c r="FT20" s="119">
        <v>0</v>
      </c>
      <c r="FU20" s="119">
        <v>0</v>
      </c>
      <c r="FV20" s="119">
        <v>0</v>
      </c>
      <c r="FW20" s="98">
        <f t="shared" si="39"/>
        <v>0</v>
      </c>
      <c r="FX20" s="119">
        <v>0</v>
      </c>
      <c r="FY20" s="119">
        <v>0</v>
      </c>
      <c r="FZ20" s="119">
        <v>0</v>
      </c>
      <c r="GA20" s="119">
        <v>96617.68</v>
      </c>
      <c r="GB20" s="119">
        <v>0</v>
      </c>
      <c r="GC20" s="119">
        <v>0</v>
      </c>
      <c r="GD20" s="119">
        <v>0</v>
      </c>
      <c r="GE20" s="119">
        <v>47846.95</v>
      </c>
      <c r="GF20" s="119">
        <v>0</v>
      </c>
      <c r="GG20" s="119">
        <v>0</v>
      </c>
      <c r="GH20" s="119">
        <v>0</v>
      </c>
      <c r="GI20" s="119">
        <v>0</v>
      </c>
      <c r="GJ20" s="98">
        <f t="shared" si="40"/>
        <v>144464.63</v>
      </c>
      <c r="GK20" s="119">
        <v>14833.810000000001</v>
      </c>
      <c r="GL20" s="119">
        <v>0</v>
      </c>
      <c r="GM20" s="119">
        <v>0</v>
      </c>
      <c r="GN20" s="119">
        <v>0</v>
      </c>
      <c r="GO20" s="119">
        <v>0</v>
      </c>
      <c r="GP20" s="119">
        <v>0</v>
      </c>
      <c r="GQ20" s="119">
        <v>0</v>
      </c>
      <c r="GR20" s="119">
        <v>0</v>
      </c>
      <c r="GS20" s="119">
        <v>0</v>
      </c>
      <c r="GT20" s="119">
        <v>0</v>
      </c>
      <c r="GU20" s="98">
        <f t="shared" si="41"/>
        <v>14833.810000000001</v>
      </c>
      <c r="GV20" s="96">
        <f t="shared" si="42"/>
        <v>14833.810000000001</v>
      </c>
      <c r="GW20" s="95"/>
      <c r="GX20" s="119">
        <f t="shared" si="43"/>
        <v>1961.8580354921494</v>
      </c>
      <c r="GY20" s="119">
        <f t="shared" si="22"/>
        <v>0</v>
      </c>
      <c r="GZ20" s="119">
        <f t="shared" si="22"/>
        <v>0</v>
      </c>
      <c r="HA20" s="119">
        <f t="shared" si="22"/>
        <v>371.98173381940461</v>
      </c>
      <c r="HB20" s="119">
        <f t="shared" si="22"/>
        <v>2853.2249112674776</v>
      </c>
      <c r="HC20" s="119">
        <f t="shared" si="22"/>
        <v>5986.8733146835539</v>
      </c>
      <c r="HD20" s="119">
        <f t="shared" si="22"/>
        <v>0</v>
      </c>
      <c r="HE20" s="119">
        <f t="shared" si="22"/>
        <v>6854.3326191941496</v>
      </c>
      <c r="HF20" s="119">
        <f t="shared" si="22"/>
        <v>0</v>
      </c>
      <c r="HG20" s="119">
        <f t="shared" si="22"/>
        <v>24831.468862477315</v>
      </c>
      <c r="HH20" s="119">
        <f t="shared" si="22"/>
        <v>5951.958679358484</v>
      </c>
      <c r="HI20" s="119">
        <f t="shared" si="22"/>
        <v>0</v>
      </c>
      <c r="HJ20" s="98">
        <f t="shared" si="44"/>
        <v>48811.698156292528</v>
      </c>
      <c r="HK20" s="119">
        <f t="shared" si="23"/>
        <v>0</v>
      </c>
      <c r="HL20" s="119">
        <f t="shared" si="23"/>
        <v>466.74514129431003</v>
      </c>
      <c r="HM20" s="119">
        <f t="shared" si="23"/>
        <v>13834.681864024162</v>
      </c>
      <c r="HN20" s="119">
        <f t="shared" si="23"/>
        <v>-72621.49331486829</v>
      </c>
      <c r="HO20" s="119">
        <f t="shared" si="23"/>
        <v>0</v>
      </c>
      <c r="HP20" s="119">
        <f t="shared" si="23"/>
        <v>1621.6199900457177</v>
      </c>
      <c r="HQ20" s="119">
        <f t="shared" si="23"/>
        <v>0</v>
      </c>
      <c r="HR20" s="119">
        <f t="shared" si="23"/>
        <v>-47846.95</v>
      </c>
      <c r="HS20" s="119">
        <f t="shared" si="23"/>
        <v>24404.006963280215</v>
      </c>
      <c r="HT20" s="119">
        <f t="shared" si="23"/>
        <v>0</v>
      </c>
      <c r="HU20" s="119">
        <f t="shared" si="23"/>
        <v>5067.7663562193748</v>
      </c>
      <c r="HV20" s="119">
        <f t="shared" si="23"/>
        <v>4823.1471895478744</v>
      </c>
      <c r="HW20" s="98">
        <f t="shared" si="45"/>
        <v>-70250.475810456628</v>
      </c>
      <c r="HX20" s="119">
        <f t="shared" si="24"/>
        <v>-14568.283114755861</v>
      </c>
      <c r="HY20" s="119">
        <f t="shared" si="24"/>
        <v>0</v>
      </c>
      <c r="HZ20" s="119">
        <f t="shared" si="24"/>
        <v>441.40037824553303</v>
      </c>
      <c r="IA20" s="119">
        <f t="shared" si="24"/>
        <v>0</v>
      </c>
      <c r="IB20" s="119">
        <f t="shared" si="24"/>
        <v>19788.157579154693</v>
      </c>
      <c r="IC20" s="119">
        <f t="shared" si="24"/>
        <v>0</v>
      </c>
      <c r="ID20" s="119">
        <f t="shared" si="24"/>
        <v>0</v>
      </c>
      <c r="IE20" s="119">
        <f t="shared" si="24"/>
        <v>9884.697120987059</v>
      </c>
      <c r="IF20" s="119">
        <f t="shared" si="24"/>
        <v>5495.3765371084855</v>
      </c>
      <c r="IG20" s="119">
        <f t="shared" si="24"/>
        <v>397.4291534241849</v>
      </c>
      <c r="IH20" s="98">
        <f t="shared" si="46"/>
        <v>21438.777654164096</v>
      </c>
      <c r="II20" s="96">
        <f t="shared" si="47"/>
        <v>31329.691199931345</v>
      </c>
    </row>
    <row r="21" spans="2:243" x14ac:dyDescent="0.2">
      <c r="B21" s="101" t="s">
        <v>219</v>
      </c>
      <c r="C21" s="89" t="s">
        <v>220</v>
      </c>
      <c r="D21" s="89" t="str">
        <f>_xlfn.IFNA(INDEX('4. WIP Report (Oct-25)'!D:D,MATCH('7. POC Lookback Summary'!$B21,'4. WIP Report (Oct-25)'!$B:$B,0)),INDEX('5. Completed Jobs'!D:D,MATCH('7. POC Lookback Summary'!$B21,'5. Completed Jobs'!$B:$B,0)))</f>
        <v>Industrial Real Estate Trust</v>
      </c>
      <c r="E21" s="89" t="str">
        <f>_xlfn.IFNA(INDEX('4. WIP Report (Oct-25)'!E:E,MATCH('7. POC Lookback Summary'!$B21,'4. WIP Report (Oct-25)'!$B:$B,0)),INDEX('5. Completed Jobs'!E:E,MATCH('7. POC Lookback Summary'!$B21,'5. Completed Jobs'!$B:$B,0)))</f>
        <v>Fire Alarm Installation</v>
      </c>
      <c r="F21" s="89" t="str">
        <f>_xlfn.IFNA(INDEX('4. WIP Report (Oct-25)'!F:F,MATCH('7. POC Lookback Summary'!$B21,'4. WIP Report (Oct-25)'!$B:$B,0)),INDEX('5. Completed Jobs'!F:F,MATCH('7. POC Lookback Summary'!$B21,'5. Completed Jobs'!$B:$B,0)))</f>
        <v>Commercial</v>
      </c>
      <c r="G21" s="89" t="str">
        <f>_xlfn.IFNA(INDEX('4. WIP Report (Oct-25)'!G:G,MATCH('7. POC Lookback Summary'!$B21,'4. WIP Report (Oct-25)'!$B:$B,0)),INDEX('5. Completed Jobs'!G:G,MATCH('7. POC Lookback Summary'!$B21,'5. Completed Jobs'!$B:$B,0)))</f>
        <v>Direct</v>
      </c>
      <c r="H21" s="89" t="str">
        <f>_xlfn.IFNA(INDEX('4. WIP Report (Oct-25)'!H:H,MATCH('7. POC Lookback Summary'!$B21,'4. WIP Report (Oct-25)'!$B:$B,0)),INDEX('5. Completed Jobs'!H:H,MATCH('7. POC Lookback Summary'!$B21,'5. Completed Jobs'!$B:$B,0)))</f>
        <v>New Construction</v>
      </c>
      <c r="J21" s="95"/>
      <c r="K21" s="119">
        <v>2456.5580000000045</v>
      </c>
      <c r="L21" s="119">
        <v>0</v>
      </c>
      <c r="M21" s="119">
        <v>20619.378000000041</v>
      </c>
      <c r="N21" s="119">
        <v>5077.8260000000091</v>
      </c>
      <c r="O21" s="119">
        <v>32123.97500000006</v>
      </c>
      <c r="P21" s="119">
        <v>0</v>
      </c>
      <c r="Q21" s="119">
        <v>3680.8850000000075</v>
      </c>
      <c r="R21" s="119">
        <v>0</v>
      </c>
      <c r="S21" s="119">
        <v>0</v>
      </c>
      <c r="T21" s="119">
        <v>18258.136000000035</v>
      </c>
      <c r="U21" s="119">
        <v>0</v>
      </c>
      <c r="V21" s="119">
        <v>0</v>
      </c>
      <c r="W21" s="98">
        <f t="shared" si="25"/>
        <v>82216.758000000147</v>
      </c>
      <c r="X21" s="119">
        <v>2433.1450000000045</v>
      </c>
      <c r="Y21" s="119">
        <v>0</v>
      </c>
      <c r="Z21" s="119">
        <v>11920.922000000022</v>
      </c>
      <c r="AA21" s="119">
        <v>24712.025000000045</v>
      </c>
      <c r="AB21" s="119">
        <v>1186.6400000000021</v>
      </c>
      <c r="AC21" s="119">
        <v>13571.597000000027</v>
      </c>
      <c r="AD21" s="119">
        <v>14240.148000000028</v>
      </c>
      <c r="AE21" s="119">
        <v>12386.816000000024</v>
      </c>
      <c r="AF21" s="119">
        <v>3797.8590000000077</v>
      </c>
      <c r="AG21" s="119">
        <v>114.28300000000021</v>
      </c>
      <c r="AH21" s="119">
        <v>30.251000000000058</v>
      </c>
      <c r="AI21" s="119">
        <v>0</v>
      </c>
      <c r="AJ21" s="98">
        <f t="shared" si="26"/>
        <v>84393.686000000162</v>
      </c>
      <c r="AK21" s="119">
        <v>256.39900000000046</v>
      </c>
      <c r="AL21" s="119">
        <v>544.63500000000101</v>
      </c>
      <c r="AM21" s="119">
        <v>0</v>
      </c>
      <c r="AN21" s="119">
        <v>21699.366000000042</v>
      </c>
      <c r="AO21" s="119">
        <v>0</v>
      </c>
      <c r="AP21" s="119">
        <v>16019.666000000032</v>
      </c>
      <c r="AQ21" s="119">
        <v>2337.8940000000048</v>
      </c>
      <c r="AR21" s="119">
        <v>0</v>
      </c>
      <c r="AS21" s="119">
        <v>598.98800000000108</v>
      </c>
      <c r="AT21" s="119">
        <v>2472.9120000000048</v>
      </c>
      <c r="AU21" s="98">
        <f t="shared" si="27"/>
        <v>43929.860000000088</v>
      </c>
      <c r="AV21" s="96">
        <f t="shared" si="28"/>
        <v>43960.111000000084</v>
      </c>
      <c r="AW21" s="95"/>
      <c r="AX21" s="119">
        <v>1889.6599999999999</v>
      </c>
      <c r="AY21" s="119">
        <v>0</v>
      </c>
      <c r="AZ21" s="119">
        <v>15861.06</v>
      </c>
      <c r="BA21" s="119">
        <v>3906.0199999999995</v>
      </c>
      <c r="BB21" s="119">
        <v>24710.75</v>
      </c>
      <c r="BC21" s="119">
        <v>0</v>
      </c>
      <c r="BD21" s="119">
        <v>2831.4500000000003</v>
      </c>
      <c r="BE21" s="119">
        <v>0</v>
      </c>
      <c r="BF21" s="119">
        <v>0</v>
      </c>
      <c r="BG21" s="119">
        <v>14044.72</v>
      </c>
      <c r="BH21" s="119">
        <v>0</v>
      </c>
      <c r="BI21" s="119">
        <v>0</v>
      </c>
      <c r="BJ21" s="98">
        <f t="shared" si="29"/>
        <v>63243.66</v>
      </c>
      <c r="BK21" s="119">
        <v>1871.6499999999999</v>
      </c>
      <c r="BL21" s="119">
        <v>0</v>
      </c>
      <c r="BM21" s="119">
        <v>9169.94</v>
      </c>
      <c r="BN21" s="119">
        <v>19009.25</v>
      </c>
      <c r="BO21" s="119">
        <v>912.8</v>
      </c>
      <c r="BP21" s="119">
        <v>10439.69</v>
      </c>
      <c r="BQ21" s="119">
        <v>10953.960000000001</v>
      </c>
      <c r="BR21" s="119">
        <v>9528.32</v>
      </c>
      <c r="BS21" s="119">
        <v>2921.4300000000003</v>
      </c>
      <c r="BT21" s="119">
        <v>87.91</v>
      </c>
      <c r="BU21" s="119">
        <v>23.27</v>
      </c>
      <c r="BV21" s="119">
        <v>0</v>
      </c>
      <c r="BW21" s="98">
        <f t="shared" si="30"/>
        <v>64918.22</v>
      </c>
      <c r="BX21" s="119">
        <v>197.23</v>
      </c>
      <c r="BY21" s="119">
        <v>418.95</v>
      </c>
      <c r="BZ21" s="119">
        <v>0</v>
      </c>
      <c r="CA21" s="119">
        <v>16691.82</v>
      </c>
      <c r="CB21" s="119">
        <v>0</v>
      </c>
      <c r="CC21" s="119">
        <v>12322.820000000002</v>
      </c>
      <c r="CD21" s="119">
        <v>1798.38</v>
      </c>
      <c r="CE21" s="119">
        <v>0</v>
      </c>
      <c r="CF21" s="119">
        <v>460.76</v>
      </c>
      <c r="CG21" s="119">
        <v>1902.24</v>
      </c>
      <c r="CH21" s="98">
        <f t="shared" si="31"/>
        <v>33792.199999999997</v>
      </c>
      <c r="CI21" s="96">
        <f t="shared" si="32"/>
        <v>33815.469999999994</v>
      </c>
      <c r="CJ21" s="95"/>
      <c r="CK21" s="119">
        <f t="shared" si="33"/>
        <v>566.89800000000469</v>
      </c>
      <c r="CL21" s="119">
        <f t="shared" si="18"/>
        <v>0</v>
      </c>
      <c r="CM21" s="119">
        <f t="shared" si="18"/>
        <v>4758.3180000000411</v>
      </c>
      <c r="CN21" s="119">
        <f t="shared" si="18"/>
        <v>1171.8060000000096</v>
      </c>
      <c r="CO21" s="119">
        <f t="shared" si="18"/>
        <v>7413.2250000000604</v>
      </c>
      <c r="CP21" s="119">
        <f t="shared" si="18"/>
        <v>0</v>
      </c>
      <c r="CQ21" s="119">
        <f t="shared" si="18"/>
        <v>849.43500000000722</v>
      </c>
      <c r="CR21" s="119">
        <f t="shared" si="18"/>
        <v>0</v>
      </c>
      <c r="CS21" s="119">
        <f t="shared" si="18"/>
        <v>0</v>
      </c>
      <c r="CT21" s="119">
        <f t="shared" si="18"/>
        <v>4213.4160000000356</v>
      </c>
      <c r="CU21" s="119">
        <f t="shared" si="18"/>
        <v>0</v>
      </c>
      <c r="CV21" s="119">
        <f t="shared" si="18"/>
        <v>0</v>
      </c>
      <c r="CW21" s="98">
        <f t="shared" si="34"/>
        <v>18973.098000000158</v>
      </c>
      <c r="CX21" s="119">
        <f t="shared" si="19"/>
        <v>561.49500000000467</v>
      </c>
      <c r="CY21" s="119">
        <f t="shared" si="19"/>
        <v>0</v>
      </c>
      <c r="CZ21" s="119">
        <f t="shared" si="19"/>
        <v>2750.9820000000218</v>
      </c>
      <c r="DA21" s="119">
        <f t="shared" si="19"/>
        <v>5702.7750000000451</v>
      </c>
      <c r="DB21" s="119">
        <f t="shared" si="19"/>
        <v>273.84000000000219</v>
      </c>
      <c r="DC21" s="119">
        <f t="shared" si="19"/>
        <v>3131.9070000000265</v>
      </c>
      <c r="DD21" s="119">
        <f t="shared" si="19"/>
        <v>3286.1880000000274</v>
      </c>
      <c r="DE21" s="119">
        <f t="shared" si="19"/>
        <v>2858.4960000000247</v>
      </c>
      <c r="DF21" s="119">
        <f t="shared" si="19"/>
        <v>876.42900000000736</v>
      </c>
      <c r="DG21" s="119">
        <f t="shared" si="19"/>
        <v>26.373000000000218</v>
      </c>
      <c r="DH21" s="119">
        <f t="shared" si="19"/>
        <v>6.9810000000000585</v>
      </c>
      <c r="DI21" s="119">
        <f t="shared" si="19"/>
        <v>0</v>
      </c>
      <c r="DJ21" s="98">
        <f t="shared" si="35"/>
        <v>19475.466000000157</v>
      </c>
      <c r="DK21" s="119">
        <f t="shared" si="20"/>
        <v>59.169000000000466</v>
      </c>
      <c r="DL21" s="119">
        <f t="shared" si="20"/>
        <v>125.68500000000103</v>
      </c>
      <c r="DM21" s="119">
        <f t="shared" si="20"/>
        <v>0</v>
      </c>
      <c r="DN21" s="119">
        <f t="shared" si="20"/>
        <v>5007.5460000000421</v>
      </c>
      <c r="DO21" s="119">
        <f t="shared" si="20"/>
        <v>0</v>
      </c>
      <c r="DP21" s="119">
        <f t="shared" si="20"/>
        <v>3696.8460000000305</v>
      </c>
      <c r="DQ21" s="119">
        <f t="shared" si="20"/>
        <v>539.51400000000467</v>
      </c>
      <c r="DR21" s="119">
        <f t="shared" si="20"/>
        <v>0</v>
      </c>
      <c r="DS21" s="119">
        <f t="shared" si="20"/>
        <v>138.22800000000109</v>
      </c>
      <c r="DT21" s="119">
        <f t="shared" si="20"/>
        <v>570.6720000000048</v>
      </c>
      <c r="DU21" s="98">
        <f t="shared" si="36"/>
        <v>10137.660000000084</v>
      </c>
      <c r="DV21" s="96">
        <f t="shared" si="37"/>
        <v>10144.641000000083</v>
      </c>
      <c r="DW21" s="95"/>
      <c r="DX21" s="162">
        <f t="shared" si="38"/>
        <v>0.23076923076923225</v>
      </c>
      <c r="DY21" s="162">
        <f t="shared" si="38"/>
        <v>0</v>
      </c>
      <c r="DZ21" s="162">
        <f t="shared" si="38"/>
        <v>0.23076923076923231</v>
      </c>
      <c r="EA21" s="162">
        <f t="shared" si="38"/>
        <v>0.23076923076923225</v>
      </c>
      <c r="EB21" s="162">
        <f t="shared" si="38"/>
        <v>0.23076923076923223</v>
      </c>
      <c r="EC21" s="162">
        <f t="shared" si="38"/>
        <v>0</v>
      </c>
      <c r="ED21" s="162">
        <f t="shared" si="38"/>
        <v>0.23076923076923225</v>
      </c>
      <c r="EE21" s="162">
        <f t="shared" si="38"/>
        <v>0</v>
      </c>
      <c r="EF21" s="162">
        <f t="shared" si="38"/>
        <v>0</v>
      </c>
      <c r="EG21" s="162">
        <f t="shared" si="38"/>
        <v>0.23076923076923228</v>
      </c>
      <c r="EH21" s="162">
        <f t="shared" si="38"/>
        <v>0</v>
      </c>
      <c r="EI21" s="162">
        <f t="shared" si="38"/>
        <v>0</v>
      </c>
      <c r="EJ21" s="163">
        <f t="shared" si="38"/>
        <v>0.23076923076923228</v>
      </c>
      <c r="EK21" s="162">
        <f t="shared" si="38"/>
        <v>0.23076923076923225</v>
      </c>
      <c r="EL21" s="162">
        <f t="shared" si="38"/>
        <v>0</v>
      </c>
      <c r="EM21" s="162">
        <f t="shared" si="38"/>
        <v>0.23076923076923217</v>
      </c>
      <c r="EN21" s="162">
        <f t="shared" si="49"/>
        <v>0.23076923076923217</v>
      </c>
      <c r="EO21" s="162">
        <f t="shared" si="49"/>
        <v>0.2307692307692322</v>
      </c>
      <c r="EP21" s="162">
        <f t="shared" si="49"/>
        <v>0.23076923076923225</v>
      </c>
      <c r="EQ21" s="162">
        <f t="shared" si="49"/>
        <v>0.23076923076923223</v>
      </c>
      <c r="ER21" s="162">
        <f t="shared" si="49"/>
        <v>0.23076923076923231</v>
      </c>
      <c r="ES21" s="162">
        <f t="shared" si="49"/>
        <v>0.23076923076923225</v>
      </c>
      <c r="ET21" s="162">
        <f t="shared" si="49"/>
        <v>0.23076923076923225</v>
      </c>
      <c r="EU21" s="162">
        <f t="shared" si="49"/>
        <v>0.23076923076923225</v>
      </c>
      <c r="EV21" s="162">
        <f t="shared" si="49"/>
        <v>0</v>
      </c>
      <c r="EW21" s="163">
        <f t="shared" si="49"/>
        <v>0.2307692307692322</v>
      </c>
      <c r="EX21" s="162">
        <f t="shared" si="49"/>
        <v>0.23076923076923217</v>
      </c>
      <c r="EY21" s="162">
        <f t="shared" si="49"/>
        <v>0.23076923076923223</v>
      </c>
      <c r="EZ21" s="162">
        <f t="shared" si="49"/>
        <v>0</v>
      </c>
      <c r="FA21" s="162">
        <f t="shared" si="49"/>
        <v>0.23076923076923225</v>
      </c>
      <c r="FB21" s="162">
        <f t="shared" si="49"/>
        <v>0</v>
      </c>
      <c r="FC21" s="162">
        <f t="shared" si="49"/>
        <v>0.2307692307692322</v>
      </c>
      <c r="FD21" s="162">
        <f t="shared" si="50"/>
        <v>0.23076923076923231</v>
      </c>
      <c r="FE21" s="162">
        <f t="shared" si="50"/>
        <v>0</v>
      </c>
      <c r="FF21" s="162">
        <f t="shared" si="48"/>
        <v>0.23076923076923217</v>
      </c>
      <c r="FG21" s="162">
        <f t="shared" si="48"/>
        <v>0.23076923076923225</v>
      </c>
      <c r="FH21" s="163">
        <f t="shared" si="48"/>
        <v>0.2307692307692322</v>
      </c>
      <c r="FI21" s="164">
        <f t="shared" si="48"/>
        <v>0.23076923076923223</v>
      </c>
      <c r="FJ21" s="95"/>
      <c r="FK21" s="119">
        <v>0</v>
      </c>
      <c r="FL21" s="119">
        <v>19938.43</v>
      </c>
      <c r="FM21" s="119">
        <v>0</v>
      </c>
      <c r="FN21" s="119">
        <v>0</v>
      </c>
      <c r="FO21" s="119">
        <v>0</v>
      </c>
      <c r="FP21" s="119">
        <v>0</v>
      </c>
      <c r="FQ21" s="119">
        <v>0</v>
      </c>
      <c r="FR21" s="119">
        <v>0</v>
      </c>
      <c r="FS21" s="119">
        <v>48675.06</v>
      </c>
      <c r="FT21" s="119">
        <v>108334.08</v>
      </c>
      <c r="FU21" s="119">
        <v>0</v>
      </c>
      <c r="FV21" s="119">
        <v>0</v>
      </c>
      <c r="FW21" s="98">
        <f t="shared" si="39"/>
        <v>176947.57</v>
      </c>
      <c r="FX21" s="119">
        <v>0</v>
      </c>
      <c r="FY21" s="119">
        <v>0</v>
      </c>
      <c r="FZ21" s="119">
        <v>0</v>
      </c>
      <c r="GA21" s="119">
        <v>0</v>
      </c>
      <c r="GB21" s="119">
        <v>0</v>
      </c>
      <c r="GC21" s="119">
        <v>0</v>
      </c>
      <c r="GD21" s="119">
        <v>0</v>
      </c>
      <c r="GE21" s="119">
        <v>0</v>
      </c>
      <c r="GF21" s="119">
        <v>0</v>
      </c>
      <c r="GG21" s="119">
        <v>0</v>
      </c>
      <c r="GH21" s="119">
        <v>0</v>
      </c>
      <c r="GI21" s="119">
        <v>0</v>
      </c>
      <c r="GJ21" s="98">
        <f t="shared" si="40"/>
        <v>0</v>
      </c>
      <c r="GK21" s="119">
        <v>-52891.23</v>
      </c>
      <c r="GL21" s="119">
        <v>0</v>
      </c>
      <c r="GM21" s="119">
        <v>0</v>
      </c>
      <c r="GN21" s="119">
        <v>0</v>
      </c>
      <c r="GO21" s="119">
        <v>0</v>
      </c>
      <c r="GP21" s="119">
        <v>40011.54</v>
      </c>
      <c r="GQ21" s="119">
        <v>0</v>
      </c>
      <c r="GR21" s="119">
        <v>10048.530000000001</v>
      </c>
      <c r="GS21" s="119">
        <v>34310.370000000003</v>
      </c>
      <c r="GT21" s="119">
        <v>0</v>
      </c>
      <c r="GU21" s="98">
        <f t="shared" si="41"/>
        <v>31479.21</v>
      </c>
      <c r="GV21" s="96">
        <f t="shared" si="42"/>
        <v>31479.21</v>
      </c>
      <c r="GW21" s="95"/>
      <c r="GX21" s="119">
        <f t="shared" si="43"/>
        <v>2456.5580000000045</v>
      </c>
      <c r="GY21" s="119">
        <f t="shared" si="22"/>
        <v>-19938.43</v>
      </c>
      <c r="GZ21" s="119">
        <f t="shared" si="22"/>
        <v>20619.378000000041</v>
      </c>
      <c r="HA21" s="119">
        <f t="shared" si="22"/>
        <v>5077.8260000000091</v>
      </c>
      <c r="HB21" s="119">
        <f t="shared" si="22"/>
        <v>32123.97500000006</v>
      </c>
      <c r="HC21" s="119">
        <f t="shared" si="22"/>
        <v>0</v>
      </c>
      <c r="HD21" s="119">
        <f t="shared" si="22"/>
        <v>3680.8850000000075</v>
      </c>
      <c r="HE21" s="119">
        <f t="shared" si="22"/>
        <v>0</v>
      </c>
      <c r="HF21" s="119">
        <f t="shared" si="22"/>
        <v>-48675.06</v>
      </c>
      <c r="HG21" s="119">
        <f t="shared" si="22"/>
        <v>-90075.943999999959</v>
      </c>
      <c r="HH21" s="119">
        <f t="shared" si="22"/>
        <v>0</v>
      </c>
      <c r="HI21" s="119">
        <f t="shared" si="22"/>
        <v>0</v>
      </c>
      <c r="HJ21" s="98">
        <f t="shared" si="44"/>
        <v>-94730.811999999831</v>
      </c>
      <c r="HK21" s="119">
        <f t="shared" si="23"/>
        <v>2433.1450000000045</v>
      </c>
      <c r="HL21" s="119">
        <f t="shared" si="23"/>
        <v>0</v>
      </c>
      <c r="HM21" s="119">
        <f t="shared" si="23"/>
        <v>11920.922000000022</v>
      </c>
      <c r="HN21" s="119">
        <f t="shared" si="23"/>
        <v>24712.025000000045</v>
      </c>
      <c r="HO21" s="119">
        <f t="shared" si="23"/>
        <v>1186.6400000000021</v>
      </c>
      <c r="HP21" s="119">
        <f t="shared" si="23"/>
        <v>13571.597000000027</v>
      </c>
      <c r="HQ21" s="119">
        <f t="shared" si="23"/>
        <v>14240.148000000028</v>
      </c>
      <c r="HR21" s="119">
        <f t="shared" si="23"/>
        <v>12386.816000000024</v>
      </c>
      <c r="HS21" s="119">
        <f t="shared" si="23"/>
        <v>3797.8590000000077</v>
      </c>
      <c r="HT21" s="119">
        <f t="shared" si="23"/>
        <v>114.28300000000021</v>
      </c>
      <c r="HU21" s="119">
        <f t="shared" si="23"/>
        <v>30.251000000000058</v>
      </c>
      <c r="HV21" s="119">
        <f t="shared" si="23"/>
        <v>0</v>
      </c>
      <c r="HW21" s="98">
        <f t="shared" si="45"/>
        <v>84393.686000000162</v>
      </c>
      <c r="HX21" s="119">
        <f t="shared" si="24"/>
        <v>53147.629000000001</v>
      </c>
      <c r="HY21" s="119">
        <f t="shared" si="24"/>
        <v>544.63500000000101</v>
      </c>
      <c r="HZ21" s="119">
        <f t="shared" si="24"/>
        <v>0</v>
      </c>
      <c r="IA21" s="119">
        <f t="shared" si="24"/>
        <v>21699.366000000042</v>
      </c>
      <c r="IB21" s="119">
        <f t="shared" si="24"/>
        <v>0</v>
      </c>
      <c r="IC21" s="119">
        <f t="shared" si="24"/>
        <v>-23991.873999999967</v>
      </c>
      <c r="ID21" s="119">
        <f t="shared" si="24"/>
        <v>2337.8940000000048</v>
      </c>
      <c r="IE21" s="119">
        <f t="shared" si="24"/>
        <v>-10048.530000000001</v>
      </c>
      <c r="IF21" s="119">
        <f t="shared" si="24"/>
        <v>-33711.382000000005</v>
      </c>
      <c r="IG21" s="119">
        <f t="shared" si="24"/>
        <v>2472.9120000000048</v>
      </c>
      <c r="IH21" s="98">
        <f t="shared" si="46"/>
        <v>12450.650000000089</v>
      </c>
      <c r="II21" s="96">
        <f t="shared" si="47"/>
        <v>12480.901000000089</v>
      </c>
    </row>
    <row r="22" spans="2:243" x14ac:dyDescent="0.2">
      <c r="B22" s="101" t="s">
        <v>291</v>
      </c>
      <c r="C22" s="89" t="s">
        <v>292</v>
      </c>
      <c r="D22" s="89" t="str">
        <f>_xlfn.IFNA(INDEX('4. WIP Report (Oct-25)'!D:D,MATCH('7. POC Lookback Summary'!$B22,'4. WIP Report (Oct-25)'!$B:$B,0)),INDEX('5. Completed Jobs'!D:D,MATCH('7. POC Lookback Summary'!$B22,'5. Completed Jobs'!$B:$B,0)))</f>
        <v>University Facilities</v>
      </c>
      <c r="E22" s="89" t="str">
        <f>_xlfn.IFNA(INDEX('4. WIP Report (Oct-25)'!E:E,MATCH('7. POC Lookback Summary'!$B22,'4. WIP Report (Oct-25)'!$B:$B,0)),INDEX('5. Completed Jobs'!E:E,MATCH('7. POC Lookback Summary'!$B22,'5. Completed Jobs'!$B:$B,0)))</f>
        <v>Fire Alarm Installation</v>
      </c>
      <c r="F22" s="89" t="str">
        <f>_xlfn.IFNA(INDEX('4. WIP Report (Oct-25)'!F:F,MATCH('7. POC Lookback Summary'!$B22,'4. WIP Report (Oct-25)'!$B:$B,0)),INDEX('5. Completed Jobs'!F:F,MATCH('7. POC Lookback Summary'!$B22,'5. Completed Jobs'!$B:$B,0)))</f>
        <v>Industrial</v>
      </c>
      <c r="G22" s="89" t="str">
        <f>_xlfn.IFNA(INDEX('4. WIP Report (Oct-25)'!G:G,MATCH('7. POC Lookback Summary'!$B22,'4. WIP Report (Oct-25)'!$B:$B,0)),INDEX('5. Completed Jobs'!G:G,MATCH('7. POC Lookback Summary'!$B22,'5. Completed Jobs'!$B:$B,0)))</f>
        <v>Municipality</v>
      </c>
      <c r="H22" s="89" t="str">
        <f>_xlfn.IFNA(INDEX('4. WIP Report (Oct-25)'!H:H,MATCH('7. POC Lookback Summary'!$B22,'4. WIP Report (Oct-25)'!$B:$B,0)),INDEX('5. Completed Jobs'!H:H,MATCH('7. POC Lookback Summary'!$B22,'5. Completed Jobs'!$B:$B,0)))</f>
        <v>New Construction</v>
      </c>
      <c r="J22" s="95"/>
      <c r="K22" s="119">
        <v>8890.6184013511647</v>
      </c>
      <c r="L22" s="119">
        <v>5898.1904524056836</v>
      </c>
      <c r="M22" s="119">
        <v>156.25298891570222</v>
      </c>
      <c r="N22" s="119">
        <v>2047.6142833473737</v>
      </c>
      <c r="O22" s="119">
        <v>13078.957522161092</v>
      </c>
      <c r="P22" s="119">
        <v>5629.3607183352642</v>
      </c>
      <c r="Q22" s="119">
        <v>3276.0945193796524</v>
      </c>
      <c r="R22" s="119">
        <v>0</v>
      </c>
      <c r="S22" s="119">
        <v>16888.736480755022</v>
      </c>
      <c r="T22" s="119">
        <v>235.34461385366501</v>
      </c>
      <c r="U22" s="119">
        <v>3462.1356880289695</v>
      </c>
      <c r="V22" s="119">
        <v>0</v>
      </c>
      <c r="W22" s="98">
        <f t="shared" si="25"/>
        <v>59563.305668533591</v>
      </c>
      <c r="X22" s="119">
        <v>5231.3997976546525</v>
      </c>
      <c r="Y22" s="119">
        <v>0</v>
      </c>
      <c r="Z22" s="119">
        <v>0</v>
      </c>
      <c r="AA22" s="119">
        <v>1656.5074248899273</v>
      </c>
      <c r="AB22" s="119">
        <v>15305.071869897927</v>
      </c>
      <c r="AC22" s="119">
        <v>18732.364711780494</v>
      </c>
      <c r="AD22" s="119">
        <v>5593.421876558903</v>
      </c>
      <c r="AE22" s="119">
        <v>6444.8305414546821</v>
      </c>
      <c r="AF22" s="119">
        <v>21763.937698673555</v>
      </c>
      <c r="AG22" s="119">
        <v>31295.631752831079</v>
      </c>
      <c r="AH22" s="119">
        <v>6029.4972721320601</v>
      </c>
      <c r="AI22" s="119">
        <v>725.1728697259208</v>
      </c>
      <c r="AJ22" s="98">
        <f t="shared" si="26"/>
        <v>112777.8358155992</v>
      </c>
      <c r="AK22" s="119">
        <v>2754.2697343701357</v>
      </c>
      <c r="AL22" s="119">
        <v>14704.62984611864</v>
      </c>
      <c r="AM22" s="119">
        <v>0</v>
      </c>
      <c r="AN22" s="119">
        <v>6472.0832089100368</v>
      </c>
      <c r="AO22" s="119">
        <v>1010.4425382457002</v>
      </c>
      <c r="AP22" s="119">
        <v>13381.697688185262</v>
      </c>
      <c r="AQ22" s="119">
        <v>47480.002922685635</v>
      </c>
      <c r="AR22" s="119">
        <v>0</v>
      </c>
      <c r="AS22" s="119">
        <v>453.88941409589518</v>
      </c>
      <c r="AT22" s="119">
        <v>23575.193163255957</v>
      </c>
      <c r="AU22" s="98">
        <f t="shared" si="27"/>
        <v>109832.20851586727</v>
      </c>
      <c r="AV22" s="96">
        <f t="shared" si="28"/>
        <v>116586.87865772526</v>
      </c>
      <c r="AW22" s="95"/>
      <c r="AX22" s="119">
        <v>5434.98</v>
      </c>
      <c r="AY22" s="119">
        <v>3605.66</v>
      </c>
      <c r="AZ22" s="119">
        <v>95.52</v>
      </c>
      <c r="BA22" s="119">
        <v>1251.74</v>
      </c>
      <c r="BB22" s="119">
        <v>7995.38</v>
      </c>
      <c r="BC22" s="119">
        <v>3441.32</v>
      </c>
      <c r="BD22" s="119">
        <v>2002.73</v>
      </c>
      <c r="BE22" s="119">
        <v>0</v>
      </c>
      <c r="BF22" s="119">
        <v>10324.36</v>
      </c>
      <c r="BG22" s="119">
        <v>143.87</v>
      </c>
      <c r="BH22" s="119">
        <v>2116.46</v>
      </c>
      <c r="BI22" s="119">
        <v>0</v>
      </c>
      <c r="BJ22" s="98">
        <f t="shared" si="29"/>
        <v>36412.020000000004</v>
      </c>
      <c r="BK22" s="119">
        <v>3198.04</v>
      </c>
      <c r="BL22" s="119">
        <v>0</v>
      </c>
      <c r="BM22" s="119">
        <v>0</v>
      </c>
      <c r="BN22" s="119">
        <v>1012.65</v>
      </c>
      <c r="BO22" s="119">
        <v>9356.24</v>
      </c>
      <c r="BP22" s="119">
        <v>11451.4</v>
      </c>
      <c r="BQ22" s="119">
        <v>3419.35</v>
      </c>
      <c r="BR22" s="119">
        <v>3939.8300000000004</v>
      </c>
      <c r="BS22" s="119">
        <v>13304.65</v>
      </c>
      <c r="BT22" s="119">
        <v>19131.53</v>
      </c>
      <c r="BU22" s="119">
        <v>3685.9300000000003</v>
      </c>
      <c r="BV22" s="119">
        <v>443.31</v>
      </c>
      <c r="BW22" s="98">
        <f t="shared" si="30"/>
        <v>68942.929999999993</v>
      </c>
      <c r="BX22" s="119">
        <v>1683.73</v>
      </c>
      <c r="BY22" s="119">
        <v>8989.18</v>
      </c>
      <c r="BZ22" s="119">
        <v>0</v>
      </c>
      <c r="CA22" s="119">
        <v>3956.49</v>
      </c>
      <c r="CB22" s="119">
        <v>617.70000000000005</v>
      </c>
      <c r="CC22" s="119">
        <v>8180.4499999999989</v>
      </c>
      <c r="CD22" s="119">
        <v>29025.3</v>
      </c>
      <c r="CE22" s="119">
        <v>0</v>
      </c>
      <c r="CF22" s="119">
        <v>277.47000000000003</v>
      </c>
      <c r="CG22" s="119">
        <v>14411.9</v>
      </c>
      <c r="CH22" s="98">
        <f t="shared" si="31"/>
        <v>67142.22</v>
      </c>
      <c r="CI22" s="96">
        <f t="shared" si="32"/>
        <v>71271.459999999992</v>
      </c>
      <c r="CJ22" s="95"/>
      <c r="CK22" s="119">
        <f t="shared" si="33"/>
        <v>3455.6384013511652</v>
      </c>
      <c r="CL22" s="119">
        <f t="shared" si="18"/>
        <v>2292.5304524056837</v>
      </c>
      <c r="CM22" s="119">
        <f t="shared" si="18"/>
        <v>60.732988915702222</v>
      </c>
      <c r="CN22" s="119">
        <f t="shared" si="18"/>
        <v>795.87428334737365</v>
      </c>
      <c r="CO22" s="119">
        <f t="shared" si="18"/>
        <v>5083.577522161092</v>
      </c>
      <c r="CP22" s="119">
        <f t="shared" si="18"/>
        <v>2188.040718335264</v>
      </c>
      <c r="CQ22" s="119">
        <f t="shared" si="18"/>
        <v>1273.3645193796524</v>
      </c>
      <c r="CR22" s="119">
        <f t="shared" si="18"/>
        <v>0</v>
      </c>
      <c r="CS22" s="119">
        <f t="shared" si="18"/>
        <v>6564.3764807550215</v>
      </c>
      <c r="CT22" s="119">
        <f t="shared" si="18"/>
        <v>91.474613853665005</v>
      </c>
      <c r="CU22" s="119">
        <f t="shared" si="18"/>
        <v>1345.6756880289695</v>
      </c>
      <c r="CV22" s="119">
        <f t="shared" si="18"/>
        <v>0</v>
      </c>
      <c r="CW22" s="98">
        <f t="shared" si="34"/>
        <v>23151.285668533586</v>
      </c>
      <c r="CX22" s="119">
        <f t="shared" si="19"/>
        <v>2033.3597976546525</v>
      </c>
      <c r="CY22" s="119">
        <f t="shared" si="19"/>
        <v>0</v>
      </c>
      <c r="CZ22" s="119">
        <f t="shared" si="19"/>
        <v>0</v>
      </c>
      <c r="DA22" s="119">
        <f t="shared" si="19"/>
        <v>643.8574248899273</v>
      </c>
      <c r="DB22" s="119">
        <f t="shared" si="19"/>
        <v>5948.8318698979274</v>
      </c>
      <c r="DC22" s="119">
        <f t="shared" si="19"/>
        <v>7280.9647117804943</v>
      </c>
      <c r="DD22" s="119">
        <f t="shared" si="19"/>
        <v>2174.0718765589031</v>
      </c>
      <c r="DE22" s="119">
        <f t="shared" si="19"/>
        <v>2505.0005414546818</v>
      </c>
      <c r="DF22" s="119">
        <f t="shared" si="19"/>
        <v>8459.2876986735555</v>
      </c>
      <c r="DG22" s="119">
        <f t="shared" si="19"/>
        <v>12164.10175283108</v>
      </c>
      <c r="DH22" s="119">
        <f t="shared" si="19"/>
        <v>2343.5672721320598</v>
      </c>
      <c r="DI22" s="119">
        <f t="shared" si="19"/>
        <v>281.8628697259208</v>
      </c>
      <c r="DJ22" s="98">
        <f t="shared" si="35"/>
        <v>43834.905815599202</v>
      </c>
      <c r="DK22" s="119">
        <f t="shared" si="20"/>
        <v>1070.5397343701356</v>
      </c>
      <c r="DL22" s="119">
        <f t="shared" si="20"/>
        <v>5715.4498461186395</v>
      </c>
      <c r="DM22" s="119">
        <f t="shared" si="20"/>
        <v>0</v>
      </c>
      <c r="DN22" s="119">
        <f t="shared" si="20"/>
        <v>2515.593208910037</v>
      </c>
      <c r="DO22" s="119">
        <f t="shared" si="20"/>
        <v>392.74253824570019</v>
      </c>
      <c r="DP22" s="119">
        <f t="shared" si="20"/>
        <v>5201.2476881852635</v>
      </c>
      <c r="DQ22" s="119">
        <f t="shared" si="20"/>
        <v>18454.702922685636</v>
      </c>
      <c r="DR22" s="119">
        <f t="shared" si="20"/>
        <v>0</v>
      </c>
      <c r="DS22" s="119">
        <f t="shared" si="20"/>
        <v>176.41941409589515</v>
      </c>
      <c r="DT22" s="119">
        <f t="shared" si="20"/>
        <v>9163.2931632559576</v>
      </c>
      <c r="DU22" s="98">
        <f t="shared" si="36"/>
        <v>42689.988515867262</v>
      </c>
      <c r="DV22" s="96">
        <f t="shared" si="37"/>
        <v>45315.41865772524</v>
      </c>
      <c r="DW22" s="95"/>
      <c r="DX22" s="162">
        <f t="shared" si="38"/>
        <v>0.3886836939066004</v>
      </c>
      <c r="DY22" s="162">
        <f t="shared" si="38"/>
        <v>0.3886836939066004</v>
      </c>
      <c r="DZ22" s="162">
        <f t="shared" si="38"/>
        <v>0.3886836939066004</v>
      </c>
      <c r="EA22" s="162">
        <f t="shared" si="38"/>
        <v>0.38868369390660046</v>
      </c>
      <c r="EB22" s="162">
        <f t="shared" si="38"/>
        <v>0.38868369390660051</v>
      </c>
      <c r="EC22" s="162">
        <f t="shared" si="38"/>
        <v>0.3886836939066004</v>
      </c>
      <c r="ED22" s="162">
        <f t="shared" si="38"/>
        <v>0.38868369390660051</v>
      </c>
      <c r="EE22" s="162">
        <f t="shared" si="38"/>
        <v>0</v>
      </c>
      <c r="EF22" s="162">
        <f t="shared" si="38"/>
        <v>0.38868369390660046</v>
      </c>
      <c r="EG22" s="162">
        <f t="shared" si="38"/>
        <v>0.3886836939066004</v>
      </c>
      <c r="EH22" s="162">
        <f t="shared" si="38"/>
        <v>0.38868369390660046</v>
      </c>
      <c r="EI22" s="162">
        <f t="shared" si="38"/>
        <v>0</v>
      </c>
      <c r="EJ22" s="163">
        <f t="shared" si="38"/>
        <v>0.3886836939066004</v>
      </c>
      <c r="EK22" s="162">
        <f t="shared" si="38"/>
        <v>0.38868369390660046</v>
      </c>
      <c r="EL22" s="162">
        <f t="shared" si="38"/>
        <v>0</v>
      </c>
      <c r="EM22" s="162">
        <f t="shared" si="38"/>
        <v>0</v>
      </c>
      <c r="EN22" s="162">
        <f t="shared" si="49"/>
        <v>0.38868369390660035</v>
      </c>
      <c r="EO22" s="162">
        <f t="shared" si="49"/>
        <v>0.38868369390660046</v>
      </c>
      <c r="EP22" s="162">
        <f t="shared" si="49"/>
        <v>0.38868369390660051</v>
      </c>
      <c r="EQ22" s="162">
        <f t="shared" si="49"/>
        <v>0.3886836939066004</v>
      </c>
      <c r="ER22" s="162">
        <f t="shared" si="49"/>
        <v>0.38868369390660046</v>
      </c>
      <c r="ES22" s="162">
        <f t="shared" si="49"/>
        <v>0.38868369390660051</v>
      </c>
      <c r="ET22" s="162">
        <f t="shared" si="49"/>
        <v>0.38868369390660046</v>
      </c>
      <c r="EU22" s="162">
        <f t="shared" si="49"/>
        <v>0.3886836939066004</v>
      </c>
      <c r="EV22" s="162">
        <f t="shared" si="49"/>
        <v>0.3886836939066004</v>
      </c>
      <c r="EW22" s="163">
        <f t="shared" si="49"/>
        <v>0.38868369390660046</v>
      </c>
      <c r="EX22" s="162">
        <f t="shared" si="49"/>
        <v>0.38868369390660051</v>
      </c>
      <c r="EY22" s="162">
        <f t="shared" si="49"/>
        <v>0.38868369390660051</v>
      </c>
      <c r="EZ22" s="162">
        <f t="shared" si="49"/>
        <v>0</v>
      </c>
      <c r="FA22" s="162">
        <f t="shared" si="49"/>
        <v>0.3886836939066004</v>
      </c>
      <c r="FB22" s="162">
        <f t="shared" si="49"/>
        <v>0.38868369390660046</v>
      </c>
      <c r="FC22" s="162">
        <f t="shared" si="49"/>
        <v>0.38868369390660046</v>
      </c>
      <c r="FD22" s="162">
        <f t="shared" si="50"/>
        <v>0.3886836939066004</v>
      </c>
      <c r="FE22" s="162">
        <f t="shared" si="50"/>
        <v>0</v>
      </c>
      <c r="FF22" s="162">
        <f t="shared" si="48"/>
        <v>0.38868369390660046</v>
      </c>
      <c r="FG22" s="162">
        <f t="shared" si="48"/>
        <v>0.3886836939066004</v>
      </c>
      <c r="FH22" s="163">
        <f t="shared" si="48"/>
        <v>0.3886836939066004</v>
      </c>
      <c r="FI22" s="164">
        <f t="shared" si="48"/>
        <v>0.38868369390660035</v>
      </c>
      <c r="FJ22" s="95"/>
      <c r="FK22" s="119">
        <v>0</v>
      </c>
      <c r="FL22" s="119">
        <v>0</v>
      </c>
      <c r="FM22" s="119">
        <v>0</v>
      </c>
      <c r="FN22" s="119">
        <v>0</v>
      </c>
      <c r="FO22" s="119">
        <v>0</v>
      </c>
      <c r="FP22" s="119">
        <v>0</v>
      </c>
      <c r="FQ22" s="119">
        <v>0</v>
      </c>
      <c r="FR22" s="119">
        <v>0</v>
      </c>
      <c r="FS22" s="119">
        <v>0</v>
      </c>
      <c r="FT22" s="119">
        <v>0</v>
      </c>
      <c r="FU22" s="119">
        <v>0</v>
      </c>
      <c r="FV22" s="119">
        <v>46432.270000000004</v>
      </c>
      <c r="FW22" s="98">
        <f t="shared" si="39"/>
        <v>46432.270000000004</v>
      </c>
      <c r="FX22" s="119">
        <v>0</v>
      </c>
      <c r="FY22" s="119">
        <v>0</v>
      </c>
      <c r="FZ22" s="119">
        <v>0</v>
      </c>
      <c r="GA22" s="119">
        <v>0</v>
      </c>
      <c r="GB22" s="119">
        <v>0</v>
      </c>
      <c r="GC22" s="119">
        <v>92138.459999999992</v>
      </c>
      <c r="GD22" s="119">
        <v>0</v>
      </c>
      <c r="GE22" s="119">
        <v>0</v>
      </c>
      <c r="GF22" s="119">
        <v>0</v>
      </c>
      <c r="GG22" s="119">
        <v>0</v>
      </c>
      <c r="GH22" s="119">
        <v>0</v>
      </c>
      <c r="GI22" s="119">
        <v>0</v>
      </c>
      <c r="GJ22" s="98">
        <f t="shared" si="40"/>
        <v>92138.459999999992</v>
      </c>
      <c r="GK22" s="119">
        <v>24144.410000000003</v>
      </c>
      <c r="GL22" s="119">
        <v>0</v>
      </c>
      <c r="GM22" s="119">
        <v>0</v>
      </c>
      <c r="GN22" s="119">
        <v>0</v>
      </c>
      <c r="GO22" s="119">
        <v>0</v>
      </c>
      <c r="GP22" s="119">
        <v>0</v>
      </c>
      <c r="GQ22" s="119">
        <v>110063.85</v>
      </c>
      <c r="GR22" s="119">
        <v>0</v>
      </c>
      <c r="GS22" s="119">
        <v>0</v>
      </c>
      <c r="GT22" s="119">
        <v>9394.36</v>
      </c>
      <c r="GU22" s="98">
        <f t="shared" si="41"/>
        <v>143602.62</v>
      </c>
      <c r="GV22" s="96">
        <f t="shared" si="42"/>
        <v>143602.62</v>
      </c>
      <c r="GW22" s="95"/>
      <c r="GX22" s="119">
        <f t="shared" si="43"/>
        <v>8890.6184013511647</v>
      </c>
      <c r="GY22" s="119">
        <f t="shared" si="22"/>
        <v>5898.1904524056836</v>
      </c>
      <c r="GZ22" s="119">
        <f t="shared" si="22"/>
        <v>156.25298891570222</v>
      </c>
      <c r="HA22" s="119">
        <f t="shared" si="22"/>
        <v>2047.6142833473737</v>
      </c>
      <c r="HB22" s="119">
        <f t="shared" si="22"/>
        <v>13078.957522161092</v>
      </c>
      <c r="HC22" s="119">
        <f t="shared" si="22"/>
        <v>5629.3607183352642</v>
      </c>
      <c r="HD22" s="119">
        <f t="shared" si="22"/>
        <v>3276.0945193796524</v>
      </c>
      <c r="HE22" s="119">
        <f t="shared" si="22"/>
        <v>0</v>
      </c>
      <c r="HF22" s="119">
        <f t="shared" si="22"/>
        <v>16888.736480755022</v>
      </c>
      <c r="HG22" s="119">
        <f t="shared" si="22"/>
        <v>235.34461385366501</v>
      </c>
      <c r="HH22" s="119">
        <f t="shared" si="22"/>
        <v>3462.1356880289695</v>
      </c>
      <c r="HI22" s="119">
        <f t="shared" si="22"/>
        <v>-46432.270000000004</v>
      </c>
      <c r="HJ22" s="98">
        <f t="shared" si="44"/>
        <v>13131.035668533586</v>
      </c>
      <c r="HK22" s="119">
        <f t="shared" si="23"/>
        <v>5231.3997976546525</v>
      </c>
      <c r="HL22" s="119">
        <f t="shared" si="23"/>
        <v>0</v>
      </c>
      <c r="HM22" s="119">
        <f t="shared" si="23"/>
        <v>0</v>
      </c>
      <c r="HN22" s="119">
        <f t="shared" si="23"/>
        <v>1656.5074248899273</v>
      </c>
      <c r="HO22" s="119">
        <f t="shared" si="23"/>
        <v>15305.071869897927</v>
      </c>
      <c r="HP22" s="119">
        <f t="shared" si="23"/>
        <v>-73406.095288219498</v>
      </c>
      <c r="HQ22" s="119">
        <f t="shared" si="23"/>
        <v>5593.421876558903</v>
      </c>
      <c r="HR22" s="119">
        <f t="shared" si="23"/>
        <v>6444.8305414546821</v>
      </c>
      <c r="HS22" s="119">
        <f t="shared" si="23"/>
        <v>21763.937698673555</v>
      </c>
      <c r="HT22" s="119">
        <f t="shared" si="23"/>
        <v>31295.631752831079</v>
      </c>
      <c r="HU22" s="119">
        <f t="shared" si="23"/>
        <v>6029.4972721320601</v>
      </c>
      <c r="HV22" s="119">
        <f t="shared" si="23"/>
        <v>725.1728697259208</v>
      </c>
      <c r="HW22" s="98">
        <f t="shared" si="45"/>
        <v>20639.375815599207</v>
      </c>
      <c r="HX22" s="119">
        <f t="shared" si="24"/>
        <v>-21390.140265629867</v>
      </c>
      <c r="HY22" s="119">
        <f t="shared" si="24"/>
        <v>14704.62984611864</v>
      </c>
      <c r="HZ22" s="119">
        <f t="shared" si="24"/>
        <v>0</v>
      </c>
      <c r="IA22" s="119">
        <f t="shared" si="24"/>
        <v>6472.0832089100368</v>
      </c>
      <c r="IB22" s="119">
        <f t="shared" si="24"/>
        <v>1010.4425382457002</v>
      </c>
      <c r="IC22" s="119">
        <f t="shared" si="24"/>
        <v>13381.697688185262</v>
      </c>
      <c r="ID22" s="119">
        <f t="shared" si="24"/>
        <v>-62583.847077314371</v>
      </c>
      <c r="IE22" s="119">
        <f t="shared" si="24"/>
        <v>0</v>
      </c>
      <c r="IF22" s="119">
        <f t="shared" si="24"/>
        <v>453.88941409589518</v>
      </c>
      <c r="IG22" s="119">
        <f t="shared" si="24"/>
        <v>14180.833163255957</v>
      </c>
      <c r="IH22" s="98">
        <f t="shared" si="46"/>
        <v>-33770.411484132746</v>
      </c>
      <c r="II22" s="96">
        <f t="shared" si="47"/>
        <v>-27015.741342274767</v>
      </c>
    </row>
    <row r="23" spans="2:243" x14ac:dyDescent="0.2">
      <c r="B23" s="101" t="s">
        <v>293</v>
      </c>
      <c r="C23" s="89" t="s">
        <v>294</v>
      </c>
      <c r="D23" s="89" t="str">
        <f>_xlfn.IFNA(INDEX('4. WIP Report (Oct-25)'!D:D,MATCH('7. POC Lookback Summary'!$B23,'4. WIP Report (Oct-25)'!$B:$B,0)),INDEX('5. Completed Jobs'!D:D,MATCH('7. POC Lookback Summary'!$B23,'5. Completed Jobs'!$B:$B,0)))</f>
        <v>Commercial Development Corp</v>
      </c>
      <c r="E23" s="89" t="str">
        <f>_xlfn.IFNA(INDEX('4. WIP Report (Oct-25)'!E:E,MATCH('7. POC Lookback Summary'!$B23,'4. WIP Report (Oct-25)'!$B:$B,0)),INDEX('5. Completed Jobs'!E:E,MATCH('7. POC Lookback Summary'!$B23,'5. Completed Jobs'!$B:$B,0)))</f>
        <v>Fire Alarm Installation</v>
      </c>
      <c r="F23" s="89" t="str">
        <f>_xlfn.IFNA(INDEX('4. WIP Report (Oct-25)'!F:F,MATCH('7. POC Lookback Summary'!$B23,'4. WIP Report (Oct-25)'!$B:$B,0)),INDEX('5. Completed Jobs'!F:F,MATCH('7. POC Lookback Summary'!$B23,'5. Completed Jobs'!$B:$B,0)))</f>
        <v>Commercial</v>
      </c>
      <c r="G23" s="89" t="str">
        <f>_xlfn.IFNA(INDEX('4. WIP Report (Oct-25)'!G:G,MATCH('7. POC Lookback Summary'!$B23,'4. WIP Report (Oct-25)'!$B:$B,0)),INDEX('5. Completed Jobs'!G:G,MATCH('7. POC Lookback Summary'!$B23,'5. Completed Jobs'!$B:$B,0)))</f>
        <v>Direct</v>
      </c>
      <c r="H23" s="89" t="str">
        <f>_xlfn.IFNA(INDEX('4. WIP Report (Oct-25)'!H:H,MATCH('7. POC Lookback Summary'!$B23,'4. WIP Report (Oct-25)'!$B:$B,0)),INDEX('5. Completed Jobs'!H:H,MATCH('7. POC Lookback Summary'!$B23,'5. Completed Jobs'!$B:$B,0)))</f>
        <v>Retrofit</v>
      </c>
      <c r="J23" s="95"/>
      <c r="K23" s="119">
        <v>229.18593281049408</v>
      </c>
      <c r="L23" s="119">
        <v>21559.81670235574</v>
      </c>
      <c r="M23" s="119">
        <v>418.16256309498095</v>
      </c>
      <c r="N23" s="119">
        <v>0</v>
      </c>
      <c r="O23" s="119">
        <v>0</v>
      </c>
      <c r="P23" s="119">
        <v>2038.5761801298306</v>
      </c>
      <c r="Q23" s="119">
        <v>2739.1825000159606</v>
      </c>
      <c r="R23" s="119">
        <v>0</v>
      </c>
      <c r="S23" s="119">
        <v>36211.051171021703</v>
      </c>
      <c r="T23" s="119">
        <v>3293.3900824511397</v>
      </c>
      <c r="U23" s="119">
        <v>0</v>
      </c>
      <c r="V23" s="119">
        <v>21560.894623693301</v>
      </c>
      <c r="W23" s="98">
        <f t="shared" si="25"/>
        <v>88050.259755573148</v>
      </c>
      <c r="X23" s="119">
        <v>1303.4480110908605</v>
      </c>
      <c r="Y23" s="119">
        <v>32414.980982705747</v>
      </c>
      <c r="Z23" s="119">
        <v>25192.227228644326</v>
      </c>
      <c r="AA23" s="119">
        <v>18143.345022966085</v>
      </c>
      <c r="AB23" s="119">
        <v>6837.7514552718385</v>
      </c>
      <c r="AC23" s="119">
        <v>0</v>
      </c>
      <c r="AD23" s="119">
        <v>1619.0945817138906</v>
      </c>
      <c r="AE23" s="119">
        <v>0</v>
      </c>
      <c r="AF23" s="119">
        <v>48071.164351011997</v>
      </c>
      <c r="AG23" s="119">
        <v>0</v>
      </c>
      <c r="AH23" s="119">
        <v>1576.9989168471575</v>
      </c>
      <c r="AI23" s="119">
        <v>0</v>
      </c>
      <c r="AJ23" s="98">
        <f t="shared" si="26"/>
        <v>135159.0105502519</v>
      </c>
      <c r="AK23" s="119">
        <v>14817.560567686232</v>
      </c>
      <c r="AL23" s="119">
        <v>26506.965047428555</v>
      </c>
      <c r="AM23" s="119">
        <v>244.23428200982161</v>
      </c>
      <c r="AN23" s="119">
        <v>10249.017909255128</v>
      </c>
      <c r="AO23" s="119">
        <v>8423.6999558558236</v>
      </c>
      <c r="AP23" s="119">
        <v>0</v>
      </c>
      <c r="AQ23" s="119">
        <v>2441.0237847772573</v>
      </c>
      <c r="AR23" s="119">
        <v>0</v>
      </c>
      <c r="AS23" s="119">
        <v>1295.6188982180718</v>
      </c>
      <c r="AT23" s="119">
        <v>8298.5192489441688</v>
      </c>
      <c r="AU23" s="98">
        <f t="shared" si="27"/>
        <v>72276.639694175057</v>
      </c>
      <c r="AV23" s="96">
        <f t="shared" si="28"/>
        <v>73853.638611022208</v>
      </c>
      <c r="AW23" s="95"/>
      <c r="AX23" s="119">
        <v>161.59</v>
      </c>
      <c r="AY23" s="119">
        <v>15200.98</v>
      </c>
      <c r="AZ23" s="119">
        <v>294.83</v>
      </c>
      <c r="BA23" s="119">
        <v>0</v>
      </c>
      <c r="BB23" s="119">
        <v>0</v>
      </c>
      <c r="BC23" s="119">
        <v>1437.32</v>
      </c>
      <c r="BD23" s="119">
        <v>1931.29</v>
      </c>
      <c r="BE23" s="119">
        <v>0</v>
      </c>
      <c r="BF23" s="119">
        <v>25530.99</v>
      </c>
      <c r="BG23" s="119">
        <v>2322.04</v>
      </c>
      <c r="BH23" s="119">
        <v>0</v>
      </c>
      <c r="BI23" s="119">
        <v>15201.740000000002</v>
      </c>
      <c r="BJ23" s="98">
        <f t="shared" si="29"/>
        <v>62080.78</v>
      </c>
      <c r="BK23" s="119">
        <v>919.01</v>
      </c>
      <c r="BL23" s="119">
        <v>22854.530000000002</v>
      </c>
      <c r="BM23" s="119">
        <v>17762.05</v>
      </c>
      <c r="BN23" s="119">
        <v>12792.159999999998</v>
      </c>
      <c r="BO23" s="119">
        <v>4821.0300000000007</v>
      </c>
      <c r="BP23" s="119">
        <v>0</v>
      </c>
      <c r="BQ23" s="119">
        <v>1141.56</v>
      </c>
      <c r="BR23" s="119">
        <v>0</v>
      </c>
      <c r="BS23" s="119">
        <v>33893.090000000004</v>
      </c>
      <c r="BT23" s="119">
        <v>0</v>
      </c>
      <c r="BU23" s="119">
        <v>1111.8800000000001</v>
      </c>
      <c r="BV23" s="119">
        <v>0</v>
      </c>
      <c r="BW23" s="98">
        <f t="shared" si="30"/>
        <v>95295.31</v>
      </c>
      <c r="BX23" s="119">
        <v>10447.279999999999</v>
      </c>
      <c r="BY23" s="119">
        <v>18689.02</v>
      </c>
      <c r="BZ23" s="119">
        <v>172.2</v>
      </c>
      <c r="CA23" s="119">
        <v>7226.18</v>
      </c>
      <c r="CB23" s="119">
        <v>5939.2199999999993</v>
      </c>
      <c r="CC23" s="119">
        <v>0</v>
      </c>
      <c r="CD23" s="119">
        <v>1721.07</v>
      </c>
      <c r="CE23" s="119">
        <v>0</v>
      </c>
      <c r="CF23" s="119">
        <v>913.49</v>
      </c>
      <c r="CG23" s="119">
        <v>5850.96</v>
      </c>
      <c r="CH23" s="98">
        <f t="shared" si="31"/>
        <v>50959.42</v>
      </c>
      <c r="CI23" s="96">
        <f t="shared" si="32"/>
        <v>52071.299999999996</v>
      </c>
      <c r="CJ23" s="95"/>
      <c r="CK23" s="119">
        <f t="shared" si="33"/>
        <v>67.595932810494077</v>
      </c>
      <c r="CL23" s="119">
        <f t="shared" si="18"/>
        <v>6358.8367023557403</v>
      </c>
      <c r="CM23" s="119">
        <f t="shared" si="18"/>
        <v>123.33256309498097</v>
      </c>
      <c r="CN23" s="119">
        <f t="shared" si="18"/>
        <v>0</v>
      </c>
      <c r="CO23" s="119">
        <f t="shared" si="18"/>
        <v>0</v>
      </c>
      <c r="CP23" s="119">
        <f t="shared" si="18"/>
        <v>601.25618012983068</v>
      </c>
      <c r="CQ23" s="119">
        <f t="shared" si="18"/>
        <v>807.89250001596065</v>
      </c>
      <c r="CR23" s="119">
        <f t="shared" si="18"/>
        <v>0</v>
      </c>
      <c r="CS23" s="119">
        <f t="shared" si="18"/>
        <v>10680.061171021702</v>
      </c>
      <c r="CT23" s="119">
        <f t="shared" si="18"/>
        <v>971.35008245113977</v>
      </c>
      <c r="CU23" s="119">
        <f t="shared" si="18"/>
        <v>0</v>
      </c>
      <c r="CV23" s="119">
        <f t="shared" si="18"/>
        <v>6359.1546236932991</v>
      </c>
      <c r="CW23" s="98">
        <f t="shared" si="34"/>
        <v>25969.479755573146</v>
      </c>
      <c r="CX23" s="119">
        <f t="shared" si="19"/>
        <v>384.43801109086053</v>
      </c>
      <c r="CY23" s="119">
        <f t="shared" si="19"/>
        <v>9560.4509827057445</v>
      </c>
      <c r="CZ23" s="119">
        <f t="shared" si="19"/>
        <v>7430.1772286443265</v>
      </c>
      <c r="DA23" s="119">
        <f t="shared" si="19"/>
        <v>5351.1850229660868</v>
      </c>
      <c r="DB23" s="119">
        <f t="shared" si="19"/>
        <v>2016.7214552718378</v>
      </c>
      <c r="DC23" s="119">
        <f t="shared" si="19"/>
        <v>0</v>
      </c>
      <c r="DD23" s="119">
        <f t="shared" si="19"/>
        <v>477.5345817138907</v>
      </c>
      <c r="DE23" s="119">
        <f t="shared" si="19"/>
        <v>0</v>
      </c>
      <c r="DF23" s="119">
        <f t="shared" si="19"/>
        <v>14178.074351011994</v>
      </c>
      <c r="DG23" s="119">
        <f t="shared" si="19"/>
        <v>0</v>
      </c>
      <c r="DH23" s="119">
        <f t="shared" si="19"/>
        <v>465.11891684715738</v>
      </c>
      <c r="DI23" s="119">
        <f t="shared" si="19"/>
        <v>0</v>
      </c>
      <c r="DJ23" s="98">
        <f t="shared" si="35"/>
        <v>39863.700550251902</v>
      </c>
      <c r="DK23" s="119">
        <f t="shared" si="20"/>
        <v>4370.2805676862336</v>
      </c>
      <c r="DL23" s="119">
        <f t="shared" si="20"/>
        <v>7817.945047428555</v>
      </c>
      <c r="DM23" s="119">
        <f t="shared" si="20"/>
        <v>72.034282009821624</v>
      </c>
      <c r="DN23" s="119">
        <f t="shared" si="20"/>
        <v>3022.8379092551277</v>
      </c>
      <c r="DO23" s="119">
        <f t="shared" si="20"/>
        <v>2484.4799558558243</v>
      </c>
      <c r="DP23" s="119">
        <f t="shared" si="20"/>
        <v>0</v>
      </c>
      <c r="DQ23" s="119">
        <f t="shared" si="20"/>
        <v>719.9537847772574</v>
      </c>
      <c r="DR23" s="119">
        <f t="shared" si="20"/>
        <v>0</v>
      </c>
      <c r="DS23" s="119">
        <f t="shared" si="20"/>
        <v>382.12889821807175</v>
      </c>
      <c r="DT23" s="119">
        <f t="shared" si="20"/>
        <v>2447.5592489441688</v>
      </c>
      <c r="DU23" s="98">
        <f t="shared" si="36"/>
        <v>21317.219694175059</v>
      </c>
      <c r="DV23" s="96">
        <f t="shared" si="37"/>
        <v>21782.338611022216</v>
      </c>
      <c r="DW23" s="95"/>
      <c r="DX23" s="162">
        <f t="shared" si="38"/>
        <v>0.29493927476948079</v>
      </c>
      <c r="DY23" s="162">
        <f t="shared" si="38"/>
        <v>0.29493927476948079</v>
      </c>
      <c r="DZ23" s="162">
        <f t="shared" si="38"/>
        <v>0.2949392747694809</v>
      </c>
      <c r="EA23" s="162">
        <f t="shared" si="38"/>
        <v>0</v>
      </c>
      <c r="EB23" s="162">
        <f t="shared" si="38"/>
        <v>0</v>
      </c>
      <c r="EC23" s="162">
        <f t="shared" si="38"/>
        <v>0.29493927476948079</v>
      </c>
      <c r="ED23" s="162">
        <f t="shared" si="38"/>
        <v>0.29493927476948079</v>
      </c>
      <c r="EE23" s="162">
        <f t="shared" si="38"/>
        <v>0</v>
      </c>
      <c r="EF23" s="162">
        <f t="shared" si="38"/>
        <v>0.29493927476948084</v>
      </c>
      <c r="EG23" s="162">
        <f t="shared" si="38"/>
        <v>0.29493927476948079</v>
      </c>
      <c r="EH23" s="162">
        <f t="shared" si="38"/>
        <v>0</v>
      </c>
      <c r="EI23" s="162">
        <f t="shared" si="38"/>
        <v>0.29493927476948079</v>
      </c>
      <c r="EJ23" s="163">
        <f t="shared" si="38"/>
        <v>0.29493927476948079</v>
      </c>
      <c r="EK23" s="162">
        <f t="shared" si="38"/>
        <v>0.29493927476948079</v>
      </c>
      <c r="EL23" s="162">
        <f t="shared" si="38"/>
        <v>0.29493927476948079</v>
      </c>
      <c r="EM23" s="162">
        <f t="shared" si="38"/>
        <v>0.2949392747694809</v>
      </c>
      <c r="EN23" s="162">
        <f t="shared" si="49"/>
        <v>0.29493927476948084</v>
      </c>
      <c r="EO23" s="162">
        <f t="shared" si="49"/>
        <v>0.29493927476948079</v>
      </c>
      <c r="EP23" s="162">
        <f t="shared" si="49"/>
        <v>0</v>
      </c>
      <c r="EQ23" s="162">
        <f t="shared" si="49"/>
        <v>0.29493927476948073</v>
      </c>
      <c r="ER23" s="162">
        <f t="shared" si="49"/>
        <v>0</v>
      </c>
      <c r="ES23" s="162">
        <f t="shared" si="49"/>
        <v>0.29493927476948073</v>
      </c>
      <c r="ET23" s="162">
        <f t="shared" si="49"/>
        <v>0</v>
      </c>
      <c r="EU23" s="162">
        <f t="shared" si="49"/>
        <v>0.29493927476948079</v>
      </c>
      <c r="EV23" s="162">
        <f t="shared" si="49"/>
        <v>0</v>
      </c>
      <c r="EW23" s="163">
        <f t="shared" si="49"/>
        <v>0.29493927476948084</v>
      </c>
      <c r="EX23" s="162">
        <f t="shared" si="49"/>
        <v>0.29493927476948079</v>
      </c>
      <c r="EY23" s="162">
        <f t="shared" si="49"/>
        <v>0.29493927476948084</v>
      </c>
      <c r="EZ23" s="162">
        <f t="shared" si="49"/>
        <v>0.29493927476948073</v>
      </c>
      <c r="FA23" s="162">
        <f t="shared" si="49"/>
        <v>0.29493927476948079</v>
      </c>
      <c r="FB23" s="162">
        <f t="shared" si="49"/>
        <v>0.29493927476948084</v>
      </c>
      <c r="FC23" s="162">
        <f t="shared" si="49"/>
        <v>0</v>
      </c>
      <c r="FD23" s="162">
        <f t="shared" si="50"/>
        <v>0.29493927476948079</v>
      </c>
      <c r="FE23" s="162">
        <f t="shared" si="50"/>
        <v>0</v>
      </c>
      <c r="FF23" s="162">
        <f t="shared" si="48"/>
        <v>0.29493927476948073</v>
      </c>
      <c r="FG23" s="162">
        <f t="shared" si="48"/>
        <v>0.29493927476948067</v>
      </c>
      <c r="FH23" s="163">
        <f t="shared" si="48"/>
        <v>0.29493927476948079</v>
      </c>
      <c r="FI23" s="164">
        <f t="shared" si="48"/>
        <v>0.29493927476948079</v>
      </c>
      <c r="FJ23" s="95"/>
      <c r="FK23" s="119">
        <v>0</v>
      </c>
      <c r="FL23" s="119">
        <v>20659.689999999999</v>
      </c>
      <c r="FM23" s="119">
        <v>0</v>
      </c>
      <c r="FN23" s="119">
        <v>0</v>
      </c>
      <c r="FO23" s="119">
        <v>0</v>
      </c>
      <c r="FP23" s="119">
        <v>0</v>
      </c>
      <c r="FQ23" s="119">
        <v>87540.340000000011</v>
      </c>
      <c r="FR23" s="119">
        <v>0</v>
      </c>
      <c r="FS23" s="119">
        <v>0</v>
      </c>
      <c r="FT23" s="119">
        <v>0</v>
      </c>
      <c r="FU23" s="119">
        <v>0</v>
      </c>
      <c r="FV23" s="119">
        <v>3036.46</v>
      </c>
      <c r="FW23" s="98">
        <f t="shared" si="39"/>
        <v>111236.49000000002</v>
      </c>
      <c r="FX23" s="119">
        <v>10475.650000000001</v>
      </c>
      <c r="FY23" s="119">
        <v>0</v>
      </c>
      <c r="FZ23" s="119">
        <v>0</v>
      </c>
      <c r="GA23" s="119">
        <v>0</v>
      </c>
      <c r="GB23" s="119">
        <v>47759.909999999996</v>
      </c>
      <c r="GC23" s="119">
        <v>0</v>
      </c>
      <c r="GD23" s="119">
        <v>38116.639999999999</v>
      </c>
      <c r="GE23" s="119">
        <v>0</v>
      </c>
      <c r="GF23" s="119">
        <v>0</v>
      </c>
      <c r="GG23" s="119">
        <v>0</v>
      </c>
      <c r="GH23" s="119">
        <v>0</v>
      </c>
      <c r="GI23" s="119">
        <v>0</v>
      </c>
      <c r="GJ23" s="98">
        <f t="shared" si="40"/>
        <v>96352.2</v>
      </c>
      <c r="GK23" s="119">
        <v>0</v>
      </c>
      <c r="GL23" s="119">
        <v>0</v>
      </c>
      <c r="GM23" s="119">
        <v>0</v>
      </c>
      <c r="GN23" s="119">
        <v>0</v>
      </c>
      <c r="GO23" s="119">
        <v>0</v>
      </c>
      <c r="GP23" s="119">
        <v>0</v>
      </c>
      <c r="GQ23" s="119">
        <v>0</v>
      </c>
      <c r="GR23" s="119">
        <v>29980.93</v>
      </c>
      <c r="GS23" s="119">
        <v>0</v>
      </c>
      <c r="GT23" s="119">
        <v>57916.289999999994</v>
      </c>
      <c r="GU23" s="98">
        <f t="shared" si="41"/>
        <v>87897.22</v>
      </c>
      <c r="GV23" s="96">
        <f t="shared" si="42"/>
        <v>87897.22</v>
      </c>
      <c r="GW23" s="95"/>
      <c r="GX23" s="119">
        <f t="shared" si="43"/>
        <v>229.18593281049408</v>
      </c>
      <c r="GY23" s="119">
        <f t="shared" si="22"/>
        <v>900.12670235574114</v>
      </c>
      <c r="GZ23" s="119">
        <f t="shared" si="22"/>
        <v>418.16256309498095</v>
      </c>
      <c r="HA23" s="119">
        <f t="shared" si="22"/>
        <v>0</v>
      </c>
      <c r="HB23" s="119">
        <f t="shared" si="22"/>
        <v>0</v>
      </c>
      <c r="HC23" s="119">
        <f t="shared" si="22"/>
        <v>2038.5761801298306</v>
      </c>
      <c r="HD23" s="119">
        <f t="shared" si="22"/>
        <v>-84801.157499984052</v>
      </c>
      <c r="HE23" s="119">
        <f t="shared" si="22"/>
        <v>0</v>
      </c>
      <c r="HF23" s="119">
        <f t="shared" si="22"/>
        <v>36211.051171021703</v>
      </c>
      <c r="HG23" s="119">
        <f t="shared" si="22"/>
        <v>3293.3900824511397</v>
      </c>
      <c r="HH23" s="119">
        <f t="shared" si="22"/>
        <v>0</v>
      </c>
      <c r="HI23" s="119">
        <f t="shared" si="22"/>
        <v>18524.434623693302</v>
      </c>
      <c r="HJ23" s="98">
        <f t="shared" si="44"/>
        <v>-23186.230244426868</v>
      </c>
      <c r="HK23" s="119">
        <f t="shared" si="23"/>
        <v>-9172.2019889091407</v>
      </c>
      <c r="HL23" s="119">
        <f t="shared" si="23"/>
        <v>32414.980982705747</v>
      </c>
      <c r="HM23" s="119">
        <f t="shared" si="23"/>
        <v>25192.227228644326</v>
      </c>
      <c r="HN23" s="119">
        <f t="shared" si="23"/>
        <v>18143.345022966085</v>
      </c>
      <c r="HO23" s="119">
        <f t="shared" si="23"/>
        <v>-40922.158544728154</v>
      </c>
      <c r="HP23" s="119">
        <f t="shared" si="23"/>
        <v>0</v>
      </c>
      <c r="HQ23" s="119">
        <f t="shared" si="23"/>
        <v>-36497.545418286107</v>
      </c>
      <c r="HR23" s="119">
        <f t="shared" si="23"/>
        <v>0</v>
      </c>
      <c r="HS23" s="119">
        <f t="shared" si="23"/>
        <v>48071.164351011997</v>
      </c>
      <c r="HT23" s="119">
        <f t="shared" si="23"/>
        <v>0</v>
      </c>
      <c r="HU23" s="119">
        <f t="shared" si="23"/>
        <v>1576.9989168471575</v>
      </c>
      <c r="HV23" s="119">
        <f t="shared" si="23"/>
        <v>0</v>
      </c>
      <c r="HW23" s="98">
        <f t="shared" si="45"/>
        <v>38806.81055025191</v>
      </c>
      <c r="HX23" s="119">
        <f t="shared" si="24"/>
        <v>14817.560567686232</v>
      </c>
      <c r="HY23" s="119">
        <f t="shared" si="24"/>
        <v>26506.965047428555</v>
      </c>
      <c r="HZ23" s="119">
        <f t="shared" si="24"/>
        <v>244.23428200982161</v>
      </c>
      <c r="IA23" s="119">
        <f t="shared" si="24"/>
        <v>10249.017909255128</v>
      </c>
      <c r="IB23" s="119">
        <f t="shared" si="24"/>
        <v>8423.6999558558236</v>
      </c>
      <c r="IC23" s="119">
        <f t="shared" si="24"/>
        <v>0</v>
      </c>
      <c r="ID23" s="119">
        <f t="shared" si="24"/>
        <v>2441.0237847772573</v>
      </c>
      <c r="IE23" s="119">
        <f t="shared" si="24"/>
        <v>-29980.93</v>
      </c>
      <c r="IF23" s="119">
        <f t="shared" si="24"/>
        <v>1295.6188982180718</v>
      </c>
      <c r="IG23" s="119">
        <f t="shared" si="24"/>
        <v>-49617.770751055825</v>
      </c>
      <c r="IH23" s="98">
        <f t="shared" si="46"/>
        <v>-15620.580305824937</v>
      </c>
      <c r="II23" s="96">
        <f t="shared" si="47"/>
        <v>-14043.581388977778</v>
      </c>
    </row>
    <row r="24" spans="2:243" x14ac:dyDescent="0.2">
      <c r="B24" s="101" t="s">
        <v>295</v>
      </c>
      <c r="C24" s="89" t="s">
        <v>296</v>
      </c>
      <c r="D24" s="89" t="str">
        <f>_xlfn.IFNA(INDEX('4. WIP Report (Oct-25)'!D:D,MATCH('7. POC Lookback Summary'!$B24,'4. WIP Report (Oct-25)'!$B:$B,0)),INDEX('5. Completed Jobs'!D:D,MATCH('7. POC Lookback Summary'!$B24,'5. Completed Jobs'!$B:$B,0)))</f>
        <v>Heritage Building Company</v>
      </c>
      <c r="E24" s="89" t="str">
        <f>_xlfn.IFNA(INDEX('4. WIP Report (Oct-25)'!E:E,MATCH('7. POC Lookback Summary'!$B24,'4. WIP Report (Oct-25)'!$B:$B,0)),INDEX('5. Completed Jobs'!E:E,MATCH('7. POC Lookback Summary'!$B24,'5. Completed Jobs'!$B:$B,0)))</f>
        <v>Fire Alarm Installation</v>
      </c>
      <c r="F24" s="89" t="str">
        <f>_xlfn.IFNA(INDEX('4. WIP Report (Oct-25)'!F:F,MATCH('7. POC Lookback Summary'!$B24,'4. WIP Report (Oct-25)'!$B:$B,0)),INDEX('5. Completed Jobs'!F:F,MATCH('7. POC Lookback Summary'!$B24,'5. Completed Jobs'!$B:$B,0)))</f>
        <v>Commercial</v>
      </c>
      <c r="G24" s="89" t="str">
        <f>_xlfn.IFNA(INDEX('4. WIP Report (Oct-25)'!G:G,MATCH('7. POC Lookback Summary'!$B24,'4. WIP Report (Oct-25)'!$B:$B,0)),INDEX('5. Completed Jobs'!G:G,MATCH('7. POC Lookback Summary'!$B24,'5. Completed Jobs'!$B:$B,0)))</f>
        <v>Direct</v>
      </c>
      <c r="H24" s="89" t="str">
        <f>_xlfn.IFNA(INDEX('4. WIP Report (Oct-25)'!H:H,MATCH('7. POC Lookback Summary'!$B24,'4. WIP Report (Oct-25)'!$B:$B,0)),INDEX('5. Completed Jobs'!H:H,MATCH('7. POC Lookback Summary'!$B24,'5. Completed Jobs'!$B:$B,0)))</f>
        <v>New Construction</v>
      </c>
      <c r="J24" s="95"/>
      <c r="K24" s="119">
        <v>20201.999411443201</v>
      </c>
      <c r="L24" s="119">
        <v>4278.7813720282902</v>
      </c>
      <c r="M24" s="119">
        <v>9232.0028886009604</v>
      </c>
      <c r="N24" s="119">
        <v>0</v>
      </c>
      <c r="O24" s="119">
        <v>6553.1204279662888</v>
      </c>
      <c r="P24" s="119">
        <v>0</v>
      </c>
      <c r="Q24" s="119">
        <v>0</v>
      </c>
      <c r="R24" s="119">
        <v>0</v>
      </c>
      <c r="S24" s="119">
        <v>3657.48442138877</v>
      </c>
      <c r="T24" s="119">
        <v>213.86579736894228</v>
      </c>
      <c r="U24" s="119">
        <v>0</v>
      </c>
      <c r="V24" s="119">
        <v>8102.6345918540037</v>
      </c>
      <c r="W24" s="98">
        <f t="shared" si="25"/>
        <v>52239.88891065045</v>
      </c>
      <c r="X24" s="119">
        <v>926.32078134891333</v>
      </c>
      <c r="Y24" s="119">
        <v>0</v>
      </c>
      <c r="Z24" s="119">
        <v>11916.186738408624</v>
      </c>
      <c r="AA24" s="119">
        <v>0</v>
      </c>
      <c r="AB24" s="119">
        <v>39278.121684863116</v>
      </c>
      <c r="AC24" s="119">
        <v>21464.376545489744</v>
      </c>
      <c r="AD24" s="119">
        <v>66438.129734769158</v>
      </c>
      <c r="AE24" s="119">
        <v>7785.8011624990877</v>
      </c>
      <c r="AF24" s="119">
        <v>0</v>
      </c>
      <c r="AG24" s="119">
        <v>0</v>
      </c>
      <c r="AH24" s="119">
        <v>39617.626095559441</v>
      </c>
      <c r="AI24" s="119">
        <v>0</v>
      </c>
      <c r="AJ24" s="98">
        <f t="shared" si="26"/>
        <v>187426.56274293808</v>
      </c>
      <c r="AK24" s="119">
        <v>0</v>
      </c>
      <c r="AL24" s="119">
        <v>1582.2707148753004</v>
      </c>
      <c r="AM24" s="119">
        <v>0</v>
      </c>
      <c r="AN24" s="119">
        <v>17767.756665815807</v>
      </c>
      <c r="AO24" s="119">
        <v>0</v>
      </c>
      <c r="AP24" s="119">
        <v>0</v>
      </c>
      <c r="AQ24" s="119">
        <v>46943.542522482836</v>
      </c>
      <c r="AR24" s="119">
        <v>4695.1774760954713</v>
      </c>
      <c r="AS24" s="119">
        <v>0</v>
      </c>
      <c r="AT24" s="119">
        <v>36167.800967141964</v>
      </c>
      <c r="AU24" s="98">
        <f t="shared" si="27"/>
        <v>107156.54834641138</v>
      </c>
      <c r="AV24" s="96">
        <f t="shared" si="28"/>
        <v>146774.17444197083</v>
      </c>
      <c r="AW24" s="95"/>
      <c r="AX24" s="119">
        <v>4687.16</v>
      </c>
      <c r="AY24" s="119">
        <v>992.74</v>
      </c>
      <c r="AZ24" s="119">
        <v>2141.96</v>
      </c>
      <c r="BA24" s="119">
        <v>0</v>
      </c>
      <c r="BB24" s="119">
        <v>1520.42</v>
      </c>
      <c r="BC24" s="119">
        <v>0</v>
      </c>
      <c r="BD24" s="119">
        <v>0</v>
      </c>
      <c r="BE24" s="119">
        <v>0</v>
      </c>
      <c r="BF24" s="119">
        <v>848.59</v>
      </c>
      <c r="BG24" s="119">
        <v>49.62</v>
      </c>
      <c r="BH24" s="119">
        <v>0</v>
      </c>
      <c r="BI24" s="119">
        <v>1879.9299999999998</v>
      </c>
      <c r="BJ24" s="98">
        <f t="shared" si="29"/>
        <v>12120.42</v>
      </c>
      <c r="BK24" s="119">
        <v>214.92000000000002</v>
      </c>
      <c r="BL24" s="119">
        <v>0</v>
      </c>
      <c r="BM24" s="119">
        <v>2764.73</v>
      </c>
      <c r="BN24" s="119">
        <v>0</v>
      </c>
      <c r="BO24" s="119">
        <v>9113.0999999999985</v>
      </c>
      <c r="BP24" s="119">
        <v>4980.05</v>
      </c>
      <c r="BQ24" s="119">
        <v>15414.62</v>
      </c>
      <c r="BR24" s="119">
        <v>1806.42</v>
      </c>
      <c r="BS24" s="119">
        <v>0</v>
      </c>
      <c r="BT24" s="119">
        <v>0</v>
      </c>
      <c r="BU24" s="119">
        <v>9191.869999999999</v>
      </c>
      <c r="BV24" s="119">
        <v>0</v>
      </c>
      <c r="BW24" s="98">
        <f t="shared" si="30"/>
        <v>43485.709999999992</v>
      </c>
      <c r="BX24" s="119">
        <v>0</v>
      </c>
      <c r="BY24" s="119">
        <v>367.11</v>
      </c>
      <c r="BZ24" s="119">
        <v>0</v>
      </c>
      <c r="CA24" s="119">
        <v>4122.38</v>
      </c>
      <c r="CB24" s="119">
        <v>0</v>
      </c>
      <c r="CC24" s="119">
        <v>0</v>
      </c>
      <c r="CD24" s="119">
        <v>10891.59</v>
      </c>
      <c r="CE24" s="119">
        <v>1089.3499999999999</v>
      </c>
      <c r="CF24" s="119">
        <v>0</v>
      </c>
      <c r="CG24" s="119">
        <v>8391.4599999999991</v>
      </c>
      <c r="CH24" s="98">
        <f t="shared" si="31"/>
        <v>24861.89</v>
      </c>
      <c r="CI24" s="96">
        <f t="shared" si="32"/>
        <v>34053.759999999995</v>
      </c>
      <c r="CJ24" s="95"/>
      <c r="CK24" s="119">
        <f t="shared" si="33"/>
        <v>15514.839411443201</v>
      </c>
      <c r="CL24" s="119">
        <f t="shared" si="33"/>
        <v>3286.0413720282904</v>
      </c>
      <c r="CM24" s="119">
        <f t="shared" si="33"/>
        <v>7090.0428886009604</v>
      </c>
      <c r="CN24" s="119">
        <f t="shared" si="33"/>
        <v>0</v>
      </c>
      <c r="CO24" s="119">
        <f t="shared" si="33"/>
        <v>5032.7004279662888</v>
      </c>
      <c r="CP24" s="119">
        <f t="shared" si="33"/>
        <v>0</v>
      </c>
      <c r="CQ24" s="119">
        <f t="shared" si="33"/>
        <v>0</v>
      </c>
      <c r="CR24" s="119">
        <f t="shared" si="33"/>
        <v>0</v>
      </c>
      <c r="CS24" s="119">
        <f t="shared" si="33"/>
        <v>2808.8944213887698</v>
      </c>
      <c r="CT24" s="119">
        <f t="shared" si="33"/>
        <v>164.24579736894228</v>
      </c>
      <c r="CU24" s="119">
        <f t="shared" si="33"/>
        <v>0</v>
      </c>
      <c r="CV24" s="119">
        <f t="shared" si="33"/>
        <v>6222.7045918540043</v>
      </c>
      <c r="CW24" s="98">
        <f t="shared" si="34"/>
        <v>40119.468910650459</v>
      </c>
      <c r="CX24" s="119">
        <f t="shared" ref="CX24:DI62" si="51">+X24-BK24</f>
        <v>711.40078134891337</v>
      </c>
      <c r="CY24" s="119">
        <f t="shared" si="51"/>
        <v>0</v>
      </c>
      <c r="CZ24" s="119">
        <f t="shared" si="51"/>
        <v>9151.456738408624</v>
      </c>
      <c r="DA24" s="119">
        <f t="shared" si="51"/>
        <v>0</v>
      </c>
      <c r="DB24" s="119">
        <f t="shared" si="51"/>
        <v>30165.021684863117</v>
      </c>
      <c r="DC24" s="119">
        <f t="shared" si="51"/>
        <v>16484.326545489745</v>
      </c>
      <c r="DD24" s="119">
        <f t="shared" si="51"/>
        <v>51023.509734769155</v>
      </c>
      <c r="DE24" s="119">
        <f t="shared" si="51"/>
        <v>5979.3811624990876</v>
      </c>
      <c r="DF24" s="119">
        <f t="shared" si="51"/>
        <v>0</v>
      </c>
      <c r="DG24" s="119">
        <f t="shared" si="51"/>
        <v>0</v>
      </c>
      <c r="DH24" s="119">
        <f t="shared" si="51"/>
        <v>30425.756095559442</v>
      </c>
      <c r="DI24" s="119">
        <f t="shared" si="51"/>
        <v>0</v>
      </c>
      <c r="DJ24" s="98">
        <f t="shared" si="35"/>
        <v>143940.85274293809</v>
      </c>
      <c r="DK24" s="119">
        <f t="shared" ref="DK24:DT62" si="52">+AK24-BX24</f>
        <v>0</v>
      </c>
      <c r="DL24" s="119">
        <f t="shared" si="52"/>
        <v>1215.1607148753005</v>
      </c>
      <c r="DM24" s="119">
        <f t="shared" si="52"/>
        <v>0</v>
      </c>
      <c r="DN24" s="119">
        <f t="shared" si="52"/>
        <v>13645.376665815806</v>
      </c>
      <c r="DO24" s="119">
        <f t="shared" si="52"/>
        <v>0</v>
      </c>
      <c r="DP24" s="119">
        <f t="shared" si="52"/>
        <v>0</v>
      </c>
      <c r="DQ24" s="119">
        <f t="shared" si="52"/>
        <v>36051.952522482839</v>
      </c>
      <c r="DR24" s="119">
        <f t="shared" si="52"/>
        <v>3605.8274760954714</v>
      </c>
      <c r="DS24" s="119">
        <f t="shared" si="52"/>
        <v>0</v>
      </c>
      <c r="DT24" s="119">
        <f t="shared" si="52"/>
        <v>27776.340967141965</v>
      </c>
      <c r="DU24" s="98">
        <f t="shared" si="36"/>
        <v>82294.658346411394</v>
      </c>
      <c r="DV24" s="96">
        <f t="shared" si="37"/>
        <v>112720.41444197083</v>
      </c>
      <c r="DW24" s="95"/>
      <c r="DX24" s="162">
        <f t="shared" si="38"/>
        <v>0.76798534122592788</v>
      </c>
      <c r="DY24" s="162">
        <f t="shared" si="38"/>
        <v>0.76798534122592788</v>
      </c>
      <c r="DZ24" s="162">
        <f t="shared" si="38"/>
        <v>0.76798534122592788</v>
      </c>
      <c r="EA24" s="162">
        <f t="shared" si="38"/>
        <v>0</v>
      </c>
      <c r="EB24" s="162">
        <f t="shared" si="38"/>
        <v>0.76798534122592788</v>
      </c>
      <c r="EC24" s="162">
        <f t="shared" si="38"/>
        <v>0</v>
      </c>
      <c r="ED24" s="162">
        <f t="shared" si="38"/>
        <v>0</v>
      </c>
      <c r="EE24" s="162">
        <f t="shared" si="38"/>
        <v>0</v>
      </c>
      <c r="EF24" s="162">
        <f t="shared" si="38"/>
        <v>0.76798534122592788</v>
      </c>
      <c r="EG24" s="162">
        <f t="shared" si="38"/>
        <v>0.76798534122592788</v>
      </c>
      <c r="EH24" s="162">
        <f t="shared" si="38"/>
        <v>0</v>
      </c>
      <c r="EI24" s="162">
        <f t="shared" si="38"/>
        <v>0.76798534122592788</v>
      </c>
      <c r="EJ24" s="163">
        <f t="shared" si="38"/>
        <v>0.76798534122592799</v>
      </c>
      <c r="EK24" s="162">
        <f t="shared" si="38"/>
        <v>0.76798534122592788</v>
      </c>
      <c r="EL24" s="162">
        <f t="shared" si="38"/>
        <v>0</v>
      </c>
      <c r="EM24" s="162">
        <f t="shared" si="38"/>
        <v>0.76798534122592799</v>
      </c>
      <c r="EN24" s="162">
        <f t="shared" si="49"/>
        <v>0</v>
      </c>
      <c r="EO24" s="162">
        <f t="shared" si="49"/>
        <v>0.76798534122592788</v>
      </c>
      <c r="EP24" s="162">
        <f t="shared" si="49"/>
        <v>0.76798534122592788</v>
      </c>
      <c r="EQ24" s="162">
        <f t="shared" si="49"/>
        <v>0.76798534122592788</v>
      </c>
      <c r="ER24" s="162">
        <f t="shared" si="49"/>
        <v>0.76798534122592788</v>
      </c>
      <c r="ES24" s="162">
        <f t="shared" si="49"/>
        <v>0</v>
      </c>
      <c r="ET24" s="162">
        <f t="shared" si="49"/>
        <v>0</v>
      </c>
      <c r="EU24" s="162">
        <f t="shared" si="49"/>
        <v>0.76798534122592788</v>
      </c>
      <c r="EV24" s="162">
        <f t="shared" si="49"/>
        <v>0</v>
      </c>
      <c r="EW24" s="163">
        <f t="shared" si="49"/>
        <v>0.76798534122592788</v>
      </c>
      <c r="EX24" s="162">
        <f t="shared" si="49"/>
        <v>0</v>
      </c>
      <c r="EY24" s="162">
        <f t="shared" si="49"/>
        <v>0.76798534122592799</v>
      </c>
      <c r="EZ24" s="162">
        <f t="shared" si="49"/>
        <v>0</v>
      </c>
      <c r="FA24" s="162">
        <f t="shared" si="49"/>
        <v>0.76798534122592776</v>
      </c>
      <c r="FB24" s="162">
        <f t="shared" si="49"/>
        <v>0</v>
      </c>
      <c r="FC24" s="162">
        <f t="shared" si="49"/>
        <v>0</v>
      </c>
      <c r="FD24" s="162">
        <f t="shared" si="50"/>
        <v>0.76798534122592799</v>
      </c>
      <c r="FE24" s="162">
        <f t="shared" si="50"/>
        <v>0.76798534122592788</v>
      </c>
      <c r="FF24" s="162">
        <f t="shared" si="48"/>
        <v>0</v>
      </c>
      <c r="FG24" s="162">
        <f t="shared" si="48"/>
        <v>0.76798534122592788</v>
      </c>
      <c r="FH24" s="163">
        <f t="shared" si="48"/>
        <v>0.76798534122592799</v>
      </c>
      <c r="FI24" s="164">
        <f t="shared" si="48"/>
        <v>0.76798534122592788</v>
      </c>
      <c r="FJ24" s="95"/>
      <c r="FK24" s="119">
        <v>0</v>
      </c>
      <c r="FL24" s="119">
        <v>0</v>
      </c>
      <c r="FM24" s="119">
        <v>0</v>
      </c>
      <c r="FN24" s="119">
        <v>0</v>
      </c>
      <c r="FO24" s="119">
        <v>101763.25</v>
      </c>
      <c r="FP24" s="119">
        <v>0</v>
      </c>
      <c r="FQ24" s="119">
        <v>42226.95</v>
      </c>
      <c r="FR24" s="119">
        <v>0</v>
      </c>
      <c r="FS24" s="119">
        <v>0</v>
      </c>
      <c r="FT24" s="119">
        <v>0</v>
      </c>
      <c r="FU24" s="119">
        <v>0</v>
      </c>
      <c r="FV24" s="119">
        <v>0</v>
      </c>
      <c r="FW24" s="98">
        <f t="shared" si="39"/>
        <v>143990.20000000001</v>
      </c>
      <c r="FX24" s="119">
        <v>74871.91</v>
      </c>
      <c r="FY24" s="119">
        <v>0</v>
      </c>
      <c r="FZ24" s="119">
        <v>0</v>
      </c>
      <c r="GA24" s="119">
        <v>0</v>
      </c>
      <c r="GB24" s="119">
        <v>0</v>
      </c>
      <c r="GC24" s="119">
        <v>0</v>
      </c>
      <c r="GD24" s="119">
        <v>0</v>
      </c>
      <c r="GE24" s="119">
        <v>0</v>
      </c>
      <c r="GF24" s="119">
        <v>0</v>
      </c>
      <c r="GG24" s="119">
        <v>0</v>
      </c>
      <c r="GH24" s="119">
        <v>50710.32</v>
      </c>
      <c r="GI24" s="119">
        <v>54322.25</v>
      </c>
      <c r="GJ24" s="98">
        <f t="shared" si="40"/>
        <v>179904.48</v>
      </c>
      <c r="GK24" s="119">
        <v>21407.38</v>
      </c>
      <c r="GL24" s="119">
        <v>0</v>
      </c>
      <c r="GM24" s="119">
        <v>0</v>
      </c>
      <c r="GN24" s="119">
        <v>0</v>
      </c>
      <c r="GO24" s="119">
        <v>0</v>
      </c>
      <c r="GP24" s="119">
        <v>0</v>
      </c>
      <c r="GQ24" s="119">
        <v>1520.94</v>
      </c>
      <c r="GR24" s="119">
        <v>0</v>
      </c>
      <c r="GS24" s="119">
        <v>0</v>
      </c>
      <c r="GT24" s="119">
        <v>0</v>
      </c>
      <c r="GU24" s="98">
        <f t="shared" si="41"/>
        <v>22928.32</v>
      </c>
      <c r="GV24" s="96">
        <f t="shared" si="42"/>
        <v>127960.89</v>
      </c>
      <c r="GW24" s="95"/>
      <c r="GX24" s="119">
        <f t="shared" si="43"/>
        <v>20201.999411443201</v>
      </c>
      <c r="GY24" s="119">
        <f t="shared" si="43"/>
        <v>4278.7813720282902</v>
      </c>
      <c r="GZ24" s="119">
        <f t="shared" si="43"/>
        <v>9232.0028886009604</v>
      </c>
      <c r="HA24" s="119">
        <f t="shared" si="43"/>
        <v>0</v>
      </c>
      <c r="HB24" s="119">
        <f t="shared" si="43"/>
        <v>-95210.129572033708</v>
      </c>
      <c r="HC24" s="119">
        <f t="shared" si="43"/>
        <v>0</v>
      </c>
      <c r="HD24" s="119">
        <f t="shared" si="43"/>
        <v>-42226.95</v>
      </c>
      <c r="HE24" s="119">
        <f t="shared" si="43"/>
        <v>0</v>
      </c>
      <c r="HF24" s="119">
        <f t="shared" si="43"/>
        <v>3657.48442138877</v>
      </c>
      <c r="HG24" s="119">
        <f t="shared" si="43"/>
        <v>213.86579736894228</v>
      </c>
      <c r="HH24" s="119">
        <f t="shared" si="43"/>
        <v>0</v>
      </c>
      <c r="HI24" s="119">
        <f t="shared" si="43"/>
        <v>8102.6345918540037</v>
      </c>
      <c r="HJ24" s="98">
        <f t="shared" si="44"/>
        <v>-91750.311089349547</v>
      </c>
      <c r="HK24" s="119">
        <f t="shared" ref="HK24:HV62" si="53">+X24-FX24</f>
        <v>-73945.58921865109</v>
      </c>
      <c r="HL24" s="119">
        <f t="shared" si="53"/>
        <v>0</v>
      </c>
      <c r="HM24" s="119">
        <f t="shared" si="53"/>
        <v>11916.186738408624</v>
      </c>
      <c r="HN24" s="119">
        <f t="shared" si="53"/>
        <v>0</v>
      </c>
      <c r="HO24" s="119">
        <f t="shared" si="53"/>
        <v>39278.121684863116</v>
      </c>
      <c r="HP24" s="119">
        <f t="shared" si="53"/>
        <v>21464.376545489744</v>
      </c>
      <c r="HQ24" s="119">
        <f t="shared" si="53"/>
        <v>66438.129734769158</v>
      </c>
      <c r="HR24" s="119">
        <f t="shared" si="53"/>
        <v>7785.8011624990877</v>
      </c>
      <c r="HS24" s="119">
        <f t="shared" si="53"/>
        <v>0</v>
      </c>
      <c r="HT24" s="119">
        <f t="shared" si="53"/>
        <v>0</v>
      </c>
      <c r="HU24" s="119">
        <f t="shared" si="53"/>
        <v>-11092.693904440559</v>
      </c>
      <c r="HV24" s="119">
        <f t="shared" si="53"/>
        <v>-54322.25</v>
      </c>
      <c r="HW24" s="98">
        <f t="shared" si="45"/>
        <v>7522.0827429380734</v>
      </c>
      <c r="HX24" s="119">
        <f t="shared" ref="HX24:IG62" si="54">+AK24-GK24</f>
        <v>-21407.38</v>
      </c>
      <c r="HY24" s="119">
        <f t="shared" si="54"/>
        <v>1582.2707148753004</v>
      </c>
      <c r="HZ24" s="119">
        <f t="shared" si="54"/>
        <v>0</v>
      </c>
      <c r="IA24" s="119">
        <f t="shared" si="54"/>
        <v>17767.756665815807</v>
      </c>
      <c r="IB24" s="119">
        <f t="shared" si="54"/>
        <v>0</v>
      </c>
      <c r="IC24" s="119">
        <f t="shared" si="54"/>
        <v>0</v>
      </c>
      <c r="ID24" s="119">
        <f t="shared" si="54"/>
        <v>45422.602522482834</v>
      </c>
      <c r="IE24" s="119">
        <f t="shared" si="54"/>
        <v>4695.1774760954713</v>
      </c>
      <c r="IF24" s="119">
        <f t="shared" si="54"/>
        <v>0</v>
      </c>
      <c r="IG24" s="119">
        <f t="shared" si="54"/>
        <v>36167.800967141964</v>
      </c>
      <c r="IH24" s="98">
        <f t="shared" si="46"/>
        <v>84228.228346411372</v>
      </c>
      <c r="II24" s="96">
        <f t="shared" si="47"/>
        <v>18813.284441970813</v>
      </c>
    </row>
    <row r="25" spans="2:243" x14ac:dyDescent="0.2">
      <c r="B25" s="101" t="s">
        <v>297</v>
      </c>
      <c r="C25" s="89" t="s">
        <v>298</v>
      </c>
      <c r="D25" s="89" t="str">
        <f>_xlfn.IFNA(INDEX('4. WIP Report (Oct-25)'!D:D,MATCH('7. POC Lookback Summary'!$B25,'4. WIP Report (Oct-25)'!$B:$B,0)),INDEX('5. Completed Jobs'!D:D,MATCH('7. POC Lookback Summary'!$B25,'5. Completed Jobs'!$B:$B,0)))</f>
        <v>Metro Development Partners</v>
      </c>
      <c r="E25" s="89" t="str">
        <f>_xlfn.IFNA(INDEX('4. WIP Report (Oct-25)'!E:E,MATCH('7. POC Lookback Summary'!$B25,'4. WIP Report (Oct-25)'!$B:$B,0)),INDEX('5. Completed Jobs'!E:E,MATCH('7. POC Lookback Summary'!$B25,'5. Completed Jobs'!$B:$B,0)))</f>
        <v>Fire Alarm Installation</v>
      </c>
      <c r="F25" s="89" t="str">
        <f>_xlfn.IFNA(INDEX('4. WIP Report (Oct-25)'!F:F,MATCH('7. POC Lookback Summary'!$B25,'4. WIP Report (Oct-25)'!$B:$B,0)),INDEX('5. Completed Jobs'!F:F,MATCH('7. POC Lookback Summary'!$B25,'5. Completed Jobs'!$B:$B,0)))</f>
        <v>Healthcare</v>
      </c>
      <c r="G25" s="89" t="str">
        <f>_xlfn.IFNA(INDEX('4. WIP Report (Oct-25)'!G:G,MATCH('7. POC Lookback Summary'!$B25,'4. WIP Report (Oct-25)'!$B:$B,0)),INDEX('5. Completed Jobs'!G:G,MATCH('7. POC Lookback Summary'!$B25,'5. Completed Jobs'!$B:$B,0)))</f>
        <v>Direct</v>
      </c>
      <c r="H25" s="89" t="str">
        <f>_xlfn.IFNA(INDEX('4. WIP Report (Oct-25)'!H:H,MATCH('7. POC Lookback Summary'!$B25,'4. WIP Report (Oct-25)'!$B:$B,0)),INDEX('5. Completed Jobs'!H:H,MATCH('7. POC Lookback Summary'!$B25,'5. Completed Jobs'!$B:$B,0)))</f>
        <v>New Construction</v>
      </c>
      <c r="J25" s="95"/>
      <c r="K25" s="119">
        <v>5677.1034789995147</v>
      </c>
      <c r="L25" s="119">
        <v>627.25329688242266</v>
      </c>
      <c r="M25" s="119">
        <v>694.01736667957925</v>
      </c>
      <c r="N25" s="119">
        <v>0</v>
      </c>
      <c r="O25" s="119">
        <v>0</v>
      </c>
      <c r="P25" s="119">
        <v>4036.1830170729495</v>
      </c>
      <c r="Q25" s="119">
        <v>0</v>
      </c>
      <c r="R25" s="119">
        <v>0</v>
      </c>
      <c r="S25" s="119">
        <v>180.89427050067428</v>
      </c>
      <c r="T25" s="119">
        <v>3572.7167799083468</v>
      </c>
      <c r="U25" s="119">
        <v>286.40094533272583</v>
      </c>
      <c r="V25" s="119">
        <v>11819.737514098113</v>
      </c>
      <c r="W25" s="98">
        <f t="shared" si="25"/>
        <v>26894.306669474325</v>
      </c>
      <c r="X25" s="119">
        <v>544.20108478286772</v>
      </c>
      <c r="Y25" s="119">
        <v>595.72914902487821</v>
      </c>
      <c r="Z25" s="119">
        <v>5477.1375651815588</v>
      </c>
      <c r="AA25" s="119">
        <v>1637.5709379780344</v>
      </c>
      <c r="AB25" s="119">
        <v>5775.9776968678752</v>
      </c>
      <c r="AC25" s="119">
        <v>159.37873992870007</v>
      </c>
      <c r="AD25" s="119">
        <v>2048.8298833802482</v>
      </c>
      <c r="AE25" s="119">
        <v>5623.5976640364033</v>
      </c>
      <c r="AF25" s="119">
        <v>544.87365320990864</v>
      </c>
      <c r="AG25" s="119">
        <v>431.00981623987263</v>
      </c>
      <c r="AH25" s="119">
        <v>5550.7405238358551</v>
      </c>
      <c r="AI25" s="119">
        <v>0</v>
      </c>
      <c r="AJ25" s="98">
        <f t="shared" si="26"/>
        <v>28389.0467144662</v>
      </c>
      <c r="AK25" s="119">
        <v>47.958790213357481</v>
      </c>
      <c r="AL25" s="119">
        <v>0</v>
      </c>
      <c r="AM25" s="119">
        <v>0</v>
      </c>
      <c r="AN25" s="119">
        <v>1289.6732656777501</v>
      </c>
      <c r="AO25" s="119">
        <v>500.29768241176714</v>
      </c>
      <c r="AP25" s="119">
        <v>791.62635681390213</v>
      </c>
      <c r="AQ25" s="119">
        <v>0</v>
      </c>
      <c r="AR25" s="119">
        <v>2530.8816500485282</v>
      </c>
      <c r="AS25" s="119">
        <v>560.54249983196235</v>
      </c>
      <c r="AT25" s="119">
        <v>519.03637106219594</v>
      </c>
      <c r="AU25" s="98">
        <f t="shared" si="27"/>
        <v>6240.0166160594636</v>
      </c>
      <c r="AV25" s="96">
        <f t="shared" si="28"/>
        <v>11790.757139895319</v>
      </c>
      <c r="AW25" s="95"/>
      <c r="AX25" s="119">
        <v>8525.34</v>
      </c>
      <c r="AY25" s="119">
        <v>941.95</v>
      </c>
      <c r="AZ25" s="119">
        <v>1042.21</v>
      </c>
      <c r="BA25" s="119">
        <v>0</v>
      </c>
      <c r="BB25" s="119">
        <v>0</v>
      </c>
      <c r="BC25" s="119">
        <v>6061.16</v>
      </c>
      <c r="BD25" s="119">
        <v>0</v>
      </c>
      <c r="BE25" s="119">
        <v>0</v>
      </c>
      <c r="BF25" s="119">
        <v>271.65000000000003</v>
      </c>
      <c r="BG25" s="119">
        <v>5365.17</v>
      </c>
      <c r="BH25" s="119">
        <v>430.09</v>
      </c>
      <c r="BI25" s="119">
        <v>17749.77</v>
      </c>
      <c r="BJ25" s="98">
        <f t="shared" si="29"/>
        <v>40387.340000000004</v>
      </c>
      <c r="BK25" s="119">
        <v>817.23</v>
      </c>
      <c r="BL25" s="119">
        <v>894.61</v>
      </c>
      <c r="BM25" s="119">
        <v>8225.0499999999993</v>
      </c>
      <c r="BN25" s="119">
        <v>2459.1499999999996</v>
      </c>
      <c r="BO25" s="119">
        <v>8673.82</v>
      </c>
      <c r="BP25" s="119">
        <v>239.34</v>
      </c>
      <c r="BQ25" s="119">
        <v>3076.74</v>
      </c>
      <c r="BR25" s="119">
        <v>8444.99</v>
      </c>
      <c r="BS25" s="119">
        <v>818.24</v>
      </c>
      <c r="BT25" s="119">
        <v>647.25</v>
      </c>
      <c r="BU25" s="119">
        <v>8335.58</v>
      </c>
      <c r="BV25" s="119">
        <v>0</v>
      </c>
      <c r="BW25" s="98">
        <f t="shared" si="30"/>
        <v>42632</v>
      </c>
      <c r="BX25" s="119">
        <v>72.02</v>
      </c>
      <c r="BY25" s="119">
        <v>0</v>
      </c>
      <c r="BZ25" s="119">
        <v>0</v>
      </c>
      <c r="CA25" s="119">
        <v>1936.71</v>
      </c>
      <c r="CB25" s="119">
        <v>751.3</v>
      </c>
      <c r="CC25" s="119">
        <v>1188.79</v>
      </c>
      <c r="CD25" s="119">
        <v>0</v>
      </c>
      <c r="CE25" s="119">
        <v>3800.6400000000003</v>
      </c>
      <c r="CF25" s="119">
        <v>841.77</v>
      </c>
      <c r="CG25" s="119">
        <v>779.43999999999994</v>
      </c>
      <c r="CH25" s="98">
        <f t="shared" si="31"/>
        <v>9370.67</v>
      </c>
      <c r="CI25" s="96">
        <f t="shared" si="32"/>
        <v>17706.25</v>
      </c>
      <c r="CJ25" s="95"/>
      <c r="CK25" s="119">
        <f t="shared" si="33"/>
        <v>-2848.2365210004855</v>
      </c>
      <c r="CL25" s="119">
        <f t="shared" si="33"/>
        <v>-314.69670311757739</v>
      </c>
      <c r="CM25" s="119">
        <f t="shared" si="33"/>
        <v>-348.19263332042078</v>
      </c>
      <c r="CN25" s="119">
        <f t="shared" si="33"/>
        <v>0</v>
      </c>
      <c r="CO25" s="119">
        <f t="shared" si="33"/>
        <v>0</v>
      </c>
      <c r="CP25" s="119">
        <f t="shared" si="33"/>
        <v>-2024.9769829270504</v>
      </c>
      <c r="CQ25" s="119">
        <f t="shared" si="33"/>
        <v>0</v>
      </c>
      <c r="CR25" s="119">
        <f t="shared" si="33"/>
        <v>0</v>
      </c>
      <c r="CS25" s="119">
        <f t="shared" si="33"/>
        <v>-90.755729499325753</v>
      </c>
      <c r="CT25" s="119">
        <f t="shared" si="33"/>
        <v>-1792.4532200916533</v>
      </c>
      <c r="CU25" s="119">
        <f t="shared" si="33"/>
        <v>-143.68905466727415</v>
      </c>
      <c r="CV25" s="119">
        <f t="shared" si="33"/>
        <v>-5930.0324859018874</v>
      </c>
      <c r="CW25" s="98">
        <f t="shared" si="34"/>
        <v>-13493.033330525675</v>
      </c>
      <c r="CX25" s="119">
        <f t="shared" si="51"/>
        <v>-273.02891521713229</v>
      </c>
      <c r="CY25" s="119">
        <f t="shared" si="51"/>
        <v>-298.8808509751218</v>
      </c>
      <c r="CZ25" s="119">
        <f t="shared" si="51"/>
        <v>-2747.9124348184405</v>
      </c>
      <c r="DA25" s="119">
        <f t="shared" si="51"/>
        <v>-821.57906202196523</v>
      </c>
      <c r="DB25" s="119">
        <f t="shared" si="51"/>
        <v>-2897.8423031321245</v>
      </c>
      <c r="DC25" s="119">
        <f t="shared" si="51"/>
        <v>-79.961260071299932</v>
      </c>
      <c r="DD25" s="119">
        <f t="shared" si="51"/>
        <v>-1027.9101166197515</v>
      </c>
      <c r="DE25" s="119">
        <f t="shared" si="51"/>
        <v>-2821.3923359635965</v>
      </c>
      <c r="DF25" s="119">
        <f t="shared" si="51"/>
        <v>-273.36634679009137</v>
      </c>
      <c r="DG25" s="119">
        <f t="shared" si="51"/>
        <v>-216.24018376012737</v>
      </c>
      <c r="DH25" s="119">
        <f t="shared" si="51"/>
        <v>-2784.8394761641448</v>
      </c>
      <c r="DI25" s="119">
        <f t="shared" si="51"/>
        <v>0</v>
      </c>
      <c r="DJ25" s="98">
        <f t="shared" si="35"/>
        <v>-14242.953285533795</v>
      </c>
      <c r="DK25" s="119">
        <f t="shared" si="52"/>
        <v>-24.061209786642515</v>
      </c>
      <c r="DL25" s="119">
        <f t="shared" si="52"/>
        <v>0</v>
      </c>
      <c r="DM25" s="119">
        <f t="shared" si="52"/>
        <v>0</v>
      </c>
      <c r="DN25" s="119">
        <f t="shared" si="52"/>
        <v>-647.03673432224991</v>
      </c>
      <c r="DO25" s="119">
        <f t="shared" si="52"/>
        <v>-251.00231758823281</v>
      </c>
      <c r="DP25" s="119">
        <f t="shared" si="52"/>
        <v>-397.16364318609783</v>
      </c>
      <c r="DQ25" s="119">
        <f t="shared" si="52"/>
        <v>0</v>
      </c>
      <c r="DR25" s="119">
        <f t="shared" si="52"/>
        <v>-1269.7583499514722</v>
      </c>
      <c r="DS25" s="119">
        <f t="shared" si="52"/>
        <v>-281.22750016803764</v>
      </c>
      <c r="DT25" s="119">
        <f t="shared" si="52"/>
        <v>-260.403628937804</v>
      </c>
      <c r="DU25" s="98">
        <f t="shared" si="36"/>
        <v>-3130.653383940537</v>
      </c>
      <c r="DV25" s="96">
        <f t="shared" si="37"/>
        <v>-5915.4928601046813</v>
      </c>
      <c r="DW25" s="95"/>
      <c r="DX25" s="162">
        <f t="shared" si="38"/>
        <v>-0.50170593710975209</v>
      </c>
      <c r="DY25" s="162">
        <f t="shared" si="38"/>
        <v>-0.50170593710975209</v>
      </c>
      <c r="DZ25" s="162">
        <f t="shared" si="38"/>
        <v>-0.5017059371097522</v>
      </c>
      <c r="EA25" s="162">
        <f t="shared" si="38"/>
        <v>0</v>
      </c>
      <c r="EB25" s="162">
        <f t="shared" si="38"/>
        <v>0</v>
      </c>
      <c r="EC25" s="162">
        <f t="shared" si="38"/>
        <v>-0.50170593710975198</v>
      </c>
      <c r="ED25" s="162">
        <f t="shared" si="38"/>
        <v>0</v>
      </c>
      <c r="EE25" s="162">
        <f t="shared" si="38"/>
        <v>0</v>
      </c>
      <c r="EF25" s="162">
        <f t="shared" si="38"/>
        <v>-0.50170593710975198</v>
      </c>
      <c r="EG25" s="162">
        <f t="shared" si="38"/>
        <v>-0.5017059371097522</v>
      </c>
      <c r="EH25" s="162">
        <f t="shared" si="38"/>
        <v>-0.50170593710975231</v>
      </c>
      <c r="EI25" s="162">
        <f t="shared" si="38"/>
        <v>-0.50170593710975231</v>
      </c>
      <c r="EJ25" s="163">
        <f t="shared" si="38"/>
        <v>-0.5017059371097522</v>
      </c>
      <c r="EK25" s="162">
        <f t="shared" si="38"/>
        <v>-0.50170593710975209</v>
      </c>
      <c r="EL25" s="162">
        <f t="shared" si="38"/>
        <v>-0.50170593710975231</v>
      </c>
      <c r="EM25" s="162">
        <f t="shared" si="38"/>
        <v>-0.5017059371097522</v>
      </c>
      <c r="EN25" s="162">
        <f t="shared" si="49"/>
        <v>-0.50170593710975198</v>
      </c>
      <c r="EO25" s="162">
        <f t="shared" si="49"/>
        <v>-0.50170593710975198</v>
      </c>
      <c r="EP25" s="162">
        <f t="shared" si="49"/>
        <v>-0.50170593710975209</v>
      </c>
      <c r="EQ25" s="162">
        <f t="shared" si="49"/>
        <v>-0.50170593710975209</v>
      </c>
      <c r="ER25" s="162">
        <f t="shared" si="49"/>
        <v>-0.50170593710975209</v>
      </c>
      <c r="ES25" s="162">
        <f t="shared" si="49"/>
        <v>-0.5017059371097522</v>
      </c>
      <c r="ET25" s="162">
        <f t="shared" si="49"/>
        <v>-0.50170593710975209</v>
      </c>
      <c r="EU25" s="162">
        <f t="shared" si="49"/>
        <v>-0.5017059371097522</v>
      </c>
      <c r="EV25" s="162">
        <f t="shared" si="49"/>
        <v>0</v>
      </c>
      <c r="EW25" s="163">
        <f t="shared" si="49"/>
        <v>-0.50170593710975209</v>
      </c>
      <c r="EX25" s="162">
        <f t="shared" si="49"/>
        <v>-0.50170593710975198</v>
      </c>
      <c r="EY25" s="162">
        <f t="shared" si="49"/>
        <v>0</v>
      </c>
      <c r="EZ25" s="162">
        <f t="shared" si="49"/>
        <v>0</v>
      </c>
      <c r="FA25" s="162">
        <f t="shared" si="49"/>
        <v>-0.50170593710975209</v>
      </c>
      <c r="FB25" s="162">
        <f t="shared" si="49"/>
        <v>-0.5017059371097522</v>
      </c>
      <c r="FC25" s="162">
        <f t="shared" si="49"/>
        <v>-0.5017059371097522</v>
      </c>
      <c r="FD25" s="162">
        <f t="shared" si="50"/>
        <v>0</v>
      </c>
      <c r="FE25" s="162">
        <f t="shared" si="50"/>
        <v>-0.50170593710975198</v>
      </c>
      <c r="FF25" s="162">
        <f t="shared" si="48"/>
        <v>-0.50170593710975198</v>
      </c>
      <c r="FG25" s="162">
        <f t="shared" si="48"/>
        <v>-0.50170593710975209</v>
      </c>
      <c r="FH25" s="163">
        <f t="shared" si="48"/>
        <v>-0.50170593710975209</v>
      </c>
      <c r="FI25" s="164">
        <f t="shared" si="48"/>
        <v>-0.50170593710975209</v>
      </c>
      <c r="FJ25" s="95"/>
      <c r="FK25" s="119">
        <v>1982.42</v>
      </c>
      <c r="FL25" s="119">
        <v>0</v>
      </c>
      <c r="FM25" s="119">
        <v>0</v>
      </c>
      <c r="FN25" s="119">
        <v>0</v>
      </c>
      <c r="FO25" s="119">
        <v>0</v>
      </c>
      <c r="FP25" s="119">
        <v>0</v>
      </c>
      <c r="FQ25" s="119">
        <v>0</v>
      </c>
      <c r="FR25" s="119">
        <v>0</v>
      </c>
      <c r="FS25" s="119">
        <v>0</v>
      </c>
      <c r="FT25" s="119">
        <v>0</v>
      </c>
      <c r="FU25" s="119">
        <v>0</v>
      </c>
      <c r="FV25" s="119">
        <v>0</v>
      </c>
      <c r="FW25" s="98">
        <f t="shared" si="39"/>
        <v>1982.42</v>
      </c>
      <c r="FX25" s="119">
        <v>0</v>
      </c>
      <c r="FY25" s="119">
        <v>0</v>
      </c>
      <c r="FZ25" s="119">
        <v>0</v>
      </c>
      <c r="GA25" s="119">
        <v>0</v>
      </c>
      <c r="GB25" s="119">
        <v>2747.18</v>
      </c>
      <c r="GC25" s="119">
        <v>0</v>
      </c>
      <c r="GD25" s="119">
        <v>0</v>
      </c>
      <c r="GE25" s="119">
        <v>0</v>
      </c>
      <c r="GF25" s="119">
        <v>0</v>
      </c>
      <c r="GG25" s="119">
        <v>0</v>
      </c>
      <c r="GH25" s="119">
        <v>0</v>
      </c>
      <c r="GI25" s="119">
        <v>0</v>
      </c>
      <c r="GJ25" s="98">
        <f t="shared" si="40"/>
        <v>2747.18</v>
      </c>
      <c r="GK25" s="119">
        <v>0</v>
      </c>
      <c r="GL25" s="119">
        <v>0</v>
      </c>
      <c r="GM25" s="119">
        <v>0</v>
      </c>
      <c r="GN25" s="119">
        <v>56793.770000000004</v>
      </c>
      <c r="GO25" s="119">
        <v>0</v>
      </c>
      <c r="GP25" s="119">
        <v>0</v>
      </c>
      <c r="GQ25" s="119">
        <v>0</v>
      </c>
      <c r="GR25" s="119">
        <v>0</v>
      </c>
      <c r="GS25" s="119">
        <v>0</v>
      </c>
      <c r="GT25" s="119">
        <v>0</v>
      </c>
      <c r="GU25" s="98">
        <f t="shared" si="41"/>
        <v>56793.770000000004</v>
      </c>
      <c r="GV25" s="96">
        <f t="shared" si="42"/>
        <v>56793.770000000004</v>
      </c>
      <c r="GW25" s="95"/>
      <c r="GX25" s="119">
        <f t="shared" si="43"/>
        <v>3694.6834789995146</v>
      </c>
      <c r="GY25" s="119">
        <f t="shared" si="43"/>
        <v>627.25329688242266</v>
      </c>
      <c r="GZ25" s="119">
        <f t="shared" si="43"/>
        <v>694.01736667957925</v>
      </c>
      <c r="HA25" s="119">
        <f t="shared" si="43"/>
        <v>0</v>
      </c>
      <c r="HB25" s="119">
        <f t="shared" si="43"/>
        <v>0</v>
      </c>
      <c r="HC25" s="119">
        <f t="shared" si="43"/>
        <v>4036.1830170729495</v>
      </c>
      <c r="HD25" s="119">
        <f t="shared" si="43"/>
        <v>0</v>
      </c>
      <c r="HE25" s="119">
        <f t="shared" si="43"/>
        <v>0</v>
      </c>
      <c r="HF25" s="119">
        <f t="shared" si="43"/>
        <v>180.89427050067428</v>
      </c>
      <c r="HG25" s="119">
        <f t="shared" si="43"/>
        <v>3572.7167799083468</v>
      </c>
      <c r="HH25" s="119">
        <f t="shared" si="43"/>
        <v>286.40094533272583</v>
      </c>
      <c r="HI25" s="119">
        <f t="shared" si="43"/>
        <v>11819.737514098113</v>
      </c>
      <c r="HJ25" s="98">
        <f t="shared" si="44"/>
        <v>24911.886669474326</v>
      </c>
      <c r="HK25" s="119">
        <f t="shared" si="53"/>
        <v>544.20108478286772</v>
      </c>
      <c r="HL25" s="119">
        <f t="shared" si="53"/>
        <v>595.72914902487821</v>
      </c>
      <c r="HM25" s="119">
        <f t="shared" si="53"/>
        <v>5477.1375651815588</v>
      </c>
      <c r="HN25" s="119">
        <f t="shared" si="53"/>
        <v>1637.5709379780344</v>
      </c>
      <c r="HO25" s="119">
        <f t="shared" si="53"/>
        <v>3028.7976968678754</v>
      </c>
      <c r="HP25" s="119">
        <f t="shared" si="53"/>
        <v>159.37873992870007</v>
      </c>
      <c r="HQ25" s="119">
        <f t="shared" si="53"/>
        <v>2048.8298833802482</v>
      </c>
      <c r="HR25" s="119">
        <f t="shared" si="53"/>
        <v>5623.5976640364033</v>
      </c>
      <c r="HS25" s="119">
        <f t="shared" si="53"/>
        <v>544.87365320990864</v>
      </c>
      <c r="HT25" s="119">
        <f t="shared" si="53"/>
        <v>431.00981623987263</v>
      </c>
      <c r="HU25" s="119">
        <f t="shared" si="53"/>
        <v>5550.7405238358551</v>
      </c>
      <c r="HV25" s="119">
        <f t="shared" si="53"/>
        <v>0</v>
      </c>
      <c r="HW25" s="98">
        <f t="shared" si="45"/>
        <v>25641.866714466203</v>
      </c>
      <c r="HX25" s="119">
        <f t="shared" si="54"/>
        <v>47.958790213357481</v>
      </c>
      <c r="HY25" s="119">
        <f t="shared" si="54"/>
        <v>0</v>
      </c>
      <c r="HZ25" s="119">
        <f t="shared" si="54"/>
        <v>0</v>
      </c>
      <c r="IA25" s="119">
        <f t="shared" si="54"/>
        <v>-55504.096734322251</v>
      </c>
      <c r="IB25" s="119">
        <f t="shared" si="54"/>
        <v>500.29768241176714</v>
      </c>
      <c r="IC25" s="119">
        <f t="shared" si="54"/>
        <v>791.62635681390213</v>
      </c>
      <c r="ID25" s="119">
        <f t="shared" si="54"/>
        <v>0</v>
      </c>
      <c r="IE25" s="119">
        <f t="shared" si="54"/>
        <v>2530.8816500485282</v>
      </c>
      <c r="IF25" s="119">
        <f t="shared" si="54"/>
        <v>560.54249983196235</v>
      </c>
      <c r="IG25" s="119">
        <f t="shared" si="54"/>
        <v>519.03637106219594</v>
      </c>
      <c r="IH25" s="98">
        <f t="shared" si="46"/>
        <v>-50553.753383940537</v>
      </c>
      <c r="II25" s="96">
        <f t="shared" si="47"/>
        <v>-45003.012860104682</v>
      </c>
    </row>
    <row r="26" spans="2:243" x14ac:dyDescent="0.2">
      <c r="B26" s="101" t="s">
        <v>299</v>
      </c>
      <c r="C26" s="89" t="s">
        <v>300</v>
      </c>
      <c r="D26" s="89" t="str">
        <f>_xlfn.IFNA(INDEX('4. WIP Report (Oct-25)'!D:D,MATCH('7. POC Lookback Summary'!$B26,'4. WIP Report (Oct-25)'!$B:$B,0)),INDEX('5. Completed Jobs'!D:D,MATCH('7. POC Lookback Summary'!$B26,'5. Completed Jobs'!$B:$B,0)))</f>
        <v>City Government</v>
      </c>
      <c r="E26" s="89" t="str">
        <f>_xlfn.IFNA(INDEX('4. WIP Report (Oct-25)'!E:E,MATCH('7. POC Lookback Summary'!$B26,'4. WIP Report (Oct-25)'!$B:$B,0)),INDEX('5. Completed Jobs'!E:E,MATCH('7. POC Lookback Summary'!$B26,'5. Completed Jobs'!$B:$B,0)))</f>
        <v>Fire Alarm Installation</v>
      </c>
      <c r="F26" s="89" t="str">
        <f>_xlfn.IFNA(INDEX('4. WIP Report (Oct-25)'!F:F,MATCH('7. POC Lookback Summary'!$B26,'4. WIP Report (Oct-25)'!$B:$B,0)),INDEX('5. Completed Jobs'!F:F,MATCH('7. POC Lookback Summary'!$B26,'5. Completed Jobs'!$B:$B,0)))</f>
        <v>Hospitality</v>
      </c>
      <c r="G26" s="89" t="str">
        <f>_xlfn.IFNA(INDEX('4. WIP Report (Oct-25)'!G:G,MATCH('7. POC Lookback Summary'!$B26,'4. WIP Report (Oct-25)'!$B:$B,0)),INDEX('5. Completed Jobs'!G:G,MATCH('7. POC Lookback Summary'!$B26,'5. Completed Jobs'!$B:$B,0)))</f>
        <v>Direct</v>
      </c>
      <c r="H26" s="89" t="str">
        <f>_xlfn.IFNA(INDEX('4. WIP Report (Oct-25)'!H:H,MATCH('7. POC Lookback Summary'!$B26,'4. WIP Report (Oct-25)'!$B:$B,0)),INDEX('5. Completed Jobs'!H:H,MATCH('7. POC Lookback Summary'!$B26,'5. Completed Jobs'!$B:$B,0)))</f>
        <v>New Construction</v>
      </c>
      <c r="J26" s="95"/>
      <c r="K26" s="119">
        <v>0</v>
      </c>
      <c r="L26" s="119">
        <v>3309.7768976058287</v>
      </c>
      <c r="M26" s="119">
        <v>20949.227600697948</v>
      </c>
      <c r="N26" s="119">
        <v>13311.751777517555</v>
      </c>
      <c r="O26" s="119">
        <v>752.92778620445586</v>
      </c>
      <c r="P26" s="119">
        <v>694.84789742931821</v>
      </c>
      <c r="Q26" s="119">
        <v>0</v>
      </c>
      <c r="R26" s="119">
        <v>1839.4075546665929</v>
      </c>
      <c r="S26" s="119">
        <v>29.770270071396336</v>
      </c>
      <c r="T26" s="119">
        <v>1118.3185910484206</v>
      </c>
      <c r="U26" s="119">
        <v>0</v>
      </c>
      <c r="V26" s="119">
        <v>0</v>
      </c>
      <c r="W26" s="98">
        <f t="shared" si="25"/>
        <v>42006.028375241513</v>
      </c>
      <c r="X26" s="119">
        <v>106.47557455200774</v>
      </c>
      <c r="Y26" s="119">
        <v>0</v>
      </c>
      <c r="Z26" s="119">
        <v>0</v>
      </c>
      <c r="AA26" s="119">
        <v>1083.6260102987417</v>
      </c>
      <c r="AB26" s="119">
        <v>0</v>
      </c>
      <c r="AC26" s="119">
        <v>99.130102356286002</v>
      </c>
      <c r="AD26" s="119">
        <v>20739.054222113915</v>
      </c>
      <c r="AE26" s="119">
        <v>0</v>
      </c>
      <c r="AF26" s="119">
        <v>767.43298302313394</v>
      </c>
      <c r="AG26" s="119">
        <v>3530.6645339098186</v>
      </c>
      <c r="AH26" s="119">
        <v>0</v>
      </c>
      <c r="AI26" s="119">
        <v>10193.202006073685</v>
      </c>
      <c r="AJ26" s="98">
        <f t="shared" si="26"/>
        <v>36519.585432327585</v>
      </c>
      <c r="AK26" s="119">
        <v>267.36674485278161</v>
      </c>
      <c r="AL26" s="119">
        <v>325.73369805855663</v>
      </c>
      <c r="AM26" s="119">
        <v>0</v>
      </c>
      <c r="AN26" s="119">
        <v>22.661203877376003</v>
      </c>
      <c r="AO26" s="119">
        <v>1662.803828324166</v>
      </c>
      <c r="AP26" s="119">
        <v>2444.7842235234248</v>
      </c>
      <c r="AQ26" s="119">
        <v>0</v>
      </c>
      <c r="AR26" s="119">
        <v>10193.911224078785</v>
      </c>
      <c r="AS26" s="119">
        <v>4615.2952697157916</v>
      </c>
      <c r="AT26" s="119">
        <v>0</v>
      </c>
      <c r="AU26" s="98">
        <f t="shared" si="27"/>
        <v>19532.556192430882</v>
      </c>
      <c r="AV26" s="96">
        <f t="shared" si="28"/>
        <v>29725.758198504569</v>
      </c>
      <c r="AW26" s="95"/>
      <c r="AX26" s="119">
        <v>0</v>
      </c>
      <c r="AY26" s="119">
        <v>3920.11</v>
      </c>
      <c r="AZ26" s="119">
        <v>24812.33</v>
      </c>
      <c r="BA26" s="119">
        <v>15766.48</v>
      </c>
      <c r="BB26" s="119">
        <v>891.77</v>
      </c>
      <c r="BC26" s="119">
        <v>822.98</v>
      </c>
      <c r="BD26" s="119">
        <v>0</v>
      </c>
      <c r="BE26" s="119">
        <v>2178.6</v>
      </c>
      <c r="BF26" s="119">
        <v>35.26</v>
      </c>
      <c r="BG26" s="119">
        <v>1324.54</v>
      </c>
      <c r="BH26" s="119">
        <v>0</v>
      </c>
      <c r="BI26" s="119">
        <v>0</v>
      </c>
      <c r="BJ26" s="98">
        <f t="shared" si="29"/>
        <v>49752.07</v>
      </c>
      <c r="BK26" s="119">
        <v>126.11000000000001</v>
      </c>
      <c r="BL26" s="119">
        <v>0</v>
      </c>
      <c r="BM26" s="119">
        <v>0</v>
      </c>
      <c r="BN26" s="119">
        <v>1283.4499999999998</v>
      </c>
      <c r="BO26" s="119">
        <v>0</v>
      </c>
      <c r="BP26" s="119">
        <v>117.41</v>
      </c>
      <c r="BQ26" s="119">
        <v>24563.399999999994</v>
      </c>
      <c r="BR26" s="119">
        <v>0</v>
      </c>
      <c r="BS26" s="119">
        <v>908.95</v>
      </c>
      <c r="BT26" s="119">
        <v>4181.7299999999996</v>
      </c>
      <c r="BU26" s="119">
        <v>0</v>
      </c>
      <c r="BV26" s="119">
        <v>12072.860000000002</v>
      </c>
      <c r="BW26" s="98">
        <f t="shared" si="30"/>
        <v>43253.909999999996</v>
      </c>
      <c r="BX26" s="119">
        <v>316.67</v>
      </c>
      <c r="BY26" s="119">
        <v>385.79999999999995</v>
      </c>
      <c r="BZ26" s="119">
        <v>0</v>
      </c>
      <c r="CA26" s="119">
        <v>26.84</v>
      </c>
      <c r="CB26" s="119">
        <v>1969.4299999999998</v>
      </c>
      <c r="CC26" s="119">
        <v>2895.61</v>
      </c>
      <c r="CD26" s="119">
        <v>0</v>
      </c>
      <c r="CE26" s="119">
        <v>12073.699999999999</v>
      </c>
      <c r="CF26" s="119">
        <v>5466.37</v>
      </c>
      <c r="CG26" s="119">
        <v>0</v>
      </c>
      <c r="CH26" s="98">
        <f t="shared" si="31"/>
        <v>23134.42</v>
      </c>
      <c r="CI26" s="96">
        <f t="shared" si="32"/>
        <v>35207.279999999999</v>
      </c>
      <c r="CJ26" s="95"/>
      <c r="CK26" s="119">
        <f t="shared" si="33"/>
        <v>0</v>
      </c>
      <c r="CL26" s="119">
        <f t="shared" si="33"/>
        <v>-610.33310239417142</v>
      </c>
      <c r="CM26" s="119">
        <f t="shared" si="33"/>
        <v>-3863.1023993020535</v>
      </c>
      <c r="CN26" s="119">
        <f t="shared" si="33"/>
        <v>-2454.7282224824448</v>
      </c>
      <c r="CO26" s="119">
        <f t="shared" si="33"/>
        <v>-138.84221379554413</v>
      </c>
      <c r="CP26" s="119">
        <f t="shared" si="33"/>
        <v>-128.13210257068181</v>
      </c>
      <c r="CQ26" s="119">
        <f t="shared" si="33"/>
        <v>0</v>
      </c>
      <c r="CR26" s="119">
        <f t="shared" si="33"/>
        <v>-339.19244533340702</v>
      </c>
      <c r="CS26" s="119">
        <f t="shared" si="33"/>
        <v>-5.489729928603662</v>
      </c>
      <c r="CT26" s="119">
        <f t="shared" si="33"/>
        <v>-206.22140895157941</v>
      </c>
      <c r="CU26" s="119">
        <f t="shared" si="33"/>
        <v>0</v>
      </c>
      <c r="CV26" s="119">
        <f t="shared" si="33"/>
        <v>0</v>
      </c>
      <c r="CW26" s="98">
        <f t="shared" si="34"/>
        <v>-7746.0416247584863</v>
      </c>
      <c r="CX26" s="119">
        <f t="shared" si="51"/>
        <v>-19.634425447992271</v>
      </c>
      <c r="CY26" s="119">
        <f t="shared" si="51"/>
        <v>0</v>
      </c>
      <c r="CZ26" s="119">
        <f t="shared" si="51"/>
        <v>0</v>
      </c>
      <c r="DA26" s="119">
        <f t="shared" si="51"/>
        <v>-199.82398970125814</v>
      </c>
      <c r="DB26" s="119">
        <f t="shared" si="51"/>
        <v>0</v>
      </c>
      <c r="DC26" s="119">
        <f t="shared" si="51"/>
        <v>-18.279897643713994</v>
      </c>
      <c r="DD26" s="119">
        <f t="shared" si="51"/>
        <v>-3824.3457778860793</v>
      </c>
      <c r="DE26" s="119">
        <f t="shared" si="51"/>
        <v>0</v>
      </c>
      <c r="DF26" s="119">
        <f t="shared" si="51"/>
        <v>-141.5170169768661</v>
      </c>
      <c r="DG26" s="119">
        <f t="shared" si="51"/>
        <v>-651.06546609018096</v>
      </c>
      <c r="DH26" s="119">
        <f t="shared" si="51"/>
        <v>0</v>
      </c>
      <c r="DI26" s="119">
        <f t="shared" si="51"/>
        <v>-1879.6579939263174</v>
      </c>
      <c r="DJ26" s="98">
        <f t="shared" si="35"/>
        <v>-6734.3245676724082</v>
      </c>
      <c r="DK26" s="119">
        <f t="shared" si="52"/>
        <v>-49.303255147218408</v>
      </c>
      <c r="DL26" s="119">
        <f t="shared" si="52"/>
        <v>-60.066301941443328</v>
      </c>
      <c r="DM26" s="119">
        <f t="shared" si="52"/>
        <v>0</v>
      </c>
      <c r="DN26" s="119">
        <f t="shared" si="52"/>
        <v>-4.1787961226239965</v>
      </c>
      <c r="DO26" s="119">
        <f t="shared" si="52"/>
        <v>-306.6261716758338</v>
      </c>
      <c r="DP26" s="119">
        <f t="shared" si="52"/>
        <v>-450.82577647657536</v>
      </c>
      <c r="DQ26" s="119">
        <f t="shared" si="52"/>
        <v>0</v>
      </c>
      <c r="DR26" s="119">
        <f t="shared" si="52"/>
        <v>-1879.7887759212135</v>
      </c>
      <c r="DS26" s="119">
        <f t="shared" si="52"/>
        <v>-851.07473028420827</v>
      </c>
      <c r="DT26" s="119">
        <f t="shared" si="52"/>
        <v>0</v>
      </c>
      <c r="DU26" s="98">
        <f t="shared" si="36"/>
        <v>-3601.8638075691169</v>
      </c>
      <c r="DV26" s="96">
        <f t="shared" si="37"/>
        <v>-5481.5218014954344</v>
      </c>
      <c r="DW26" s="95"/>
      <c r="DX26" s="162">
        <f t="shared" si="38"/>
        <v>0</v>
      </c>
      <c r="DY26" s="162">
        <f t="shared" si="38"/>
        <v>-0.18440309461210633</v>
      </c>
      <c r="DZ26" s="162">
        <f t="shared" si="38"/>
        <v>-0.18440309461210636</v>
      </c>
      <c r="EA26" s="162">
        <f t="shared" si="38"/>
        <v>-0.18440309461210638</v>
      </c>
      <c r="EB26" s="162">
        <f t="shared" si="38"/>
        <v>-0.18440309461210644</v>
      </c>
      <c r="EC26" s="162">
        <f t="shared" si="38"/>
        <v>-0.18440309461210647</v>
      </c>
      <c r="ED26" s="162">
        <f t="shared" si="38"/>
        <v>0</v>
      </c>
      <c r="EE26" s="162">
        <f t="shared" si="38"/>
        <v>-0.18440309461210641</v>
      </c>
      <c r="EF26" s="162">
        <f t="shared" si="38"/>
        <v>-0.18440309461210652</v>
      </c>
      <c r="EG26" s="162">
        <f t="shared" si="38"/>
        <v>-0.18440309461210638</v>
      </c>
      <c r="EH26" s="162">
        <f t="shared" si="38"/>
        <v>0</v>
      </c>
      <c r="EI26" s="162">
        <f t="shared" si="38"/>
        <v>0</v>
      </c>
      <c r="EJ26" s="163">
        <f t="shared" si="38"/>
        <v>-0.18440309461210638</v>
      </c>
      <c r="EK26" s="162">
        <f t="shared" si="38"/>
        <v>-0.18440309461210638</v>
      </c>
      <c r="EL26" s="162">
        <f t="shared" si="38"/>
        <v>0</v>
      </c>
      <c r="EM26" s="162">
        <f t="shared" si="38"/>
        <v>0</v>
      </c>
      <c r="EN26" s="162">
        <f t="shared" si="49"/>
        <v>-0.1844030946121063</v>
      </c>
      <c r="EO26" s="162">
        <f t="shared" si="49"/>
        <v>0</v>
      </c>
      <c r="EP26" s="162">
        <f t="shared" si="49"/>
        <v>-0.18440309461210636</v>
      </c>
      <c r="EQ26" s="162">
        <f t="shared" si="49"/>
        <v>-0.18440309461210652</v>
      </c>
      <c r="ER26" s="162">
        <f t="shared" si="49"/>
        <v>0</v>
      </c>
      <c r="ES26" s="162">
        <f t="shared" si="49"/>
        <v>-0.18440309461210652</v>
      </c>
      <c r="ET26" s="162">
        <f t="shared" si="49"/>
        <v>-0.18440309461210644</v>
      </c>
      <c r="EU26" s="162">
        <f t="shared" si="49"/>
        <v>0</v>
      </c>
      <c r="EV26" s="162">
        <f t="shared" si="49"/>
        <v>-0.1844030946121063</v>
      </c>
      <c r="EW26" s="163">
        <f t="shared" si="49"/>
        <v>-0.18440309461210644</v>
      </c>
      <c r="EX26" s="162">
        <f t="shared" si="49"/>
        <v>-0.18440309461210644</v>
      </c>
      <c r="EY26" s="162">
        <f t="shared" si="49"/>
        <v>-0.18440309461210644</v>
      </c>
      <c r="EZ26" s="162">
        <f t="shared" si="49"/>
        <v>0</v>
      </c>
      <c r="FA26" s="162">
        <f t="shared" si="49"/>
        <v>-0.18440309461210627</v>
      </c>
      <c r="FB26" s="162">
        <f t="shared" si="49"/>
        <v>-0.18440309461210633</v>
      </c>
      <c r="FC26" s="162">
        <f t="shared" si="49"/>
        <v>-0.18440309461210647</v>
      </c>
      <c r="FD26" s="162">
        <f t="shared" si="50"/>
        <v>0</v>
      </c>
      <c r="FE26" s="162">
        <f t="shared" si="50"/>
        <v>-0.18440309461210638</v>
      </c>
      <c r="FF26" s="162">
        <f t="shared" si="48"/>
        <v>-0.18440309461210641</v>
      </c>
      <c r="FG26" s="162">
        <f t="shared" si="48"/>
        <v>0</v>
      </c>
      <c r="FH26" s="163">
        <f t="shared" si="48"/>
        <v>-0.18440309461210641</v>
      </c>
      <c r="FI26" s="164">
        <f t="shared" si="48"/>
        <v>-0.18440309461210636</v>
      </c>
      <c r="FJ26" s="95"/>
      <c r="FK26" s="119">
        <v>0</v>
      </c>
      <c r="FL26" s="119">
        <v>0</v>
      </c>
      <c r="FM26" s="119">
        <v>0</v>
      </c>
      <c r="FN26" s="119">
        <v>0</v>
      </c>
      <c r="FO26" s="119">
        <v>0</v>
      </c>
      <c r="FP26" s="119">
        <v>0</v>
      </c>
      <c r="FQ26" s="119">
        <v>0</v>
      </c>
      <c r="FR26" s="119">
        <v>0</v>
      </c>
      <c r="FS26" s="119">
        <v>0</v>
      </c>
      <c r="FT26" s="119">
        <v>0</v>
      </c>
      <c r="FU26" s="119">
        <v>0</v>
      </c>
      <c r="FV26" s="119">
        <v>0</v>
      </c>
      <c r="FW26" s="98">
        <f t="shared" si="39"/>
        <v>0</v>
      </c>
      <c r="FX26" s="119">
        <v>0</v>
      </c>
      <c r="FY26" s="119">
        <v>0</v>
      </c>
      <c r="FZ26" s="119">
        <v>0</v>
      </c>
      <c r="GA26" s="119">
        <v>0</v>
      </c>
      <c r="GB26" s="119">
        <v>0</v>
      </c>
      <c r="GC26" s="119">
        <v>27564.55</v>
      </c>
      <c r="GD26" s="119">
        <v>0</v>
      </c>
      <c r="GE26" s="119">
        <v>58060.23</v>
      </c>
      <c r="GF26" s="119">
        <v>0</v>
      </c>
      <c r="GG26" s="119">
        <v>8990.9599999999991</v>
      </c>
      <c r="GH26" s="119">
        <v>0</v>
      </c>
      <c r="GI26" s="119">
        <v>0</v>
      </c>
      <c r="GJ26" s="98">
        <f t="shared" si="40"/>
        <v>94615.739999999991</v>
      </c>
      <c r="GK26" s="119">
        <v>0</v>
      </c>
      <c r="GL26" s="119">
        <v>0</v>
      </c>
      <c r="GM26" s="119">
        <v>0</v>
      </c>
      <c r="GN26" s="119">
        <v>3442.43</v>
      </c>
      <c r="GO26" s="119">
        <v>0</v>
      </c>
      <c r="GP26" s="119">
        <v>0</v>
      </c>
      <c r="GQ26" s="119">
        <v>0</v>
      </c>
      <c r="GR26" s="119">
        <v>0</v>
      </c>
      <c r="GS26" s="119">
        <v>0</v>
      </c>
      <c r="GT26" s="119">
        <v>0</v>
      </c>
      <c r="GU26" s="98">
        <f t="shared" si="41"/>
        <v>3442.43</v>
      </c>
      <c r="GV26" s="96">
        <f t="shared" si="42"/>
        <v>3442.43</v>
      </c>
      <c r="GW26" s="95"/>
      <c r="GX26" s="119">
        <f t="shared" si="43"/>
        <v>0</v>
      </c>
      <c r="GY26" s="119">
        <f t="shared" si="43"/>
        <v>3309.7768976058287</v>
      </c>
      <c r="GZ26" s="119">
        <f t="shared" si="43"/>
        <v>20949.227600697948</v>
      </c>
      <c r="HA26" s="119">
        <f t="shared" si="43"/>
        <v>13311.751777517555</v>
      </c>
      <c r="HB26" s="119">
        <f t="shared" si="43"/>
        <v>752.92778620445586</v>
      </c>
      <c r="HC26" s="119">
        <f t="shared" si="43"/>
        <v>694.84789742931821</v>
      </c>
      <c r="HD26" s="119">
        <f t="shared" si="43"/>
        <v>0</v>
      </c>
      <c r="HE26" s="119">
        <f t="shared" si="43"/>
        <v>1839.4075546665929</v>
      </c>
      <c r="HF26" s="119">
        <f t="shared" si="43"/>
        <v>29.770270071396336</v>
      </c>
      <c r="HG26" s="119">
        <f t="shared" si="43"/>
        <v>1118.3185910484206</v>
      </c>
      <c r="HH26" s="119">
        <f t="shared" si="43"/>
        <v>0</v>
      </c>
      <c r="HI26" s="119">
        <f t="shared" si="43"/>
        <v>0</v>
      </c>
      <c r="HJ26" s="98">
        <f t="shared" si="44"/>
        <v>42006.028375241513</v>
      </c>
      <c r="HK26" s="119">
        <f t="shared" si="53"/>
        <v>106.47557455200774</v>
      </c>
      <c r="HL26" s="119">
        <f t="shared" si="53"/>
        <v>0</v>
      </c>
      <c r="HM26" s="119">
        <f t="shared" si="53"/>
        <v>0</v>
      </c>
      <c r="HN26" s="119">
        <f t="shared" si="53"/>
        <v>1083.6260102987417</v>
      </c>
      <c r="HO26" s="119">
        <f t="shared" si="53"/>
        <v>0</v>
      </c>
      <c r="HP26" s="119">
        <f t="shared" si="53"/>
        <v>-27465.419897643715</v>
      </c>
      <c r="HQ26" s="119">
        <f t="shared" si="53"/>
        <v>20739.054222113915</v>
      </c>
      <c r="HR26" s="119">
        <f t="shared" si="53"/>
        <v>-58060.23</v>
      </c>
      <c r="HS26" s="119">
        <f t="shared" si="53"/>
        <v>767.43298302313394</v>
      </c>
      <c r="HT26" s="119">
        <f t="shared" si="53"/>
        <v>-5460.2954660901805</v>
      </c>
      <c r="HU26" s="119">
        <f t="shared" si="53"/>
        <v>0</v>
      </c>
      <c r="HV26" s="119">
        <f t="shared" si="53"/>
        <v>10193.202006073685</v>
      </c>
      <c r="HW26" s="98">
        <f t="shared" si="45"/>
        <v>-58096.15456767242</v>
      </c>
      <c r="HX26" s="119">
        <f t="shared" si="54"/>
        <v>267.36674485278161</v>
      </c>
      <c r="HY26" s="119">
        <f t="shared" si="54"/>
        <v>325.73369805855663</v>
      </c>
      <c r="HZ26" s="119">
        <f t="shared" si="54"/>
        <v>0</v>
      </c>
      <c r="IA26" s="119">
        <f t="shared" si="54"/>
        <v>-3419.7687961226238</v>
      </c>
      <c r="IB26" s="119">
        <f t="shared" si="54"/>
        <v>1662.803828324166</v>
      </c>
      <c r="IC26" s="119">
        <f t="shared" si="54"/>
        <v>2444.7842235234248</v>
      </c>
      <c r="ID26" s="119">
        <f t="shared" si="54"/>
        <v>0</v>
      </c>
      <c r="IE26" s="119">
        <f t="shared" si="54"/>
        <v>10193.911224078785</v>
      </c>
      <c r="IF26" s="119">
        <f t="shared" si="54"/>
        <v>4615.2952697157916</v>
      </c>
      <c r="IG26" s="119">
        <f t="shared" si="54"/>
        <v>0</v>
      </c>
      <c r="IH26" s="98">
        <f t="shared" si="46"/>
        <v>16090.126192430882</v>
      </c>
      <c r="II26" s="96">
        <f t="shared" si="47"/>
        <v>26283.328198504569</v>
      </c>
    </row>
    <row r="27" spans="2:243" x14ac:dyDescent="0.2">
      <c r="B27" s="101" t="s">
        <v>301</v>
      </c>
      <c r="C27" s="89" t="s">
        <v>302</v>
      </c>
      <c r="D27" s="89" t="str">
        <f>_xlfn.IFNA(INDEX('4. WIP Report (Oct-25)'!D:D,MATCH('7. POC Lookback Summary'!$B27,'4. WIP Report (Oct-25)'!$B:$B,0)),INDEX('5. Completed Jobs'!D:D,MATCH('7. POC Lookback Summary'!$B27,'5. Completed Jobs'!$B:$B,0)))</f>
        <v>University Facilities</v>
      </c>
      <c r="E27" s="89" t="str">
        <f>_xlfn.IFNA(INDEX('4. WIP Report (Oct-25)'!E:E,MATCH('7. POC Lookback Summary'!$B27,'4. WIP Report (Oct-25)'!$B:$B,0)),INDEX('5. Completed Jobs'!E:E,MATCH('7. POC Lookback Summary'!$B27,'5. Completed Jobs'!$B:$B,0)))</f>
        <v>Fire Alarm Installation</v>
      </c>
      <c r="F27" s="89" t="str">
        <f>_xlfn.IFNA(INDEX('4. WIP Report (Oct-25)'!F:F,MATCH('7. POC Lookback Summary'!$B27,'4. WIP Report (Oct-25)'!$B:$B,0)),INDEX('5. Completed Jobs'!F:F,MATCH('7. POC Lookback Summary'!$B27,'5. Completed Jobs'!$B:$B,0)))</f>
        <v>Commercial</v>
      </c>
      <c r="G27" s="89" t="str">
        <f>_xlfn.IFNA(INDEX('4. WIP Report (Oct-25)'!G:G,MATCH('7. POC Lookback Summary'!$B27,'4. WIP Report (Oct-25)'!$B:$B,0)),INDEX('5. Completed Jobs'!G:G,MATCH('7. POC Lookback Summary'!$B27,'5. Completed Jobs'!$B:$B,0)))</f>
        <v>Municipality</v>
      </c>
      <c r="H27" s="89" t="str">
        <f>_xlfn.IFNA(INDEX('4. WIP Report (Oct-25)'!H:H,MATCH('7. POC Lookback Summary'!$B27,'4. WIP Report (Oct-25)'!$B:$B,0)),INDEX('5. Completed Jobs'!H:H,MATCH('7. POC Lookback Summary'!$B27,'5. Completed Jobs'!$B:$B,0)))</f>
        <v>New Construction</v>
      </c>
      <c r="J27" s="95"/>
      <c r="K27" s="119">
        <v>1935.3139484118553</v>
      </c>
      <c r="L27" s="119">
        <v>0</v>
      </c>
      <c r="M27" s="119">
        <v>370.9690124365261</v>
      </c>
      <c r="N27" s="119">
        <v>22234.141993322792</v>
      </c>
      <c r="O27" s="119">
        <v>2351.674044655525</v>
      </c>
      <c r="P27" s="119">
        <v>5175.7989475290624</v>
      </c>
      <c r="Q27" s="119">
        <v>101.89634414778</v>
      </c>
      <c r="R27" s="119">
        <v>2799.72570243054</v>
      </c>
      <c r="S27" s="119">
        <v>3512.8525781481835</v>
      </c>
      <c r="T27" s="119">
        <v>0</v>
      </c>
      <c r="U27" s="119">
        <v>0</v>
      </c>
      <c r="V27" s="119">
        <v>0</v>
      </c>
      <c r="W27" s="98">
        <f t="shared" si="25"/>
        <v>38482.372571082255</v>
      </c>
      <c r="X27" s="119">
        <v>1245.9610128897498</v>
      </c>
      <c r="Y27" s="119">
        <v>0</v>
      </c>
      <c r="Z27" s="119">
        <v>309.51084788848567</v>
      </c>
      <c r="AA27" s="119">
        <v>141.00672389617293</v>
      </c>
      <c r="AB27" s="119">
        <v>0</v>
      </c>
      <c r="AC27" s="119">
        <v>0</v>
      </c>
      <c r="AD27" s="119">
        <v>31.178707620507975</v>
      </c>
      <c r="AE27" s="119">
        <v>2727.0550058044614</v>
      </c>
      <c r="AF27" s="119">
        <v>0</v>
      </c>
      <c r="AG27" s="119">
        <v>0</v>
      </c>
      <c r="AH27" s="119">
        <v>0</v>
      </c>
      <c r="AI27" s="119">
        <v>0</v>
      </c>
      <c r="AJ27" s="98">
        <f t="shared" si="26"/>
        <v>4454.7122980993772</v>
      </c>
      <c r="AK27" s="119">
        <v>0</v>
      </c>
      <c r="AL27" s="119">
        <v>10623.284010673331</v>
      </c>
      <c r="AM27" s="119">
        <v>0</v>
      </c>
      <c r="AN27" s="119">
        <v>3342.1916575719374</v>
      </c>
      <c r="AO27" s="119">
        <v>0</v>
      </c>
      <c r="AP27" s="119">
        <v>0</v>
      </c>
      <c r="AQ27" s="119">
        <v>0</v>
      </c>
      <c r="AR27" s="119">
        <v>0</v>
      </c>
      <c r="AS27" s="119">
        <v>1908.0694625731153</v>
      </c>
      <c r="AT27" s="119">
        <v>0</v>
      </c>
      <c r="AU27" s="98">
        <f t="shared" si="27"/>
        <v>15873.545130818384</v>
      </c>
      <c r="AV27" s="96">
        <f t="shared" si="28"/>
        <v>15873.545130818384</v>
      </c>
      <c r="AW27" s="95"/>
      <c r="AX27" s="119">
        <v>2754.7400000000002</v>
      </c>
      <c r="AY27" s="119">
        <v>0</v>
      </c>
      <c r="AZ27" s="119">
        <v>528.04</v>
      </c>
      <c r="BA27" s="119">
        <v>31648.240000000005</v>
      </c>
      <c r="BB27" s="119">
        <v>3347.3900000000003</v>
      </c>
      <c r="BC27" s="119">
        <v>7367.27</v>
      </c>
      <c r="BD27" s="119">
        <v>145.04</v>
      </c>
      <c r="BE27" s="119">
        <v>3985.15</v>
      </c>
      <c r="BF27" s="119">
        <v>5000.22</v>
      </c>
      <c r="BG27" s="119">
        <v>0</v>
      </c>
      <c r="BH27" s="119">
        <v>0</v>
      </c>
      <c r="BI27" s="119">
        <v>0</v>
      </c>
      <c r="BJ27" s="98">
        <f t="shared" si="29"/>
        <v>54776.090000000011</v>
      </c>
      <c r="BK27" s="119">
        <v>1773.5100000000002</v>
      </c>
      <c r="BL27" s="119">
        <v>0</v>
      </c>
      <c r="BM27" s="119">
        <v>440.56</v>
      </c>
      <c r="BN27" s="119">
        <v>200.70999999999998</v>
      </c>
      <c r="BO27" s="119">
        <v>0</v>
      </c>
      <c r="BP27" s="119">
        <v>0</v>
      </c>
      <c r="BQ27" s="119">
        <v>44.38</v>
      </c>
      <c r="BR27" s="119">
        <v>3881.71</v>
      </c>
      <c r="BS27" s="119">
        <v>0</v>
      </c>
      <c r="BT27" s="119">
        <v>0</v>
      </c>
      <c r="BU27" s="119">
        <v>0</v>
      </c>
      <c r="BV27" s="119">
        <v>0</v>
      </c>
      <c r="BW27" s="98">
        <f t="shared" si="30"/>
        <v>6340.8700000000008</v>
      </c>
      <c r="BX27" s="119">
        <v>0</v>
      </c>
      <c r="BY27" s="119">
        <v>15121.26</v>
      </c>
      <c r="BZ27" s="119">
        <v>0</v>
      </c>
      <c r="CA27" s="119">
        <v>4757.3</v>
      </c>
      <c r="CB27" s="119">
        <v>0</v>
      </c>
      <c r="CC27" s="119">
        <v>0</v>
      </c>
      <c r="CD27" s="119">
        <v>0</v>
      </c>
      <c r="CE27" s="119">
        <v>0</v>
      </c>
      <c r="CF27" s="119">
        <v>2715.9600000000005</v>
      </c>
      <c r="CG27" s="119">
        <v>0</v>
      </c>
      <c r="CH27" s="98">
        <f t="shared" si="31"/>
        <v>22594.52</v>
      </c>
      <c r="CI27" s="96">
        <f t="shared" si="32"/>
        <v>22594.52</v>
      </c>
      <c r="CJ27" s="95"/>
      <c r="CK27" s="119">
        <f t="shared" si="33"/>
        <v>-819.4260515881449</v>
      </c>
      <c r="CL27" s="119">
        <f t="shared" si="33"/>
        <v>0</v>
      </c>
      <c r="CM27" s="119">
        <f t="shared" si="33"/>
        <v>-157.07098756347386</v>
      </c>
      <c r="CN27" s="119">
        <f t="shared" si="33"/>
        <v>-9414.0980066772136</v>
      </c>
      <c r="CO27" s="119">
        <f t="shared" si="33"/>
        <v>-995.71595534447533</v>
      </c>
      <c r="CP27" s="119">
        <f t="shared" si="33"/>
        <v>-2191.471052470938</v>
      </c>
      <c r="CQ27" s="119">
        <f t="shared" si="33"/>
        <v>-43.143655852219993</v>
      </c>
      <c r="CR27" s="119">
        <f t="shared" si="33"/>
        <v>-1185.4242975694601</v>
      </c>
      <c r="CS27" s="119">
        <f t="shared" si="33"/>
        <v>-1487.3674218518167</v>
      </c>
      <c r="CT27" s="119">
        <f t="shared" si="33"/>
        <v>0</v>
      </c>
      <c r="CU27" s="119">
        <f t="shared" si="33"/>
        <v>0</v>
      </c>
      <c r="CV27" s="119">
        <f t="shared" si="33"/>
        <v>0</v>
      </c>
      <c r="CW27" s="98">
        <f t="shared" si="34"/>
        <v>-16293.717428917742</v>
      </c>
      <c r="CX27" s="119">
        <f t="shared" si="51"/>
        <v>-527.54898711025044</v>
      </c>
      <c r="CY27" s="119">
        <f t="shared" si="51"/>
        <v>0</v>
      </c>
      <c r="CZ27" s="119">
        <f t="shared" si="51"/>
        <v>-131.04915211151433</v>
      </c>
      <c r="DA27" s="119">
        <f t="shared" si="51"/>
        <v>-59.703276103827051</v>
      </c>
      <c r="DB27" s="119">
        <f t="shared" si="51"/>
        <v>0</v>
      </c>
      <c r="DC27" s="119">
        <f t="shared" si="51"/>
        <v>0</v>
      </c>
      <c r="DD27" s="119">
        <f t="shared" si="51"/>
        <v>-13.201292379492028</v>
      </c>
      <c r="DE27" s="119">
        <f t="shared" si="51"/>
        <v>-1154.6549941955386</v>
      </c>
      <c r="DF27" s="119">
        <f t="shared" si="51"/>
        <v>0</v>
      </c>
      <c r="DG27" s="119">
        <f t="shared" si="51"/>
        <v>0</v>
      </c>
      <c r="DH27" s="119">
        <f t="shared" si="51"/>
        <v>0</v>
      </c>
      <c r="DI27" s="119">
        <f t="shared" si="51"/>
        <v>0</v>
      </c>
      <c r="DJ27" s="98">
        <f t="shared" si="35"/>
        <v>-1886.1577019006224</v>
      </c>
      <c r="DK27" s="119">
        <f t="shared" si="52"/>
        <v>0</v>
      </c>
      <c r="DL27" s="119">
        <f t="shared" si="52"/>
        <v>-4497.9759893266692</v>
      </c>
      <c r="DM27" s="119">
        <f t="shared" si="52"/>
        <v>0</v>
      </c>
      <c r="DN27" s="119">
        <f t="shared" si="52"/>
        <v>-1415.1083424280628</v>
      </c>
      <c r="DO27" s="119">
        <f t="shared" si="52"/>
        <v>0</v>
      </c>
      <c r="DP27" s="119">
        <f t="shared" si="52"/>
        <v>0</v>
      </c>
      <c r="DQ27" s="119">
        <f t="shared" si="52"/>
        <v>0</v>
      </c>
      <c r="DR27" s="119">
        <f t="shared" si="52"/>
        <v>0</v>
      </c>
      <c r="DS27" s="119">
        <f t="shared" si="52"/>
        <v>-807.8905374268852</v>
      </c>
      <c r="DT27" s="119">
        <f t="shared" si="52"/>
        <v>0</v>
      </c>
      <c r="DU27" s="98">
        <f t="shared" si="36"/>
        <v>-6720.9748691816167</v>
      </c>
      <c r="DV27" s="96">
        <f t="shared" si="37"/>
        <v>-6720.9748691816167</v>
      </c>
      <c r="DW27" s="95"/>
      <c r="DX27" s="162">
        <f t="shared" si="38"/>
        <v>-0.42340729898659435</v>
      </c>
      <c r="DY27" s="162">
        <f t="shared" si="38"/>
        <v>0</v>
      </c>
      <c r="DZ27" s="162">
        <f t="shared" si="38"/>
        <v>-0.4234072989865944</v>
      </c>
      <c r="EA27" s="162">
        <f t="shared" si="38"/>
        <v>-0.42340729898659424</v>
      </c>
      <c r="EB27" s="162">
        <f t="shared" si="38"/>
        <v>-0.42340729898659429</v>
      </c>
      <c r="EC27" s="162">
        <f t="shared" si="38"/>
        <v>-0.42340729898659435</v>
      </c>
      <c r="ED27" s="162">
        <f t="shared" si="38"/>
        <v>-0.42340729898659429</v>
      </c>
      <c r="EE27" s="162">
        <f t="shared" si="38"/>
        <v>-0.42340729898659418</v>
      </c>
      <c r="EF27" s="162">
        <f t="shared" si="38"/>
        <v>-0.42340729898659435</v>
      </c>
      <c r="EG27" s="162">
        <f t="shared" si="38"/>
        <v>0</v>
      </c>
      <c r="EH27" s="162">
        <f t="shared" si="38"/>
        <v>0</v>
      </c>
      <c r="EI27" s="162">
        <f t="shared" si="38"/>
        <v>0</v>
      </c>
      <c r="EJ27" s="163">
        <f t="shared" si="38"/>
        <v>-0.42340729898659435</v>
      </c>
      <c r="EK27" s="162">
        <f t="shared" si="38"/>
        <v>-0.42340729898659452</v>
      </c>
      <c r="EL27" s="162">
        <f t="shared" si="38"/>
        <v>0</v>
      </c>
      <c r="EM27" s="162">
        <f t="shared" si="38"/>
        <v>-0.42340729898659418</v>
      </c>
      <c r="EN27" s="162">
        <f t="shared" si="49"/>
        <v>-0.42340729898659435</v>
      </c>
      <c r="EO27" s="162">
        <f t="shared" si="49"/>
        <v>0</v>
      </c>
      <c r="EP27" s="162">
        <f t="shared" si="49"/>
        <v>0</v>
      </c>
      <c r="EQ27" s="162">
        <f t="shared" si="49"/>
        <v>-0.42340729898659435</v>
      </c>
      <c r="ER27" s="162">
        <f t="shared" si="49"/>
        <v>-0.42340729898659446</v>
      </c>
      <c r="ES27" s="162">
        <f t="shared" si="49"/>
        <v>0</v>
      </c>
      <c r="ET27" s="162">
        <f t="shared" si="49"/>
        <v>0</v>
      </c>
      <c r="EU27" s="162">
        <f t="shared" si="49"/>
        <v>0</v>
      </c>
      <c r="EV27" s="162">
        <f t="shared" si="49"/>
        <v>0</v>
      </c>
      <c r="EW27" s="163">
        <f t="shared" si="49"/>
        <v>-0.42340729898659446</v>
      </c>
      <c r="EX27" s="162">
        <f t="shared" si="49"/>
        <v>0</v>
      </c>
      <c r="EY27" s="162">
        <f t="shared" si="49"/>
        <v>-0.42340729898659424</v>
      </c>
      <c r="EZ27" s="162">
        <f t="shared" si="49"/>
        <v>0</v>
      </c>
      <c r="FA27" s="162">
        <f t="shared" si="49"/>
        <v>-0.4234072989865944</v>
      </c>
      <c r="FB27" s="162">
        <f t="shared" si="49"/>
        <v>0</v>
      </c>
      <c r="FC27" s="162">
        <f t="shared" si="49"/>
        <v>0</v>
      </c>
      <c r="FD27" s="162">
        <f t="shared" si="50"/>
        <v>0</v>
      </c>
      <c r="FE27" s="162">
        <f t="shared" si="50"/>
        <v>0</v>
      </c>
      <c r="FF27" s="162">
        <f t="shared" si="48"/>
        <v>-0.42340729898659424</v>
      </c>
      <c r="FG27" s="162">
        <f t="shared" si="48"/>
        <v>0</v>
      </c>
      <c r="FH27" s="163">
        <f t="shared" si="48"/>
        <v>-0.42340729898659424</v>
      </c>
      <c r="FI27" s="164">
        <f t="shared" si="48"/>
        <v>-0.42340729898659424</v>
      </c>
      <c r="FJ27" s="95"/>
      <c r="FK27" s="119">
        <v>0</v>
      </c>
      <c r="FL27" s="119">
        <v>0</v>
      </c>
      <c r="FM27" s="119">
        <v>0</v>
      </c>
      <c r="FN27" s="119">
        <v>0</v>
      </c>
      <c r="FO27" s="119">
        <v>0</v>
      </c>
      <c r="FP27" s="119">
        <v>17100.93</v>
      </c>
      <c r="FQ27" s="119">
        <v>0</v>
      </c>
      <c r="FR27" s="119">
        <v>0</v>
      </c>
      <c r="FS27" s="119">
        <v>0</v>
      </c>
      <c r="FT27" s="119">
        <v>0</v>
      </c>
      <c r="FU27" s="119">
        <v>7460.34</v>
      </c>
      <c r="FV27" s="119">
        <v>0</v>
      </c>
      <c r="FW27" s="98">
        <f t="shared" si="39"/>
        <v>24561.27</v>
      </c>
      <c r="FX27" s="119">
        <v>0</v>
      </c>
      <c r="FY27" s="119">
        <v>0</v>
      </c>
      <c r="FZ27" s="119">
        <v>0</v>
      </c>
      <c r="GA27" s="119">
        <v>0</v>
      </c>
      <c r="GB27" s="119">
        <v>0</v>
      </c>
      <c r="GC27" s="119">
        <v>0</v>
      </c>
      <c r="GD27" s="119">
        <v>0</v>
      </c>
      <c r="GE27" s="119">
        <v>0</v>
      </c>
      <c r="GF27" s="119">
        <v>0</v>
      </c>
      <c r="GG27" s="119">
        <v>0</v>
      </c>
      <c r="GH27" s="119">
        <v>0</v>
      </c>
      <c r="GI27" s="119">
        <v>0</v>
      </c>
      <c r="GJ27" s="98">
        <f t="shared" si="40"/>
        <v>0</v>
      </c>
      <c r="GK27" s="119">
        <v>0</v>
      </c>
      <c r="GL27" s="119">
        <v>0</v>
      </c>
      <c r="GM27" s="119">
        <v>4243.6099999999997</v>
      </c>
      <c r="GN27" s="119">
        <v>0</v>
      </c>
      <c r="GO27" s="119">
        <v>0</v>
      </c>
      <c r="GP27" s="119">
        <v>30005.75</v>
      </c>
      <c r="GQ27" s="119">
        <v>0</v>
      </c>
      <c r="GR27" s="119">
        <v>0</v>
      </c>
      <c r="GS27" s="119">
        <v>0</v>
      </c>
      <c r="GT27" s="119">
        <v>0</v>
      </c>
      <c r="GU27" s="98">
        <f t="shared" si="41"/>
        <v>34249.360000000001</v>
      </c>
      <c r="GV27" s="96">
        <f t="shared" si="42"/>
        <v>34249.360000000001</v>
      </c>
      <c r="GW27" s="95"/>
      <c r="GX27" s="119">
        <f t="shared" si="43"/>
        <v>1935.3139484118553</v>
      </c>
      <c r="GY27" s="119">
        <f t="shared" si="43"/>
        <v>0</v>
      </c>
      <c r="GZ27" s="119">
        <f t="shared" si="43"/>
        <v>370.9690124365261</v>
      </c>
      <c r="HA27" s="119">
        <f t="shared" si="43"/>
        <v>22234.141993322792</v>
      </c>
      <c r="HB27" s="119">
        <f t="shared" si="43"/>
        <v>2351.674044655525</v>
      </c>
      <c r="HC27" s="119">
        <f t="shared" si="43"/>
        <v>-11925.131052470937</v>
      </c>
      <c r="HD27" s="119">
        <f t="shared" si="43"/>
        <v>101.89634414778</v>
      </c>
      <c r="HE27" s="119">
        <f t="shared" si="43"/>
        <v>2799.72570243054</v>
      </c>
      <c r="HF27" s="119">
        <f t="shared" si="43"/>
        <v>3512.8525781481835</v>
      </c>
      <c r="HG27" s="119">
        <f t="shared" si="43"/>
        <v>0</v>
      </c>
      <c r="HH27" s="119">
        <f t="shared" si="43"/>
        <v>-7460.34</v>
      </c>
      <c r="HI27" s="119">
        <f t="shared" si="43"/>
        <v>0</v>
      </c>
      <c r="HJ27" s="98">
        <f t="shared" si="44"/>
        <v>13921.102571082265</v>
      </c>
      <c r="HK27" s="119">
        <f t="shared" si="53"/>
        <v>1245.9610128897498</v>
      </c>
      <c r="HL27" s="119">
        <f t="shared" si="53"/>
        <v>0</v>
      </c>
      <c r="HM27" s="119">
        <f t="shared" si="53"/>
        <v>309.51084788848567</v>
      </c>
      <c r="HN27" s="119">
        <f t="shared" si="53"/>
        <v>141.00672389617293</v>
      </c>
      <c r="HO27" s="119">
        <f t="shared" si="53"/>
        <v>0</v>
      </c>
      <c r="HP27" s="119">
        <f t="shared" si="53"/>
        <v>0</v>
      </c>
      <c r="HQ27" s="119">
        <f t="shared" si="53"/>
        <v>31.178707620507975</v>
      </c>
      <c r="HR27" s="119">
        <f t="shared" si="53"/>
        <v>2727.0550058044614</v>
      </c>
      <c r="HS27" s="119">
        <f t="shared" si="53"/>
        <v>0</v>
      </c>
      <c r="HT27" s="119">
        <f t="shared" si="53"/>
        <v>0</v>
      </c>
      <c r="HU27" s="119">
        <f t="shared" si="53"/>
        <v>0</v>
      </c>
      <c r="HV27" s="119">
        <f t="shared" si="53"/>
        <v>0</v>
      </c>
      <c r="HW27" s="98">
        <f t="shared" si="45"/>
        <v>4454.7122980993772</v>
      </c>
      <c r="HX27" s="119">
        <f t="shared" si="54"/>
        <v>0</v>
      </c>
      <c r="HY27" s="119">
        <f t="shared" si="54"/>
        <v>10623.284010673331</v>
      </c>
      <c r="HZ27" s="119">
        <f t="shared" si="54"/>
        <v>-4243.6099999999997</v>
      </c>
      <c r="IA27" s="119">
        <f t="shared" si="54"/>
        <v>3342.1916575719374</v>
      </c>
      <c r="IB27" s="119">
        <f t="shared" si="54"/>
        <v>0</v>
      </c>
      <c r="IC27" s="119">
        <f t="shared" si="54"/>
        <v>-30005.75</v>
      </c>
      <c r="ID27" s="119">
        <f t="shared" si="54"/>
        <v>0</v>
      </c>
      <c r="IE27" s="119">
        <f t="shared" si="54"/>
        <v>0</v>
      </c>
      <c r="IF27" s="119">
        <f t="shared" si="54"/>
        <v>1908.0694625731153</v>
      </c>
      <c r="IG27" s="119">
        <f t="shared" si="54"/>
        <v>0</v>
      </c>
      <c r="IH27" s="98">
        <f t="shared" si="46"/>
        <v>-18375.814869181613</v>
      </c>
      <c r="II27" s="96">
        <f t="shared" si="47"/>
        <v>-18375.814869181613</v>
      </c>
    </row>
    <row r="28" spans="2:243" x14ac:dyDescent="0.2">
      <c r="B28" s="101" t="s">
        <v>221</v>
      </c>
      <c r="C28" s="89" t="s">
        <v>222</v>
      </c>
      <c r="D28" s="89" t="str">
        <f>_xlfn.IFNA(INDEX('4. WIP Report (Oct-25)'!D:D,MATCH('7. POC Lookback Summary'!$B28,'4. WIP Report (Oct-25)'!$B:$B,0)),INDEX('5. Completed Jobs'!D:D,MATCH('7. POC Lookback Summary'!$B28,'5. Completed Jobs'!$B:$B,0)))</f>
        <v>Retail Properties LLC</v>
      </c>
      <c r="E28" s="89" t="str">
        <f>_xlfn.IFNA(INDEX('4. WIP Report (Oct-25)'!E:E,MATCH('7. POC Lookback Summary'!$B28,'4. WIP Report (Oct-25)'!$B:$B,0)),INDEX('5. Completed Jobs'!E:E,MATCH('7. POC Lookback Summary'!$B28,'5. Completed Jobs'!$B:$B,0)))</f>
        <v>Sprinkler Installation</v>
      </c>
      <c r="F28" s="89" t="str">
        <f>_xlfn.IFNA(INDEX('4. WIP Report (Oct-25)'!F:F,MATCH('7. POC Lookback Summary'!$B28,'4. WIP Report (Oct-25)'!$B:$B,0)),INDEX('5. Completed Jobs'!F:F,MATCH('7. POC Lookback Summary'!$B28,'5. Completed Jobs'!$B:$B,0)))</f>
        <v>Commercial</v>
      </c>
      <c r="G28" s="89" t="str">
        <f>_xlfn.IFNA(INDEX('4. WIP Report (Oct-25)'!G:G,MATCH('7. POC Lookback Summary'!$B28,'4. WIP Report (Oct-25)'!$B:$B,0)),INDEX('5. Completed Jobs'!G:G,MATCH('7. POC Lookback Summary'!$B28,'5. Completed Jobs'!$B:$B,0)))</f>
        <v>Direct</v>
      </c>
      <c r="H28" s="89" t="str">
        <f>_xlfn.IFNA(INDEX('4. WIP Report (Oct-25)'!H:H,MATCH('7. POC Lookback Summary'!$B28,'4. WIP Report (Oct-25)'!$B:$B,0)),INDEX('5. Completed Jobs'!H:H,MATCH('7. POC Lookback Summary'!$B28,'5. Completed Jobs'!$B:$B,0)))</f>
        <v>Retrofit</v>
      </c>
      <c r="J28" s="95"/>
      <c r="K28" s="119">
        <v>1181.9624999999999</v>
      </c>
      <c r="L28" s="119">
        <v>0</v>
      </c>
      <c r="M28" s="119">
        <v>935.81249999999989</v>
      </c>
      <c r="N28" s="119">
        <v>0</v>
      </c>
      <c r="O28" s="119">
        <v>271.13749999999999</v>
      </c>
      <c r="P28" s="119">
        <v>0</v>
      </c>
      <c r="Q28" s="119">
        <v>4618.2875000000004</v>
      </c>
      <c r="R28" s="119">
        <v>2661.6624999999999</v>
      </c>
      <c r="S28" s="119">
        <v>5636.0625</v>
      </c>
      <c r="T28" s="119">
        <v>0</v>
      </c>
      <c r="U28" s="119">
        <v>15727.75</v>
      </c>
      <c r="V28" s="119">
        <v>813.8125</v>
      </c>
      <c r="W28" s="98">
        <f t="shared" si="25"/>
        <v>31846.487499999999</v>
      </c>
      <c r="X28" s="119">
        <v>0</v>
      </c>
      <c r="Y28" s="119">
        <v>50645.887499999997</v>
      </c>
      <c r="Z28" s="119">
        <v>1386.3624999999997</v>
      </c>
      <c r="AA28" s="119">
        <v>0</v>
      </c>
      <c r="AB28" s="119">
        <v>5026.3249999999998</v>
      </c>
      <c r="AC28" s="119">
        <v>2178.8249999999998</v>
      </c>
      <c r="AD28" s="119">
        <v>363.03750000000002</v>
      </c>
      <c r="AE28" s="119">
        <v>0</v>
      </c>
      <c r="AF28" s="119">
        <v>1998.425</v>
      </c>
      <c r="AG28" s="119">
        <v>53245.312499999993</v>
      </c>
      <c r="AH28" s="119">
        <v>6120.6</v>
      </c>
      <c r="AI28" s="119">
        <v>1238.0125</v>
      </c>
      <c r="AJ28" s="98">
        <f t="shared" si="26"/>
        <v>122202.78749999999</v>
      </c>
      <c r="AK28" s="119">
        <v>0</v>
      </c>
      <c r="AL28" s="119">
        <v>1574.8250000000003</v>
      </c>
      <c r="AM28" s="119">
        <v>0</v>
      </c>
      <c r="AN28" s="119">
        <v>34430.875</v>
      </c>
      <c r="AO28" s="119">
        <v>2830.0250000000001</v>
      </c>
      <c r="AP28" s="119">
        <v>0</v>
      </c>
      <c r="AQ28" s="119">
        <v>0</v>
      </c>
      <c r="AR28" s="119">
        <v>2399.2374999999997</v>
      </c>
      <c r="AS28" s="119">
        <v>1102.1500000000001</v>
      </c>
      <c r="AT28" s="119">
        <v>0</v>
      </c>
      <c r="AU28" s="98">
        <f t="shared" si="27"/>
        <v>42337.112500000003</v>
      </c>
      <c r="AV28" s="96">
        <f t="shared" si="28"/>
        <v>49695.724999999999</v>
      </c>
      <c r="AW28" s="95"/>
      <c r="AX28" s="119">
        <v>945.56999999999994</v>
      </c>
      <c r="AY28" s="119">
        <v>0</v>
      </c>
      <c r="AZ28" s="119">
        <v>748.65</v>
      </c>
      <c r="BA28" s="119">
        <v>0</v>
      </c>
      <c r="BB28" s="119">
        <v>216.91</v>
      </c>
      <c r="BC28" s="119">
        <v>0</v>
      </c>
      <c r="BD28" s="119">
        <v>3694.63</v>
      </c>
      <c r="BE28" s="119">
        <v>2129.33</v>
      </c>
      <c r="BF28" s="119">
        <v>4508.8499999999995</v>
      </c>
      <c r="BG28" s="119">
        <v>0</v>
      </c>
      <c r="BH28" s="119">
        <v>12582.2</v>
      </c>
      <c r="BI28" s="119">
        <v>651.04999999999995</v>
      </c>
      <c r="BJ28" s="98">
        <f t="shared" si="29"/>
        <v>25477.19</v>
      </c>
      <c r="BK28" s="119">
        <v>0</v>
      </c>
      <c r="BL28" s="119">
        <v>40516.71</v>
      </c>
      <c r="BM28" s="119">
        <v>1109.0899999999999</v>
      </c>
      <c r="BN28" s="119">
        <v>0</v>
      </c>
      <c r="BO28" s="119">
        <v>4021.06</v>
      </c>
      <c r="BP28" s="119">
        <v>1743.06</v>
      </c>
      <c r="BQ28" s="119">
        <v>290.43</v>
      </c>
      <c r="BR28" s="119">
        <v>0</v>
      </c>
      <c r="BS28" s="119">
        <v>1598.74</v>
      </c>
      <c r="BT28" s="119">
        <v>42596.25</v>
      </c>
      <c r="BU28" s="119">
        <v>4896.4800000000005</v>
      </c>
      <c r="BV28" s="119">
        <v>990.41</v>
      </c>
      <c r="BW28" s="98">
        <f t="shared" si="30"/>
        <v>97762.23</v>
      </c>
      <c r="BX28" s="119">
        <v>0</v>
      </c>
      <c r="BY28" s="119">
        <v>1259.8600000000001</v>
      </c>
      <c r="BZ28" s="119">
        <v>0</v>
      </c>
      <c r="CA28" s="119">
        <v>27544.699999999997</v>
      </c>
      <c r="CB28" s="119">
        <v>2264.02</v>
      </c>
      <c r="CC28" s="119">
        <v>0</v>
      </c>
      <c r="CD28" s="119">
        <v>0</v>
      </c>
      <c r="CE28" s="119">
        <v>1919.3899999999999</v>
      </c>
      <c r="CF28" s="119">
        <v>881.72</v>
      </c>
      <c r="CG28" s="119">
        <v>0</v>
      </c>
      <c r="CH28" s="98">
        <f t="shared" si="31"/>
        <v>33869.69</v>
      </c>
      <c r="CI28" s="96">
        <f t="shared" si="32"/>
        <v>39756.580000000009</v>
      </c>
      <c r="CJ28" s="95"/>
      <c r="CK28" s="119">
        <f t="shared" si="33"/>
        <v>236.39249999999993</v>
      </c>
      <c r="CL28" s="119">
        <f t="shared" si="33"/>
        <v>0</v>
      </c>
      <c r="CM28" s="119">
        <f t="shared" si="33"/>
        <v>187.16249999999991</v>
      </c>
      <c r="CN28" s="119">
        <f t="shared" si="33"/>
        <v>0</v>
      </c>
      <c r="CO28" s="119">
        <f t="shared" si="33"/>
        <v>54.227499999999992</v>
      </c>
      <c r="CP28" s="119">
        <f t="shared" si="33"/>
        <v>0</v>
      </c>
      <c r="CQ28" s="119">
        <f t="shared" si="33"/>
        <v>923.65750000000025</v>
      </c>
      <c r="CR28" s="119">
        <f t="shared" si="33"/>
        <v>532.33249999999998</v>
      </c>
      <c r="CS28" s="119">
        <f t="shared" si="33"/>
        <v>1127.2125000000005</v>
      </c>
      <c r="CT28" s="119">
        <f t="shared" si="33"/>
        <v>0</v>
      </c>
      <c r="CU28" s="119">
        <f t="shared" si="33"/>
        <v>3145.5499999999993</v>
      </c>
      <c r="CV28" s="119">
        <f t="shared" si="33"/>
        <v>162.76250000000005</v>
      </c>
      <c r="CW28" s="98">
        <f t="shared" si="34"/>
        <v>6369.2974999999997</v>
      </c>
      <c r="CX28" s="119">
        <f t="shared" si="51"/>
        <v>0</v>
      </c>
      <c r="CY28" s="119">
        <f t="shared" si="51"/>
        <v>10129.177499999998</v>
      </c>
      <c r="CZ28" s="119">
        <f t="shared" si="51"/>
        <v>277.27249999999981</v>
      </c>
      <c r="DA28" s="119">
        <f t="shared" si="51"/>
        <v>0</v>
      </c>
      <c r="DB28" s="119">
        <f t="shared" si="51"/>
        <v>1005.2649999999999</v>
      </c>
      <c r="DC28" s="119">
        <f t="shared" si="51"/>
        <v>435.76499999999987</v>
      </c>
      <c r="DD28" s="119">
        <f t="shared" si="51"/>
        <v>72.607500000000016</v>
      </c>
      <c r="DE28" s="119">
        <f t="shared" si="51"/>
        <v>0</v>
      </c>
      <c r="DF28" s="119">
        <f t="shared" si="51"/>
        <v>399.68499999999995</v>
      </c>
      <c r="DG28" s="119">
        <f t="shared" si="51"/>
        <v>10649.062499999993</v>
      </c>
      <c r="DH28" s="119">
        <f t="shared" si="51"/>
        <v>1224.1199999999999</v>
      </c>
      <c r="DI28" s="119">
        <f t="shared" si="51"/>
        <v>247.60250000000008</v>
      </c>
      <c r="DJ28" s="98">
        <f t="shared" si="35"/>
        <v>24440.557499999988</v>
      </c>
      <c r="DK28" s="119">
        <f t="shared" si="52"/>
        <v>0</v>
      </c>
      <c r="DL28" s="119">
        <f t="shared" si="52"/>
        <v>314.96500000000015</v>
      </c>
      <c r="DM28" s="119">
        <f t="shared" si="52"/>
        <v>0</v>
      </c>
      <c r="DN28" s="119">
        <f t="shared" si="52"/>
        <v>6886.1750000000029</v>
      </c>
      <c r="DO28" s="119">
        <f t="shared" si="52"/>
        <v>566.00500000000011</v>
      </c>
      <c r="DP28" s="119">
        <f t="shared" si="52"/>
        <v>0</v>
      </c>
      <c r="DQ28" s="119">
        <f t="shared" si="52"/>
        <v>0</v>
      </c>
      <c r="DR28" s="119">
        <f t="shared" si="52"/>
        <v>479.84749999999985</v>
      </c>
      <c r="DS28" s="119">
        <f t="shared" si="52"/>
        <v>220.43000000000006</v>
      </c>
      <c r="DT28" s="119">
        <f t="shared" si="52"/>
        <v>0</v>
      </c>
      <c r="DU28" s="98">
        <f t="shared" si="36"/>
        <v>8467.4225000000042</v>
      </c>
      <c r="DV28" s="96">
        <f t="shared" si="37"/>
        <v>9939.1450000000041</v>
      </c>
      <c r="DW28" s="95"/>
      <c r="DX28" s="162">
        <f t="shared" si="38"/>
        <v>0.19999999999999996</v>
      </c>
      <c r="DY28" s="162">
        <f t="shared" si="38"/>
        <v>0</v>
      </c>
      <c r="DZ28" s="162">
        <f t="shared" si="38"/>
        <v>0.19999999999999993</v>
      </c>
      <c r="EA28" s="162">
        <f t="shared" si="38"/>
        <v>0</v>
      </c>
      <c r="EB28" s="162">
        <f t="shared" si="38"/>
        <v>0.19999999999999998</v>
      </c>
      <c r="EC28" s="162">
        <f t="shared" si="38"/>
        <v>0</v>
      </c>
      <c r="ED28" s="162">
        <f t="shared" si="38"/>
        <v>0.20000000000000004</v>
      </c>
      <c r="EE28" s="162">
        <f t="shared" si="38"/>
        <v>0.2</v>
      </c>
      <c r="EF28" s="162">
        <f t="shared" si="38"/>
        <v>0.20000000000000009</v>
      </c>
      <c r="EG28" s="162">
        <f t="shared" si="38"/>
        <v>0</v>
      </c>
      <c r="EH28" s="162">
        <f t="shared" si="38"/>
        <v>0.19999999999999996</v>
      </c>
      <c r="EI28" s="162">
        <f t="shared" si="38"/>
        <v>0.20000000000000007</v>
      </c>
      <c r="EJ28" s="163">
        <f t="shared" si="38"/>
        <v>0.19999999999999998</v>
      </c>
      <c r="EK28" s="162">
        <f t="shared" si="38"/>
        <v>0</v>
      </c>
      <c r="EL28" s="162">
        <f t="shared" si="38"/>
        <v>0.19999999999999998</v>
      </c>
      <c r="EM28" s="162">
        <f t="shared" si="38"/>
        <v>0.1999999999999999</v>
      </c>
      <c r="EN28" s="162">
        <f t="shared" si="49"/>
        <v>0</v>
      </c>
      <c r="EO28" s="162">
        <f t="shared" si="49"/>
        <v>0.19999999999999998</v>
      </c>
      <c r="EP28" s="162">
        <f t="shared" si="49"/>
        <v>0.19999999999999996</v>
      </c>
      <c r="EQ28" s="162">
        <f t="shared" si="49"/>
        <v>0.20000000000000004</v>
      </c>
      <c r="ER28" s="162">
        <f t="shared" si="49"/>
        <v>0</v>
      </c>
      <c r="ES28" s="162">
        <f t="shared" si="49"/>
        <v>0.19999999999999998</v>
      </c>
      <c r="ET28" s="162">
        <f t="shared" si="49"/>
        <v>0.1999999999999999</v>
      </c>
      <c r="EU28" s="162">
        <f t="shared" si="49"/>
        <v>0.19999999999999998</v>
      </c>
      <c r="EV28" s="162">
        <f t="shared" si="49"/>
        <v>0.20000000000000007</v>
      </c>
      <c r="EW28" s="163">
        <f t="shared" si="49"/>
        <v>0.19999999999999993</v>
      </c>
      <c r="EX28" s="162">
        <f t="shared" si="49"/>
        <v>0</v>
      </c>
      <c r="EY28" s="162">
        <f t="shared" si="49"/>
        <v>0.20000000000000007</v>
      </c>
      <c r="EZ28" s="162">
        <f t="shared" si="49"/>
        <v>0</v>
      </c>
      <c r="FA28" s="162">
        <f t="shared" si="49"/>
        <v>0.20000000000000009</v>
      </c>
      <c r="FB28" s="162">
        <f t="shared" si="49"/>
        <v>0.20000000000000004</v>
      </c>
      <c r="FC28" s="162">
        <f t="shared" si="49"/>
        <v>0</v>
      </c>
      <c r="FD28" s="162">
        <f t="shared" si="50"/>
        <v>0</v>
      </c>
      <c r="FE28" s="162">
        <f t="shared" si="50"/>
        <v>0.19999999999999996</v>
      </c>
      <c r="FF28" s="162">
        <f t="shared" si="48"/>
        <v>0.20000000000000004</v>
      </c>
      <c r="FG28" s="162">
        <f t="shared" si="48"/>
        <v>0</v>
      </c>
      <c r="FH28" s="163">
        <f t="shared" si="48"/>
        <v>0.20000000000000009</v>
      </c>
      <c r="FI28" s="164">
        <f t="shared" si="48"/>
        <v>0.20000000000000009</v>
      </c>
      <c r="FJ28" s="95"/>
      <c r="FK28" s="119">
        <v>0</v>
      </c>
      <c r="FL28" s="119">
        <v>0</v>
      </c>
      <c r="FM28" s="119">
        <v>0</v>
      </c>
      <c r="FN28" s="119">
        <v>55929.82</v>
      </c>
      <c r="FO28" s="119">
        <v>0</v>
      </c>
      <c r="FP28" s="119">
        <v>0</v>
      </c>
      <c r="FQ28" s="119">
        <v>0</v>
      </c>
      <c r="FR28" s="119">
        <v>0</v>
      </c>
      <c r="FS28" s="119">
        <v>0</v>
      </c>
      <c r="FT28" s="119">
        <v>0</v>
      </c>
      <c r="FU28" s="119">
        <v>0</v>
      </c>
      <c r="FV28" s="119">
        <v>0</v>
      </c>
      <c r="FW28" s="98">
        <f t="shared" si="39"/>
        <v>55929.82</v>
      </c>
      <c r="FX28" s="119">
        <v>0</v>
      </c>
      <c r="FY28" s="119">
        <v>0</v>
      </c>
      <c r="FZ28" s="119">
        <v>0</v>
      </c>
      <c r="GA28" s="119">
        <v>0</v>
      </c>
      <c r="GB28" s="119">
        <v>0</v>
      </c>
      <c r="GC28" s="119">
        <v>0</v>
      </c>
      <c r="GD28" s="119">
        <v>0</v>
      </c>
      <c r="GE28" s="119">
        <v>0</v>
      </c>
      <c r="GF28" s="119">
        <v>0</v>
      </c>
      <c r="GG28" s="119">
        <v>0</v>
      </c>
      <c r="GH28" s="119">
        <v>0</v>
      </c>
      <c r="GI28" s="119">
        <v>0</v>
      </c>
      <c r="GJ28" s="98">
        <f t="shared" si="40"/>
        <v>0</v>
      </c>
      <c r="GK28" s="119">
        <v>0</v>
      </c>
      <c r="GL28" s="119">
        <v>0</v>
      </c>
      <c r="GM28" s="119">
        <v>0</v>
      </c>
      <c r="GN28" s="119">
        <v>8090.37</v>
      </c>
      <c r="GO28" s="119">
        <v>0</v>
      </c>
      <c r="GP28" s="119">
        <v>0</v>
      </c>
      <c r="GQ28" s="119">
        <v>0</v>
      </c>
      <c r="GR28" s="119">
        <v>0</v>
      </c>
      <c r="GS28" s="119">
        <v>0</v>
      </c>
      <c r="GT28" s="119">
        <v>0</v>
      </c>
      <c r="GU28" s="98">
        <f t="shared" si="41"/>
        <v>8090.37</v>
      </c>
      <c r="GV28" s="96">
        <f t="shared" si="42"/>
        <v>8090.37</v>
      </c>
      <c r="GW28" s="95"/>
      <c r="GX28" s="119">
        <f t="shared" si="43"/>
        <v>1181.9624999999999</v>
      </c>
      <c r="GY28" s="119">
        <f t="shared" si="43"/>
        <v>0</v>
      </c>
      <c r="GZ28" s="119">
        <f t="shared" si="43"/>
        <v>935.81249999999989</v>
      </c>
      <c r="HA28" s="119">
        <f t="shared" si="43"/>
        <v>-55929.82</v>
      </c>
      <c r="HB28" s="119">
        <f t="shared" si="43"/>
        <v>271.13749999999999</v>
      </c>
      <c r="HC28" s="119">
        <f t="shared" si="43"/>
        <v>0</v>
      </c>
      <c r="HD28" s="119">
        <f t="shared" si="43"/>
        <v>4618.2875000000004</v>
      </c>
      <c r="HE28" s="119">
        <f t="shared" si="43"/>
        <v>2661.6624999999999</v>
      </c>
      <c r="HF28" s="119">
        <f t="shared" si="43"/>
        <v>5636.0625</v>
      </c>
      <c r="HG28" s="119">
        <f t="shared" si="43"/>
        <v>0</v>
      </c>
      <c r="HH28" s="119">
        <f t="shared" si="43"/>
        <v>15727.75</v>
      </c>
      <c r="HI28" s="119">
        <f t="shared" si="43"/>
        <v>813.8125</v>
      </c>
      <c r="HJ28" s="98">
        <f t="shared" si="44"/>
        <v>-24083.332500000004</v>
      </c>
      <c r="HK28" s="119">
        <f t="shared" si="53"/>
        <v>0</v>
      </c>
      <c r="HL28" s="119">
        <f t="shared" si="53"/>
        <v>50645.887499999997</v>
      </c>
      <c r="HM28" s="119">
        <f t="shared" si="53"/>
        <v>1386.3624999999997</v>
      </c>
      <c r="HN28" s="119">
        <f t="shared" si="53"/>
        <v>0</v>
      </c>
      <c r="HO28" s="119">
        <f t="shared" si="53"/>
        <v>5026.3249999999998</v>
      </c>
      <c r="HP28" s="119">
        <f t="shared" si="53"/>
        <v>2178.8249999999998</v>
      </c>
      <c r="HQ28" s="119">
        <f t="shared" si="53"/>
        <v>363.03750000000002</v>
      </c>
      <c r="HR28" s="119">
        <f t="shared" si="53"/>
        <v>0</v>
      </c>
      <c r="HS28" s="119">
        <f t="shared" si="53"/>
        <v>1998.425</v>
      </c>
      <c r="HT28" s="119">
        <f t="shared" si="53"/>
        <v>53245.312499999993</v>
      </c>
      <c r="HU28" s="119">
        <f t="shared" si="53"/>
        <v>6120.6</v>
      </c>
      <c r="HV28" s="119">
        <f t="shared" si="53"/>
        <v>1238.0125</v>
      </c>
      <c r="HW28" s="98">
        <f t="shared" si="45"/>
        <v>122202.78749999999</v>
      </c>
      <c r="HX28" s="119">
        <f t="shared" si="54"/>
        <v>0</v>
      </c>
      <c r="HY28" s="119">
        <f t="shared" si="54"/>
        <v>1574.8250000000003</v>
      </c>
      <c r="HZ28" s="119">
        <f t="shared" si="54"/>
        <v>0</v>
      </c>
      <c r="IA28" s="119">
        <f t="shared" si="54"/>
        <v>26340.505000000001</v>
      </c>
      <c r="IB28" s="119">
        <f t="shared" si="54"/>
        <v>2830.0250000000001</v>
      </c>
      <c r="IC28" s="119">
        <f t="shared" si="54"/>
        <v>0</v>
      </c>
      <c r="ID28" s="119">
        <f t="shared" si="54"/>
        <v>0</v>
      </c>
      <c r="IE28" s="119">
        <f t="shared" si="54"/>
        <v>2399.2374999999997</v>
      </c>
      <c r="IF28" s="119">
        <f t="shared" si="54"/>
        <v>1102.1500000000001</v>
      </c>
      <c r="IG28" s="119">
        <f t="shared" si="54"/>
        <v>0</v>
      </c>
      <c r="IH28" s="98">
        <f t="shared" si="46"/>
        <v>34246.742500000008</v>
      </c>
      <c r="II28" s="96">
        <f t="shared" si="47"/>
        <v>41605.355000000003</v>
      </c>
    </row>
    <row r="29" spans="2:243" x14ac:dyDescent="0.2">
      <c r="B29" s="101" t="s">
        <v>321</v>
      </c>
      <c r="C29" s="89" t="s">
        <v>322</v>
      </c>
      <c r="D29" s="89" t="str">
        <f>_xlfn.IFNA(INDEX('4. WIP Report (Oct-25)'!D:D,MATCH('7. POC Lookback Summary'!$B29,'4. WIP Report (Oct-25)'!$B:$B,0)),INDEX('5. Completed Jobs'!D:D,MATCH('7. POC Lookback Summary'!$B29,'5. Completed Jobs'!$B:$B,0)))</f>
        <v>ABC Construction Company</v>
      </c>
      <c r="E29" s="89" t="str">
        <f>_xlfn.IFNA(INDEX('4. WIP Report (Oct-25)'!E:E,MATCH('7. POC Lookback Summary'!$B29,'4. WIP Report (Oct-25)'!$B:$B,0)),INDEX('5. Completed Jobs'!E:E,MATCH('7. POC Lookback Summary'!$B29,'5. Completed Jobs'!$B:$B,0)))</f>
        <v>Sprinkler Installation</v>
      </c>
      <c r="F29" s="89" t="str">
        <f>_xlfn.IFNA(INDEX('4. WIP Report (Oct-25)'!F:F,MATCH('7. POC Lookback Summary'!$B29,'4. WIP Report (Oct-25)'!$B:$B,0)),INDEX('5. Completed Jobs'!F:F,MATCH('7. POC Lookback Summary'!$B29,'5. Completed Jobs'!$B:$B,0)))</f>
        <v>Commercial</v>
      </c>
      <c r="G29" s="89" t="str">
        <f>_xlfn.IFNA(INDEX('4. WIP Report (Oct-25)'!G:G,MATCH('7. POC Lookback Summary'!$B29,'4. WIP Report (Oct-25)'!$B:$B,0)),INDEX('5. Completed Jobs'!G:G,MATCH('7. POC Lookback Summary'!$B29,'5. Completed Jobs'!$B:$B,0)))</f>
        <v>General Contractor</v>
      </c>
      <c r="H29" s="89" t="str">
        <f>_xlfn.IFNA(INDEX('4. WIP Report (Oct-25)'!H:H,MATCH('7. POC Lookback Summary'!$B29,'4. WIP Report (Oct-25)'!$B:$B,0)),INDEX('5. Completed Jobs'!H:H,MATCH('7. POC Lookback Summary'!$B29,'5. Completed Jobs'!$B:$B,0)))</f>
        <v>Retrofit</v>
      </c>
      <c r="J29" s="95"/>
      <c r="K29" s="119">
        <v>0</v>
      </c>
      <c r="L29" s="119">
        <v>3775.8884783512181</v>
      </c>
      <c r="M29" s="119">
        <v>0</v>
      </c>
      <c r="N29" s="119">
        <v>524.15422496840108</v>
      </c>
      <c r="O29" s="119">
        <v>0</v>
      </c>
      <c r="P29" s="119">
        <v>3546.2521525261054</v>
      </c>
      <c r="Q29" s="119">
        <v>34.390676682108982</v>
      </c>
      <c r="R29" s="119">
        <v>3938.3521883270928</v>
      </c>
      <c r="S29" s="119">
        <v>20481.444492082275</v>
      </c>
      <c r="T29" s="119">
        <v>2211.269181291425</v>
      </c>
      <c r="U29" s="119">
        <v>0</v>
      </c>
      <c r="V29" s="119">
        <v>1078.0732238034616</v>
      </c>
      <c r="W29" s="98">
        <f t="shared" si="25"/>
        <v>35589.824618032093</v>
      </c>
      <c r="X29" s="119">
        <v>19.580276057815233</v>
      </c>
      <c r="Y29" s="119">
        <v>3321.9428135696635</v>
      </c>
      <c r="Z29" s="119">
        <v>0</v>
      </c>
      <c r="AA29" s="119">
        <v>143.82864545409865</v>
      </c>
      <c r="AB29" s="119">
        <v>0</v>
      </c>
      <c r="AC29" s="119">
        <v>6601.3824064128048</v>
      </c>
      <c r="AD29" s="119">
        <v>4331.8794309507093</v>
      </c>
      <c r="AE29" s="119">
        <v>589.48649517793353</v>
      </c>
      <c r="AF29" s="119">
        <v>3533.4949266291023</v>
      </c>
      <c r="AG29" s="119">
        <v>0</v>
      </c>
      <c r="AH29" s="119">
        <v>1017.9114484864341</v>
      </c>
      <c r="AI29" s="119">
        <v>0</v>
      </c>
      <c r="AJ29" s="98">
        <f t="shared" si="26"/>
        <v>19559.506442738559</v>
      </c>
      <c r="AK29" s="119">
        <v>12820.029256878357</v>
      </c>
      <c r="AL29" s="119">
        <v>0</v>
      </c>
      <c r="AM29" s="119">
        <v>31880.238660142626</v>
      </c>
      <c r="AN29" s="119">
        <v>4453.3610222083871</v>
      </c>
      <c r="AO29" s="119">
        <v>0</v>
      </c>
      <c r="AP29" s="119">
        <v>0</v>
      </c>
      <c r="AQ29" s="119">
        <v>0</v>
      </c>
      <c r="AR29" s="119">
        <v>0</v>
      </c>
      <c r="AS29" s="119">
        <v>0</v>
      </c>
      <c r="AT29" s="119">
        <v>0</v>
      </c>
      <c r="AU29" s="98">
        <f t="shared" si="27"/>
        <v>49153.628939229369</v>
      </c>
      <c r="AV29" s="96">
        <f t="shared" si="28"/>
        <v>50171.540387715802</v>
      </c>
      <c r="AW29" s="95"/>
      <c r="AX29" s="119">
        <v>0</v>
      </c>
      <c r="AY29" s="119">
        <v>6032.08</v>
      </c>
      <c r="AZ29" s="119">
        <v>0</v>
      </c>
      <c r="BA29" s="119">
        <v>837.35</v>
      </c>
      <c r="BB29" s="119">
        <v>0</v>
      </c>
      <c r="BC29" s="119">
        <v>5665.23</v>
      </c>
      <c r="BD29" s="119">
        <v>54.94</v>
      </c>
      <c r="BE29" s="119">
        <v>6291.62</v>
      </c>
      <c r="BF29" s="119">
        <v>32719.640000000003</v>
      </c>
      <c r="BG29" s="119">
        <v>3532.5599999999995</v>
      </c>
      <c r="BH29" s="119">
        <v>0</v>
      </c>
      <c r="BI29" s="119">
        <v>1722.25</v>
      </c>
      <c r="BJ29" s="98">
        <f t="shared" si="29"/>
        <v>56855.67</v>
      </c>
      <c r="BK29" s="119">
        <v>31.28</v>
      </c>
      <c r="BL29" s="119">
        <v>5306.8899999999994</v>
      </c>
      <c r="BM29" s="119">
        <v>0</v>
      </c>
      <c r="BN29" s="119">
        <v>229.77</v>
      </c>
      <c r="BO29" s="119">
        <v>0</v>
      </c>
      <c r="BP29" s="119">
        <v>10545.880000000001</v>
      </c>
      <c r="BQ29" s="119">
        <v>6920.29</v>
      </c>
      <c r="BR29" s="119">
        <v>941.72</v>
      </c>
      <c r="BS29" s="119">
        <v>5644.85</v>
      </c>
      <c r="BT29" s="119">
        <v>0</v>
      </c>
      <c r="BU29" s="119">
        <v>1626.1399999999999</v>
      </c>
      <c r="BV29" s="119">
        <v>0</v>
      </c>
      <c r="BW29" s="98">
        <f t="shared" si="30"/>
        <v>31246.82</v>
      </c>
      <c r="BX29" s="119">
        <v>20480.329999999998</v>
      </c>
      <c r="BY29" s="119">
        <v>0</v>
      </c>
      <c r="BZ29" s="119">
        <v>50929.509999999995</v>
      </c>
      <c r="CA29" s="119">
        <v>7114.36</v>
      </c>
      <c r="CB29" s="119">
        <v>0</v>
      </c>
      <c r="CC29" s="119">
        <v>0</v>
      </c>
      <c r="CD29" s="119">
        <v>0</v>
      </c>
      <c r="CE29" s="119">
        <v>0</v>
      </c>
      <c r="CF29" s="119">
        <v>0</v>
      </c>
      <c r="CG29" s="119">
        <v>0</v>
      </c>
      <c r="CH29" s="98">
        <f t="shared" si="31"/>
        <v>78524.2</v>
      </c>
      <c r="CI29" s="96">
        <f t="shared" si="32"/>
        <v>80150.34</v>
      </c>
      <c r="CJ29" s="95"/>
      <c r="CK29" s="119">
        <f t="shared" si="33"/>
        <v>0</v>
      </c>
      <c r="CL29" s="119">
        <f t="shared" si="33"/>
        <v>-2256.1915216487819</v>
      </c>
      <c r="CM29" s="119">
        <f t="shared" si="33"/>
        <v>0</v>
      </c>
      <c r="CN29" s="119">
        <f t="shared" si="33"/>
        <v>-313.19577503159894</v>
      </c>
      <c r="CO29" s="119">
        <f t="shared" si="33"/>
        <v>0</v>
      </c>
      <c r="CP29" s="119">
        <f t="shared" si="33"/>
        <v>-2118.9778474738941</v>
      </c>
      <c r="CQ29" s="119">
        <f t="shared" si="33"/>
        <v>-20.549323317891016</v>
      </c>
      <c r="CR29" s="119">
        <f t="shared" si="33"/>
        <v>-2353.2678116729071</v>
      </c>
      <c r="CS29" s="119">
        <f t="shared" si="33"/>
        <v>-12238.195507917728</v>
      </c>
      <c r="CT29" s="119">
        <f t="shared" si="33"/>
        <v>-1321.2908187085745</v>
      </c>
      <c r="CU29" s="119">
        <f t="shared" si="33"/>
        <v>0</v>
      </c>
      <c r="CV29" s="119">
        <f t="shared" si="33"/>
        <v>-644.17677619653841</v>
      </c>
      <c r="CW29" s="98">
        <f t="shared" si="34"/>
        <v>-21265.845381967916</v>
      </c>
      <c r="CX29" s="119">
        <f t="shared" si="51"/>
        <v>-11.699723942184768</v>
      </c>
      <c r="CY29" s="119">
        <f t="shared" si="51"/>
        <v>-1984.9471864303359</v>
      </c>
      <c r="CZ29" s="119">
        <f t="shared" si="51"/>
        <v>0</v>
      </c>
      <c r="DA29" s="119">
        <f t="shared" si="51"/>
        <v>-85.941354545901362</v>
      </c>
      <c r="DB29" s="119">
        <f t="shared" si="51"/>
        <v>0</v>
      </c>
      <c r="DC29" s="119">
        <f t="shared" si="51"/>
        <v>-3944.4975935871962</v>
      </c>
      <c r="DD29" s="119">
        <f t="shared" si="51"/>
        <v>-2588.4105690492906</v>
      </c>
      <c r="DE29" s="119">
        <f t="shared" si="51"/>
        <v>-352.23350482206649</v>
      </c>
      <c r="DF29" s="119">
        <f t="shared" si="51"/>
        <v>-2111.355073370898</v>
      </c>
      <c r="DG29" s="119">
        <f t="shared" si="51"/>
        <v>0</v>
      </c>
      <c r="DH29" s="119">
        <f t="shared" si="51"/>
        <v>-608.22855151356578</v>
      </c>
      <c r="DI29" s="119">
        <f t="shared" si="51"/>
        <v>0</v>
      </c>
      <c r="DJ29" s="98">
        <f t="shared" si="35"/>
        <v>-11687.313557261441</v>
      </c>
      <c r="DK29" s="119">
        <f t="shared" si="52"/>
        <v>-7660.3007431216411</v>
      </c>
      <c r="DL29" s="119">
        <f t="shared" si="52"/>
        <v>0</v>
      </c>
      <c r="DM29" s="119">
        <f t="shared" si="52"/>
        <v>-19049.271339857369</v>
      </c>
      <c r="DN29" s="119">
        <f t="shared" si="52"/>
        <v>-2660.9989777916126</v>
      </c>
      <c r="DO29" s="119">
        <f t="shared" si="52"/>
        <v>0</v>
      </c>
      <c r="DP29" s="119">
        <f t="shared" si="52"/>
        <v>0</v>
      </c>
      <c r="DQ29" s="119">
        <f t="shared" si="52"/>
        <v>0</v>
      </c>
      <c r="DR29" s="119">
        <f t="shared" si="52"/>
        <v>0</v>
      </c>
      <c r="DS29" s="119">
        <f t="shared" si="52"/>
        <v>0</v>
      </c>
      <c r="DT29" s="119">
        <f t="shared" si="52"/>
        <v>0</v>
      </c>
      <c r="DU29" s="98">
        <f t="shared" si="36"/>
        <v>-29370.571060770621</v>
      </c>
      <c r="DV29" s="96">
        <f t="shared" si="37"/>
        <v>-29978.799612284187</v>
      </c>
      <c r="DW29" s="95"/>
      <c r="DX29" s="162">
        <f t="shared" si="38"/>
        <v>0</v>
      </c>
      <c r="DY29" s="162">
        <f t="shared" si="38"/>
        <v>-0.59752599542716689</v>
      </c>
      <c r="DZ29" s="162">
        <f t="shared" si="38"/>
        <v>0</v>
      </c>
      <c r="EA29" s="162">
        <f t="shared" si="38"/>
        <v>-0.59752599542716667</v>
      </c>
      <c r="EB29" s="162">
        <f t="shared" si="38"/>
        <v>0</v>
      </c>
      <c r="EC29" s="162">
        <f t="shared" si="38"/>
        <v>-0.59752599542716678</v>
      </c>
      <c r="ED29" s="162">
        <f t="shared" si="38"/>
        <v>-0.59752599542716656</v>
      </c>
      <c r="EE29" s="162">
        <f t="shared" si="38"/>
        <v>-0.59752599542716689</v>
      </c>
      <c r="EF29" s="162">
        <f t="shared" si="38"/>
        <v>-0.597525995427167</v>
      </c>
      <c r="EG29" s="162">
        <f t="shared" si="38"/>
        <v>-0.59752599542716667</v>
      </c>
      <c r="EH29" s="162">
        <f t="shared" si="38"/>
        <v>0</v>
      </c>
      <c r="EI29" s="162">
        <f t="shared" si="38"/>
        <v>-0.597525995427167</v>
      </c>
      <c r="EJ29" s="163">
        <f t="shared" si="38"/>
        <v>-0.59752599542716689</v>
      </c>
      <c r="EK29" s="162">
        <f t="shared" si="38"/>
        <v>-0.59752599542716678</v>
      </c>
      <c r="EL29" s="162">
        <f t="shared" si="38"/>
        <v>-0.59752599542716667</v>
      </c>
      <c r="EM29" s="162">
        <f t="shared" si="38"/>
        <v>0</v>
      </c>
      <c r="EN29" s="162">
        <f t="shared" si="49"/>
        <v>-0.59752599542716689</v>
      </c>
      <c r="EO29" s="162">
        <f t="shared" si="49"/>
        <v>0</v>
      </c>
      <c r="EP29" s="162">
        <f t="shared" si="49"/>
        <v>-0.59752599542716667</v>
      </c>
      <c r="EQ29" s="162">
        <f t="shared" si="49"/>
        <v>-0.59752599542716667</v>
      </c>
      <c r="ER29" s="162">
        <f t="shared" si="49"/>
        <v>-0.59752599542716678</v>
      </c>
      <c r="ES29" s="162">
        <f t="shared" si="49"/>
        <v>-0.59752599542716678</v>
      </c>
      <c r="ET29" s="162">
        <f t="shared" si="49"/>
        <v>0</v>
      </c>
      <c r="EU29" s="162">
        <f t="shared" si="49"/>
        <v>-0.59752599542716678</v>
      </c>
      <c r="EV29" s="162">
        <f t="shared" si="49"/>
        <v>0</v>
      </c>
      <c r="EW29" s="163">
        <f t="shared" si="49"/>
        <v>-0.59752599542716689</v>
      </c>
      <c r="EX29" s="162">
        <f t="shared" si="49"/>
        <v>-0.59752599542716678</v>
      </c>
      <c r="EY29" s="162">
        <f t="shared" si="49"/>
        <v>0</v>
      </c>
      <c r="EZ29" s="162">
        <f t="shared" si="49"/>
        <v>-0.59752599542716678</v>
      </c>
      <c r="FA29" s="162">
        <f t="shared" si="49"/>
        <v>-0.597525995427167</v>
      </c>
      <c r="FB29" s="162">
        <f t="shared" si="49"/>
        <v>0</v>
      </c>
      <c r="FC29" s="162">
        <f t="shared" si="49"/>
        <v>0</v>
      </c>
      <c r="FD29" s="162">
        <f t="shared" si="50"/>
        <v>0</v>
      </c>
      <c r="FE29" s="162">
        <f t="shared" si="50"/>
        <v>0</v>
      </c>
      <c r="FF29" s="162">
        <f t="shared" si="48"/>
        <v>0</v>
      </c>
      <c r="FG29" s="162">
        <f t="shared" si="48"/>
        <v>0</v>
      </c>
      <c r="FH29" s="163">
        <f t="shared" si="48"/>
        <v>-0.59752599542716678</v>
      </c>
      <c r="FI29" s="164">
        <f t="shared" si="48"/>
        <v>-0.59752599542716678</v>
      </c>
      <c r="FJ29" s="95"/>
      <c r="FK29" s="119">
        <v>0</v>
      </c>
      <c r="FL29" s="119">
        <v>0</v>
      </c>
      <c r="FM29" s="119">
        <v>0</v>
      </c>
      <c r="FN29" s="119">
        <v>0</v>
      </c>
      <c r="FO29" s="119">
        <v>0</v>
      </c>
      <c r="FP29" s="119">
        <v>0</v>
      </c>
      <c r="FQ29" s="119">
        <v>6019.04</v>
      </c>
      <c r="FR29" s="119">
        <v>0</v>
      </c>
      <c r="FS29" s="119">
        <v>0</v>
      </c>
      <c r="FT29" s="119">
        <v>23972.75</v>
      </c>
      <c r="FU29" s="119">
        <v>0</v>
      </c>
      <c r="FV29" s="119">
        <v>0</v>
      </c>
      <c r="FW29" s="98">
        <f t="shared" si="39"/>
        <v>29991.79</v>
      </c>
      <c r="FX29" s="119">
        <v>74311.17</v>
      </c>
      <c r="FY29" s="119">
        <v>0</v>
      </c>
      <c r="FZ29" s="119">
        <v>0</v>
      </c>
      <c r="GA29" s="119">
        <v>0</v>
      </c>
      <c r="GB29" s="119">
        <v>0</v>
      </c>
      <c r="GC29" s="119">
        <v>0</v>
      </c>
      <c r="GD29" s="119">
        <v>0</v>
      </c>
      <c r="GE29" s="119">
        <v>0</v>
      </c>
      <c r="GF29" s="119">
        <v>0</v>
      </c>
      <c r="GG29" s="119">
        <v>0</v>
      </c>
      <c r="GH29" s="119">
        <v>0</v>
      </c>
      <c r="GI29" s="119">
        <v>0</v>
      </c>
      <c r="GJ29" s="98">
        <f t="shared" si="40"/>
        <v>74311.17</v>
      </c>
      <c r="GK29" s="119">
        <v>0</v>
      </c>
      <c r="GL29" s="119">
        <v>0</v>
      </c>
      <c r="GM29" s="119">
        <v>0</v>
      </c>
      <c r="GN29" s="119">
        <v>0</v>
      </c>
      <c r="GO29" s="119">
        <v>0</v>
      </c>
      <c r="GP29" s="119">
        <v>0</v>
      </c>
      <c r="GQ29" s="119">
        <v>0</v>
      </c>
      <c r="GR29" s="119">
        <v>0</v>
      </c>
      <c r="GS29" s="119">
        <v>0</v>
      </c>
      <c r="GT29" s="119">
        <v>0</v>
      </c>
      <c r="GU29" s="98">
        <f t="shared" si="41"/>
        <v>0</v>
      </c>
      <c r="GV29" s="96">
        <f t="shared" si="42"/>
        <v>0</v>
      </c>
      <c r="GW29" s="95"/>
      <c r="GX29" s="119">
        <f t="shared" si="43"/>
        <v>0</v>
      </c>
      <c r="GY29" s="119">
        <f t="shared" si="43"/>
        <v>3775.8884783512181</v>
      </c>
      <c r="GZ29" s="119">
        <f t="shared" si="43"/>
        <v>0</v>
      </c>
      <c r="HA29" s="119">
        <f t="shared" si="43"/>
        <v>524.15422496840108</v>
      </c>
      <c r="HB29" s="119">
        <f t="shared" si="43"/>
        <v>0</v>
      </c>
      <c r="HC29" s="119">
        <f t="shared" si="43"/>
        <v>3546.2521525261054</v>
      </c>
      <c r="HD29" s="119">
        <f t="shared" si="43"/>
        <v>-5984.6493233178908</v>
      </c>
      <c r="HE29" s="119">
        <f t="shared" si="43"/>
        <v>3938.3521883270928</v>
      </c>
      <c r="HF29" s="119">
        <f t="shared" si="43"/>
        <v>20481.444492082275</v>
      </c>
      <c r="HG29" s="119">
        <f t="shared" si="43"/>
        <v>-21761.480818708576</v>
      </c>
      <c r="HH29" s="119">
        <f t="shared" si="43"/>
        <v>0</v>
      </c>
      <c r="HI29" s="119">
        <f t="shared" si="43"/>
        <v>1078.0732238034616</v>
      </c>
      <c r="HJ29" s="98">
        <f t="shared" si="44"/>
        <v>5598.0346180320885</v>
      </c>
      <c r="HK29" s="119">
        <f t="shared" si="53"/>
        <v>-74291.58972394219</v>
      </c>
      <c r="HL29" s="119">
        <f t="shared" si="53"/>
        <v>3321.9428135696635</v>
      </c>
      <c r="HM29" s="119">
        <f t="shared" si="53"/>
        <v>0</v>
      </c>
      <c r="HN29" s="119">
        <f t="shared" si="53"/>
        <v>143.82864545409865</v>
      </c>
      <c r="HO29" s="119">
        <f t="shared" si="53"/>
        <v>0</v>
      </c>
      <c r="HP29" s="119">
        <f t="shared" si="53"/>
        <v>6601.3824064128048</v>
      </c>
      <c r="HQ29" s="119">
        <f t="shared" si="53"/>
        <v>4331.8794309507093</v>
      </c>
      <c r="HR29" s="119">
        <f t="shared" si="53"/>
        <v>589.48649517793353</v>
      </c>
      <c r="HS29" s="119">
        <f t="shared" si="53"/>
        <v>3533.4949266291023</v>
      </c>
      <c r="HT29" s="119">
        <f t="shared" si="53"/>
        <v>0</v>
      </c>
      <c r="HU29" s="119">
        <f t="shared" si="53"/>
        <v>1017.9114484864341</v>
      </c>
      <c r="HV29" s="119">
        <f t="shared" si="53"/>
        <v>0</v>
      </c>
      <c r="HW29" s="98">
        <f t="shared" si="45"/>
        <v>-54751.663557261454</v>
      </c>
      <c r="HX29" s="119">
        <f t="shared" si="54"/>
        <v>12820.029256878357</v>
      </c>
      <c r="HY29" s="119">
        <f t="shared" si="54"/>
        <v>0</v>
      </c>
      <c r="HZ29" s="119">
        <f t="shared" si="54"/>
        <v>31880.238660142626</v>
      </c>
      <c r="IA29" s="119">
        <f t="shared" si="54"/>
        <v>4453.3610222083871</v>
      </c>
      <c r="IB29" s="119">
        <f t="shared" si="54"/>
        <v>0</v>
      </c>
      <c r="IC29" s="119">
        <f t="shared" si="54"/>
        <v>0</v>
      </c>
      <c r="ID29" s="119">
        <f t="shared" si="54"/>
        <v>0</v>
      </c>
      <c r="IE29" s="119">
        <f t="shared" si="54"/>
        <v>0</v>
      </c>
      <c r="IF29" s="119">
        <f t="shared" si="54"/>
        <v>0</v>
      </c>
      <c r="IG29" s="119">
        <f t="shared" si="54"/>
        <v>0</v>
      </c>
      <c r="IH29" s="98">
        <f t="shared" si="46"/>
        <v>49153.628939229369</v>
      </c>
      <c r="II29" s="96">
        <f t="shared" si="47"/>
        <v>50171.540387715802</v>
      </c>
    </row>
    <row r="30" spans="2:243" x14ac:dyDescent="0.2">
      <c r="B30" s="101" t="s">
        <v>223</v>
      </c>
      <c r="C30" s="89" t="s">
        <v>224</v>
      </c>
      <c r="D30" s="89" t="str">
        <f>_xlfn.IFNA(INDEX('4. WIP Report (Oct-25)'!D:D,MATCH('7. POC Lookback Summary'!$B30,'4. WIP Report (Oct-25)'!$B:$B,0)),INDEX('5. Completed Jobs'!D:D,MATCH('7. POC Lookback Summary'!$B30,'5. Completed Jobs'!$B:$B,0)))</f>
        <v>Skyline Construction Group</v>
      </c>
      <c r="E30" s="89" t="str">
        <f>_xlfn.IFNA(INDEX('4. WIP Report (Oct-25)'!E:E,MATCH('7. POC Lookback Summary'!$B30,'4. WIP Report (Oct-25)'!$B:$B,0)),INDEX('5. Completed Jobs'!E:E,MATCH('7. POC Lookback Summary'!$B30,'5. Completed Jobs'!$B:$B,0)))</f>
        <v>Sprinkler Installation</v>
      </c>
      <c r="F30" s="89" t="str">
        <f>_xlfn.IFNA(INDEX('4. WIP Report (Oct-25)'!F:F,MATCH('7. POC Lookback Summary'!$B30,'4. WIP Report (Oct-25)'!$B:$B,0)),INDEX('5. Completed Jobs'!F:F,MATCH('7. POC Lookback Summary'!$B30,'5. Completed Jobs'!$B:$B,0)))</f>
        <v>Healthcare</v>
      </c>
      <c r="G30" s="89" t="str">
        <f>_xlfn.IFNA(INDEX('4. WIP Report (Oct-25)'!G:G,MATCH('7. POC Lookback Summary'!$B30,'4. WIP Report (Oct-25)'!$B:$B,0)),INDEX('5. Completed Jobs'!G:G,MATCH('7. POC Lookback Summary'!$B30,'5. Completed Jobs'!$B:$B,0)))</f>
        <v>General Contractor</v>
      </c>
      <c r="H30" s="89" t="str">
        <f>_xlfn.IFNA(INDEX('4. WIP Report (Oct-25)'!H:H,MATCH('7. POC Lookback Summary'!$B30,'4. WIP Report (Oct-25)'!$B:$B,0)),INDEX('5. Completed Jobs'!H:H,MATCH('7. POC Lookback Summary'!$B30,'5. Completed Jobs'!$B:$B,0)))</f>
        <v>Retrofit</v>
      </c>
      <c r="J30" s="95"/>
      <c r="K30" s="119">
        <v>3148.1</v>
      </c>
      <c r="L30" s="119">
        <v>0</v>
      </c>
      <c r="M30" s="119">
        <v>14133.212500000003</v>
      </c>
      <c r="N30" s="119">
        <v>9226.5374999999985</v>
      </c>
      <c r="O30" s="119">
        <v>112.7</v>
      </c>
      <c r="P30" s="119">
        <v>0</v>
      </c>
      <c r="Q30" s="119">
        <v>2356.5375000000004</v>
      </c>
      <c r="R30" s="119">
        <v>2669.9374999999995</v>
      </c>
      <c r="S30" s="119">
        <v>0</v>
      </c>
      <c r="T30" s="119">
        <v>10479.650000000001</v>
      </c>
      <c r="U30" s="119">
        <v>48.949999999999996</v>
      </c>
      <c r="V30" s="119">
        <v>4489.0999999999995</v>
      </c>
      <c r="W30" s="98">
        <f t="shared" si="25"/>
        <v>46664.724999999999</v>
      </c>
      <c r="X30" s="119">
        <v>4135.1499999999996</v>
      </c>
      <c r="Y30" s="119">
        <v>57746.912499999999</v>
      </c>
      <c r="Z30" s="119">
        <v>0</v>
      </c>
      <c r="AA30" s="119">
        <v>14268.012499999999</v>
      </c>
      <c r="AB30" s="119">
        <v>0</v>
      </c>
      <c r="AC30" s="119">
        <v>0</v>
      </c>
      <c r="AD30" s="119">
        <v>5925.0250000000005</v>
      </c>
      <c r="AE30" s="119">
        <v>12354.637499999999</v>
      </c>
      <c r="AF30" s="119">
        <v>0</v>
      </c>
      <c r="AG30" s="119">
        <v>27078.05</v>
      </c>
      <c r="AH30" s="119">
        <v>199337.33749999999</v>
      </c>
      <c r="AI30" s="119">
        <v>16883.112500000003</v>
      </c>
      <c r="AJ30" s="98">
        <f t="shared" si="26"/>
        <v>337728.23749999999</v>
      </c>
      <c r="AK30" s="119">
        <v>4267.6374999999998</v>
      </c>
      <c r="AL30" s="119">
        <v>3250.05</v>
      </c>
      <c r="AM30" s="119">
        <v>0</v>
      </c>
      <c r="AN30" s="119">
        <v>0</v>
      </c>
      <c r="AO30" s="119">
        <v>8977.0874999999996</v>
      </c>
      <c r="AP30" s="119">
        <v>84.9</v>
      </c>
      <c r="AQ30" s="119">
        <v>4730.8999999999996</v>
      </c>
      <c r="AR30" s="119">
        <v>0</v>
      </c>
      <c r="AS30" s="119">
        <v>0</v>
      </c>
      <c r="AT30" s="119">
        <v>0</v>
      </c>
      <c r="AU30" s="98">
        <f t="shared" si="27"/>
        <v>21310.575000000004</v>
      </c>
      <c r="AV30" s="96">
        <f t="shared" si="28"/>
        <v>237531.02500000002</v>
      </c>
      <c r="AW30" s="95"/>
      <c r="AX30" s="119">
        <v>2518.48</v>
      </c>
      <c r="AY30" s="119">
        <v>0</v>
      </c>
      <c r="AZ30" s="119">
        <v>11306.570000000002</v>
      </c>
      <c r="BA30" s="119">
        <v>7381.23</v>
      </c>
      <c r="BB30" s="119">
        <v>90.160000000000011</v>
      </c>
      <c r="BC30" s="119">
        <v>0</v>
      </c>
      <c r="BD30" s="119">
        <v>1885.23</v>
      </c>
      <c r="BE30" s="119">
        <v>2135.9499999999998</v>
      </c>
      <c r="BF30" s="119">
        <v>0</v>
      </c>
      <c r="BG30" s="119">
        <v>8383.7200000000012</v>
      </c>
      <c r="BH30" s="119">
        <v>39.159999999999997</v>
      </c>
      <c r="BI30" s="119">
        <v>3591.28</v>
      </c>
      <c r="BJ30" s="98">
        <f t="shared" si="29"/>
        <v>37331.78</v>
      </c>
      <c r="BK30" s="119">
        <v>3308.12</v>
      </c>
      <c r="BL30" s="119">
        <v>46197.53</v>
      </c>
      <c r="BM30" s="119">
        <v>0</v>
      </c>
      <c r="BN30" s="119">
        <v>11414.409999999998</v>
      </c>
      <c r="BO30" s="119">
        <v>0</v>
      </c>
      <c r="BP30" s="119">
        <v>0</v>
      </c>
      <c r="BQ30" s="119">
        <v>4740.0200000000004</v>
      </c>
      <c r="BR30" s="119">
        <v>9883.7099999999991</v>
      </c>
      <c r="BS30" s="119">
        <v>0</v>
      </c>
      <c r="BT30" s="119">
        <v>21662.44</v>
      </c>
      <c r="BU30" s="119">
        <v>159469.87</v>
      </c>
      <c r="BV30" s="119">
        <v>13506.490000000002</v>
      </c>
      <c r="BW30" s="98">
        <f t="shared" si="30"/>
        <v>270182.59000000003</v>
      </c>
      <c r="BX30" s="119">
        <v>3414.1099999999997</v>
      </c>
      <c r="BY30" s="119">
        <v>2600.04</v>
      </c>
      <c r="BZ30" s="119">
        <v>0</v>
      </c>
      <c r="CA30" s="119">
        <v>0</v>
      </c>
      <c r="CB30" s="119">
        <v>7181.67</v>
      </c>
      <c r="CC30" s="119">
        <v>67.92</v>
      </c>
      <c r="CD30" s="119">
        <v>3784.7200000000003</v>
      </c>
      <c r="CE30" s="119">
        <v>0</v>
      </c>
      <c r="CF30" s="119">
        <v>0</v>
      </c>
      <c r="CG30" s="119">
        <v>0</v>
      </c>
      <c r="CH30" s="98">
        <f t="shared" si="31"/>
        <v>17048.46</v>
      </c>
      <c r="CI30" s="96">
        <f t="shared" si="32"/>
        <v>190024.81999999998</v>
      </c>
      <c r="CJ30" s="95"/>
      <c r="CK30" s="119">
        <f t="shared" si="33"/>
        <v>629.61999999999989</v>
      </c>
      <c r="CL30" s="119">
        <f t="shared" si="33"/>
        <v>0</v>
      </c>
      <c r="CM30" s="119">
        <f t="shared" si="33"/>
        <v>2826.6425000000017</v>
      </c>
      <c r="CN30" s="119">
        <f t="shared" si="33"/>
        <v>1845.307499999999</v>
      </c>
      <c r="CO30" s="119">
        <f t="shared" si="33"/>
        <v>22.539999999999992</v>
      </c>
      <c r="CP30" s="119">
        <f t="shared" si="33"/>
        <v>0</v>
      </c>
      <c r="CQ30" s="119">
        <f t="shared" si="33"/>
        <v>471.30750000000035</v>
      </c>
      <c r="CR30" s="119">
        <f t="shared" si="33"/>
        <v>533.98749999999973</v>
      </c>
      <c r="CS30" s="119">
        <f t="shared" si="33"/>
        <v>0</v>
      </c>
      <c r="CT30" s="119">
        <f t="shared" si="33"/>
        <v>2095.9300000000003</v>
      </c>
      <c r="CU30" s="119">
        <f t="shared" si="33"/>
        <v>9.7899999999999991</v>
      </c>
      <c r="CV30" s="119">
        <f t="shared" si="33"/>
        <v>897.81999999999925</v>
      </c>
      <c r="CW30" s="98">
        <f t="shared" si="34"/>
        <v>9332.9450000000015</v>
      </c>
      <c r="CX30" s="119">
        <f t="shared" si="51"/>
        <v>827.02999999999975</v>
      </c>
      <c r="CY30" s="119">
        <f t="shared" si="51"/>
        <v>11549.3825</v>
      </c>
      <c r="CZ30" s="119">
        <f t="shared" si="51"/>
        <v>0</v>
      </c>
      <c r="DA30" s="119">
        <f t="shared" si="51"/>
        <v>2853.6025000000009</v>
      </c>
      <c r="DB30" s="119">
        <f t="shared" si="51"/>
        <v>0</v>
      </c>
      <c r="DC30" s="119">
        <f t="shared" si="51"/>
        <v>0</v>
      </c>
      <c r="DD30" s="119">
        <f t="shared" si="51"/>
        <v>1185.0050000000001</v>
      </c>
      <c r="DE30" s="119">
        <f t="shared" si="51"/>
        <v>2470.9274999999998</v>
      </c>
      <c r="DF30" s="119">
        <f t="shared" si="51"/>
        <v>0</v>
      </c>
      <c r="DG30" s="119">
        <f t="shared" si="51"/>
        <v>5415.6100000000006</v>
      </c>
      <c r="DH30" s="119">
        <f t="shared" si="51"/>
        <v>39867.467499999999</v>
      </c>
      <c r="DI30" s="119">
        <f t="shared" si="51"/>
        <v>3376.6225000000013</v>
      </c>
      <c r="DJ30" s="98">
        <f t="shared" si="35"/>
        <v>67545.647500000006</v>
      </c>
      <c r="DK30" s="119">
        <f t="shared" si="52"/>
        <v>853.52750000000015</v>
      </c>
      <c r="DL30" s="119">
        <f t="shared" si="52"/>
        <v>650.01000000000022</v>
      </c>
      <c r="DM30" s="119">
        <f t="shared" si="52"/>
        <v>0</v>
      </c>
      <c r="DN30" s="119">
        <f t="shared" si="52"/>
        <v>0</v>
      </c>
      <c r="DO30" s="119">
        <f t="shared" si="52"/>
        <v>1795.4174999999996</v>
      </c>
      <c r="DP30" s="119">
        <f t="shared" si="52"/>
        <v>16.980000000000004</v>
      </c>
      <c r="DQ30" s="119">
        <f t="shared" si="52"/>
        <v>946.17999999999938</v>
      </c>
      <c r="DR30" s="119">
        <f t="shared" si="52"/>
        <v>0</v>
      </c>
      <c r="DS30" s="119">
        <f t="shared" si="52"/>
        <v>0</v>
      </c>
      <c r="DT30" s="119">
        <f t="shared" si="52"/>
        <v>0</v>
      </c>
      <c r="DU30" s="98">
        <f t="shared" si="36"/>
        <v>4262.1149999999998</v>
      </c>
      <c r="DV30" s="96">
        <f t="shared" si="37"/>
        <v>47506.205000000002</v>
      </c>
      <c r="DW30" s="95"/>
      <c r="DX30" s="162">
        <f t="shared" si="38"/>
        <v>0.19999999999999998</v>
      </c>
      <c r="DY30" s="162">
        <f t="shared" si="38"/>
        <v>0</v>
      </c>
      <c r="DZ30" s="162">
        <f t="shared" si="38"/>
        <v>0.20000000000000007</v>
      </c>
      <c r="EA30" s="162">
        <f t="shared" si="38"/>
        <v>0.19999999999999993</v>
      </c>
      <c r="EB30" s="162">
        <f t="shared" si="38"/>
        <v>0.19999999999999993</v>
      </c>
      <c r="EC30" s="162">
        <f t="shared" si="38"/>
        <v>0</v>
      </c>
      <c r="ED30" s="162">
        <f t="shared" si="38"/>
        <v>0.20000000000000012</v>
      </c>
      <c r="EE30" s="162">
        <f t="shared" si="38"/>
        <v>0.19999999999999993</v>
      </c>
      <c r="EF30" s="162">
        <f t="shared" si="38"/>
        <v>0</v>
      </c>
      <c r="EG30" s="162">
        <f t="shared" ref="EG30:EV69" si="55">IFERROR(CT30/T30,0)</f>
        <v>0.2</v>
      </c>
      <c r="EH30" s="162">
        <f t="shared" si="55"/>
        <v>0.2</v>
      </c>
      <c r="EI30" s="162">
        <f t="shared" si="55"/>
        <v>0.19999999999999984</v>
      </c>
      <c r="EJ30" s="163">
        <f t="shared" si="55"/>
        <v>0.20000000000000004</v>
      </c>
      <c r="EK30" s="162">
        <f t="shared" si="55"/>
        <v>0.19999999999999996</v>
      </c>
      <c r="EL30" s="162">
        <f t="shared" si="55"/>
        <v>0.2</v>
      </c>
      <c r="EM30" s="162">
        <f t="shared" si="55"/>
        <v>0</v>
      </c>
      <c r="EN30" s="162">
        <f t="shared" si="49"/>
        <v>0.20000000000000007</v>
      </c>
      <c r="EO30" s="162">
        <f t="shared" si="49"/>
        <v>0</v>
      </c>
      <c r="EP30" s="162">
        <f t="shared" si="49"/>
        <v>0</v>
      </c>
      <c r="EQ30" s="162">
        <f t="shared" si="49"/>
        <v>0.2</v>
      </c>
      <c r="ER30" s="162">
        <f t="shared" si="49"/>
        <v>0.2</v>
      </c>
      <c r="ES30" s="162">
        <f t="shared" si="49"/>
        <v>0</v>
      </c>
      <c r="ET30" s="162">
        <f t="shared" si="49"/>
        <v>0.20000000000000004</v>
      </c>
      <c r="EU30" s="162">
        <f t="shared" si="49"/>
        <v>0.2</v>
      </c>
      <c r="EV30" s="162">
        <f t="shared" si="49"/>
        <v>0.20000000000000004</v>
      </c>
      <c r="EW30" s="163">
        <f t="shared" si="49"/>
        <v>0.20000000000000004</v>
      </c>
      <c r="EX30" s="162">
        <f t="shared" si="49"/>
        <v>0.20000000000000004</v>
      </c>
      <c r="EY30" s="162">
        <f t="shared" si="49"/>
        <v>0.20000000000000007</v>
      </c>
      <c r="EZ30" s="162">
        <f t="shared" si="49"/>
        <v>0</v>
      </c>
      <c r="FA30" s="162">
        <f t="shared" si="49"/>
        <v>0</v>
      </c>
      <c r="FB30" s="162">
        <f t="shared" si="49"/>
        <v>0.19999999999999996</v>
      </c>
      <c r="FC30" s="162">
        <f t="shared" ref="FC30:FC69" si="56">IFERROR(DP30/AP30,0)</f>
        <v>0.20000000000000004</v>
      </c>
      <c r="FD30" s="162">
        <f t="shared" si="50"/>
        <v>0.19999999999999987</v>
      </c>
      <c r="FE30" s="162">
        <f t="shared" si="50"/>
        <v>0</v>
      </c>
      <c r="FF30" s="162">
        <f t="shared" si="48"/>
        <v>0</v>
      </c>
      <c r="FG30" s="162">
        <f t="shared" si="48"/>
        <v>0</v>
      </c>
      <c r="FH30" s="163">
        <f t="shared" si="48"/>
        <v>0.19999999999999996</v>
      </c>
      <c r="FI30" s="164">
        <f t="shared" si="48"/>
        <v>0.19999999999999998</v>
      </c>
      <c r="FJ30" s="95"/>
      <c r="FK30" s="119">
        <v>94662.609999999986</v>
      </c>
      <c r="FL30" s="119">
        <v>0</v>
      </c>
      <c r="FM30" s="119">
        <v>0</v>
      </c>
      <c r="FN30" s="119">
        <v>60768.35</v>
      </c>
      <c r="FO30" s="119">
        <v>0</v>
      </c>
      <c r="FP30" s="119">
        <v>0</v>
      </c>
      <c r="FQ30" s="119">
        <v>0</v>
      </c>
      <c r="FR30" s="119">
        <v>0</v>
      </c>
      <c r="FS30" s="119">
        <v>0</v>
      </c>
      <c r="FT30" s="119">
        <v>0</v>
      </c>
      <c r="FU30" s="119">
        <v>92353.06</v>
      </c>
      <c r="FV30" s="119">
        <v>0</v>
      </c>
      <c r="FW30" s="98">
        <f t="shared" si="39"/>
        <v>247784.02</v>
      </c>
      <c r="FX30" s="119">
        <v>0</v>
      </c>
      <c r="FY30" s="119">
        <v>0</v>
      </c>
      <c r="FZ30" s="119">
        <v>0</v>
      </c>
      <c r="GA30" s="119">
        <v>0</v>
      </c>
      <c r="GB30" s="119">
        <v>0</v>
      </c>
      <c r="GC30" s="119">
        <v>0</v>
      </c>
      <c r="GD30" s="119">
        <v>163044.63</v>
      </c>
      <c r="GE30" s="119">
        <v>0</v>
      </c>
      <c r="GF30" s="119">
        <v>0</v>
      </c>
      <c r="GG30" s="119">
        <v>0</v>
      </c>
      <c r="GH30" s="119">
        <v>0</v>
      </c>
      <c r="GI30" s="119">
        <v>0</v>
      </c>
      <c r="GJ30" s="98">
        <f t="shared" si="40"/>
        <v>163044.63</v>
      </c>
      <c r="GK30" s="119">
        <v>127523.64</v>
      </c>
      <c r="GL30" s="119">
        <v>0</v>
      </c>
      <c r="GM30" s="119">
        <v>0</v>
      </c>
      <c r="GN30" s="119">
        <v>0</v>
      </c>
      <c r="GO30" s="119">
        <v>0</v>
      </c>
      <c r="GP30" s="119">
        <v>7653.96</v>
      </c>
      <c r="GQ30" s="119">
        <v>0</v>
      </c>
      <c r="GR30" s="119">
        <v>0</v>
      </c>
      <c r="GS30" s="119">
        <v>0</v>
      </c>
      <c r="GT30" s="119">
        <v>0</v>
      </c>
      <c r="GU30" s="98">
        <f t="shared" si="41"/>
        <v>135177.60000000001</v>
      </c>
      <c r="GV30" s="96">
        <f t="shared" si="42"/>
        <v>135177.60000000001</v>
      </c>
      <c r="GW30" s="95"/>
      <c r="GX30" s="119">
        <f t="shared" si="43"/>
        <v>-91514.50999999998</v>
      </c>
      <c r="GY30" s="119">
        <f t="shared" si="43"/>
        <v>0</v>
      </c>
      <c r="GZ30" s="119">
        <f t="shared" si="43"/>
        <v>14133.212500000003</v>
      </c>
      <c r="HA30" s="119">
        <f t="shared" si="43"/>
        <v>-51541.8125</v>
      </c>
      <c r="HB30" s="119">
        <f t="shared" si="43"/>
        <v>112.7</v>
      </c>
      <c r="HC30" s="119">
        <f t="shared" si="43"/>
        <v>0</v>
      </c>
      <c r="HD30" s="119">
        <f t="shared" si="43"/>
        <v>2356.5375000000004</v>
      </c>
      <c r="HE30" s="119">
        <f t="shared" si="43"/>
        <v>2669.9374999999995</v>
      </c>
      <c r="HF30" s="119">
        <f t="shared" si="43"/>
        <v>0</v>
      </c>
      <c r="HG30" s="119">
        <f t="shared" si="43"/>
        <v>10479.650000000001</v>
      </c>
      <c r="HH30" s="119">
        <f t="shared" si="43"/>
        <v>-92304.11</v>
      </c>
      <c r="HI30" s="119">
        <f t="shared" si="43"/>
        <v>4489.0999999999995</v>
      </c>
      <c r="HJ30" s="98">
        <f t="shared" si="44"/>
        <v>-201119.29499999995</v>
      </c>
      <c r="HK30" s="119">
        <f t="shared" si="53"/>
        <v>4135.1499999999996</v>
      </c>
      <c r="HL30" s="119">
        <f t="shared" si="53"/>
        <v>57746.912499999999</v>
      </c>
      <c r="HM30" s="119">
        <f t="shared" si="53"/>
        <v>0</v>
      </c>
      <c r="HN30" s="119">
        <f t="shared" si="53"/>
        <v>14268.012499999999</v>
      </c>
      <c r="HO30" s="119">
        <f t="shared" si="53"/>
        <v>0</v>
      </c>
      <c r="HP30" s="119">
        <f t="shared" si="53"/>
        <v>0</v>
      </c>
      <c r="HQ30" s="119">
        <f t="shared" si="53"/>
        <v>-157119.60500000001</v>
      </c>
      <c r="HR30" s="119">
        <f t="shared" si="53"/>
        <v>12354.637499999999</v>
      </c>
      <c r="HS30" s="119">
        <f t="shared" si="53"/>
        <v>0</v>
      </c>
      <c r="HT30" s="119">
        <f t="shared" si="53"/>
        <v>27078.05</v>
      </c>
      <c r="HU30" s="119">
        <f t="shared" si="53"/>
        <v>199337.33749999999</v>
      </c>
      <c r="HV30" s="119">
        <f t="shared" si="53"/>
        <v>16883.112500000003</v>
      </c>
      <c r="HW30" s="98">
        <f t="shared" si="45"/>
        <v>174683.60749999998</v>
      </c>
      <c r="HX30" s="119">
        <f t="shared" si="54"/>
        <v>-123256.0025</v>
      </c>
      <c r="HY30" s="119">
        <f t="shared" si="54"/>
        <v>3250.05</v>
      </c>
      <c r="HZ30" s="119">
        <f t="shared" si="54"/>
        <v>0</v>
      </c>
      <c r="IA30" s="119">
        <f t="shared" si="54"/>
        <v>0</v>
      </c>
      <c r="IB30" s="119">
        <f t="shared" si="54"/>
        <v>8977.0874999999996</v>
      </c>
      <c r="IC30" s="119">
        <f t="shared" si="54"/>
        <v>-7569.06</v>
      </c>
      <c r="ID30" s="119">
        <f t="shared" si="54"/>
        <v>4730.8999999999996</v>
      </c>
      <c r="IE30" s="119">
        <f t="shared" si="54"/>
        <v>0</v>
      </c>
      <c r="IF30" s="119">
        <f t="shared" si="54"/>
        <v>0</v>
      </c>
      <c r="IG30" s="119">
        <f t="shared" si="54"/>
        <v>0</v>
      </c>
      <c r="IH30" s="98">
        <f t="shared" si="46"/>
        <v>-113867.02500000001</v>
      </c>
      <c r="II30" s="96">
        <f t="shared" si="47"/>
        <v>102353.42499999999</v>
      </c>
    </row>
    <row r="31" spans="2:243" x14ac:dyDescent="0.2">
      <c r="B31" s="101" t="s">
        <v>323</v>
      </c>
      <c r="C31" s="89" t="s">
        <v>324</v>
      </c>
      <c r="D31" s="89" t="str">
        <f>_xlfn.IFNA(INDEX('4. WIP Report (Oct-25)'!D:D,MATCH('7. POC Lookback Summary'!$B31,'4. WIP Report (Oct-25)'!$B:$B,0)),INDEX('5. Completed Jobs'!D:D,MATCH('7. POC Lookback Summary'!$B31,'5. Completed Jobs'!$B:$B,0)))</f>
        <v>Retail Properties LLC</v>
      </c>
      <c r="E31" s="89" t="str">
        <f>_xlfn.IFNA(INDEX('4. WIP Report (Oct-25)'!E:E,MATCH('7. POC Lookback Summary'!$B31,'4. WIP Report (Oct-25)'!$B:$B,0)),INDEX('5. Completed Jobs'!E:E,MATCH('7. POC Lookback Summary'!$B31,'5. Completed Jobs'!$B:$B,0)))</f>
        <v>Sprinkler Installation</v>
      </c>
      <c r="F31" s="89" t="str">
        <f>_xlfn.IFNA(INDEX('4. WIP Report (Oct-25)'!F:F,MATCH('7. POC Lookback Summary'!$B31,'4. WIP Report (Oct-25)'!$B:$B,0)),INDEX('5. Completed Jobs'!F:F,MATCH('7. POC Lookback Summary'!$B31,'5. Completed Jobs'!$B:$B,0)))</f>
        <v>Commercial</v>
      </c>
      <c r="G31" s="89" t="str">
        <f>_xlfn.IFNA(INDEX('4. WIP Report (Oct-25)'!G:G,MATCH('7. POC Lookback Summary'!$B31,'4. WIP Report (Oct-25)'!$B:$B,0)),INDEX('5. Completed Jobs'!G:G,MATCH('7. POC Lookback Summary'!$B31,'5. Completed Jobs'!$B:$B,0)))</f>
        <v>Direct</v>
      </c>
      <c r="H31" s="89" t="str">
        <f>_xlfn.IFNA(INDEX('4. WIP Report (Oct-25)'!H:H,MATCH('7. POC Lookback Summary'!$B31,'4. WIP Report (Oct-25)'!$B:$B,0)),INDEX('5. Completed Jobs'!H:H,MATCH('7. POC Lookback Summary'!$B31,'5. Completed Jobs'!$B:$B,0)))</f>
        <v>Retrofit</v>
      </c>
      <c r="J31" s="95"/>
      <c r="K31" s="119">
        <v>0</v>
      </c>
      <c r="L31" s="119">
        <v>6392.0682869639259</v>
      </c>
      <c r="M31" s="119">
        <v>2043.0145854164571</v>
      </c>
      <c r="N31" s="119">
        <v>0</v>
      </c>
      <c r="O31" s="119">
        <v>0</v>
      </c>
      <c r="P31" s="119">
        <v>0</v>
      </c>
      <c r="Q31" s="119">
        <v>9572.5600465861189</v>
      </c>
      <c r="R31" s="119">
        <v>3496.0845674014668</v>
      </c>
      <c r="S31" s="119">
        <v>124.61656389476562</v>
      </c>
      <c r="T31" s="119">
        <v>8944.7265466680983</v>
      </c>
      <c r="U31" s="119">
        <v>0</v>
      </c>
      <c r="V31" s="119">
        <v>0</v>
      </c>
      <c r="W31" s="98">
        <f t="shared" si="25"/>
        <v>30573.070596930829</v>
      </c>
      <c r="X31" s="119">
        <v>0</v>
      </c>
      <c r="Y31" s="119">
        <v>129.11750062401899</v>
      </c>
      <c r="Z31" s="119">
        <v>50370.904213889466</v>
      </c>
      <c r="AA31" s="119">
        <v>526.37650318869896</v>
      </c>
      <c r="AB31" s="119">
        <v>832.68439463253537</v>
      </c>
      <c r="AC31" s="119">
        <v>9459.3706451149428</v>
      </c>
      <c r="AD31" s="119">
        <v>4188.35749563436</v>
      </c>
      <c r="AE31" s="119">
        <v>3507.8946701879677</v>
      </c>
      <c r="AF31" s="119">
        <v>0</v>
      </c>
      <c r="AG31" s="119">
        <v>1624.4940679198787</v>
      </c>
      <c r="AH31" s="119">
        <v>0</v>
      </c>
      <c r="AI31" s="119">
        <v>0</v>
      </c>
      <c r="AJ31" s="98">
        <f t="shared" si="26"/>
        <v>70639.199491191859</v>
      </c>
      <c r="AK31" s="119">
        <v>0</v>
      </c>
      <c r="AL31" s="119">
        <v>26828.052594197765</v>
      </c>
      <c r="AM31" s="119">
        <v>3120.148128232338</v>
      </c>
      <c r="AN31" s="119">
        <v>3268.9176842919746</v>
      </c>
      <c r="AO31" s="119">
        <v>1966.2988660471976</v>
      </c>
      <c r="AP31" s="119">
        <v>21531.276993056024</v>
      </c>
      <c r="AQ31" s="119">
        <v>28009.76770510988</v>
      </c>
      <c r="AR31" s="119">
        <v>4407.4160327987984</v>
      </c>
      <c r="AS31" s="119">
        <v>9876.081908143291</v>
      </c>
      <c r="AT31" s="119">
        <v>0</v>
      </c>
      <c r="AU31" s="98">
        <f t="shared" si="27"/>
        <v>99007.959911877246</v>
      </c>
      <c r="AV31" s="96">
        <f t="shared" si="28"/>
        <v>99007.959911877246</v>
      </c>
      <c r="AW31" s="95"/>
      <c r="AX31" s="119">
        <v>0</v>
      </c>
      <c r="AY31" s="119">
        <v>11517.53</v>
      </c>
      <c r="AZ31" s="119">
        <v>3681.2000000000003</v>
      </c>
      <c r="BA31" s="119">
        <v>0</v>
      </c>
      <c r="BB31" s="119">
        <v>0</v>
      </c>
      <c r="BC31" s="119">
        <v>0</v>
      </c>
      <c r="BD31" s="119">
        <v>17248.29</v>
      </c>
      <c r="BE31" s="119">
        <v>6299.4099999999989</v>
      </c>
      <c r="BF31" s="119">
        <v>224.54</v>
      </c>
      <c r="BG31" s="119">
        <v>16117.030000000004</v>
      </c>
      <c r="BH31" s="119">
        <v>0</v>
      </c>
      <c r="BI31" s="119">
        <v>0</v>
      </c>
      <c r="BJ31" s="98">
        <f t="shared" si="29"/>
        <v>55088.000000000007</v>
      </c>
      <c r="BK31" s="119">
        <v>0</v>
      </c>
      <c r="BL31" s="119">
        <v>232.65</v>
      </c>
      <c r="BM31" s="119">
        <v>90760.670000000013</v>
      </c>
      <c r="BN31" s="119">
        <v>948.45</v>
      </c>
      <c r="BO31" s="119">
        <v>1500.37</v>
      </c>
      <c r="BP31" s="119">
        <v>17044.34</v>
      </c>
      <c r="BQ31" s="119">
        <v>7546.78</v>
      </c>
      <c r="BR31" s="119">
        <v>6320.6900000000005</v>
      </c>
      <c r="BS31" s="119">
        <v>0</v>
      </c>
      <c r="BT31" s="119">
        <v>2927.09</v>
      </c>
      <c r="BU31" s="119">
        <v>0</v>
      </c>
      <c r="BV31" s="119">
        <v>0</v>
      </c>
      <c r="BW31" s="98">
        <f t="shared" si="30"/>
        <v>127281.04</v>
      </c>
      <c r="BX31" s="119">
        <v>0</v>
      </c>
      <c r="BY31" s="119">
        <v>48340.05</v>
      </c>
      <c r="BZ31" s="119">
        <v>5622.03</v>
      </c>
      <c r="CA31" s="119">
        <v>5890.0899999999992</v>
      </c>
      <c r="CB31" s="119">
        <v>3542.97</v>
      </c>
      <c r="CC31" s="119">
        <v>38796.07</v>
      </c>
      <c r="CD31" s="119">
        <v>50469.32</v>
      </c>
      <c r="CE31" s="119">
        <v>7941.49</v>
      </c>
      <c r="CF31" s="119">
        <v>17795.190000000002</v>
      </c>
      <c r="CG31" s="119">
        <v>0</v>
      </c>
      <c r="CH31" s="98">
        <f t="shared" si="31"/>
        <v>178397.21</v>
      </c>
      <c r="CI31" s="96">
        <f t="shared" si="32"/>
        <v>178397.21</v>
      </c>
      <c r="CJ31" s="95"/>
      <c r="CK31" s="119">
        <f t="shared" si="33"/>
        <v>0</v>
      </c>
      <c r="CL31" s="119">
        <f t="shared" si="33"/>
        <v>-5125.4617130360748</v>
      </c>
      <c r="CM31" s="119">
        <f t="shared" si="33"/>
        <v>-1638.1854145835432</v>
      </c>
      <c r="CN31" s="119">
        <f t="shared" si="33"/>
        <v>0</v>
      </c>
      <c r="CO31" s="119">
        <f t="shared" si="33"/>
        <v>0</v>
      </c>
      <c r="CP31" s="119">
        <f t="shared" si="33"/>
        <v>0</v>
      </c>
      <c r="CQ31" s="119">
        <f t="shared" si="33"/>
        <v>-7675.729953413882</v>
      </c>
      <c r="CR31" s="119">
        <f t="shared" si="33"/>
        <v>-2803.3254325985322</v>
      </c>
      <c r="CS31" s="119">
        <f t="shared" si="33"/>
        <v>-99.923436105234373</v>
      </c>
      <c r="CT31" s="119">
        <f t="shared" si="33"/>
        <v>-7172.303453331906</v>
      </c>
      <c r="CU31" s="119">
        <f t="shared" si="33"/>
        <v>0</v>
      </c>
      <c r="CV31" s="119">
        <f t="shared" si="33"/>
        <v>0</v>
      </c>
      <c r="CW31" s="98">
        <f t="shared" si="34"/>
        <v>-24514.929403069174</v>
      </c>
      <c r="CX31" s="119">
        <f t="shared" si="51"/>
        <v>0</v>
      </c>
      <c r="CY31" s="119">
        <f t="shared" si="51"/>
        <v>-103.53249937598102</v>
      </c>
      <c r="CZ31" s="119">
        <f t="shared" si="51"/>
        <v>-40389.765786110547</v>
      </c>
      <c r="DA31" s="119">
        <f t="shared" si="51"/>
        <v>-422.07349681130108</v>
      </c>
      <c r="DB31" s="119">
        <f t="shared" si="51"/>
        <v>-667.68560536746452</v>
      </c>
      <c r="DC31" s="119">
        <f t="shared" si="51"/>
        <v>-7584.9693548850573</v>
      </c>
      <c r="DD31" s="119">
        <f t="shared" si="51"/>
        <v>-3358.4225043656397</v>
      </c>
      <c r="DE31" s="119">
        <f t="shared" si="51"/>
        <v>-2812.7953298120328</v>
      </c>
      <c r="DF31" s="119">
        <f t="shared" si="51"/>
        <v>0</v>
      </c>
      <c r="DG31" s="119">
        <f t="shared" si="51"/>
        <v>-1302.5959320801214</v>
      </c>
      <c r="DH31" s="119">
        <f t="shared" si="51"/>
        <v>0</v>
      </c>
      <c r="DI31" s="119">
        <f t="shared" si="51"/>
        <v>0</v>
      </c>
      <c r="DJ31" s="98">
        <f t="shared" si="35"/>
        <v>-56641.840508808142</v>
      </c>
      <c r="DK31" s="119">
        <f t="shared" si="52"/>
        <v>0</v>
      </c>
      <c r="DL31" s="119">
        <f t="shared" si="52"/>
        <v>-21511.997405802238</v>
      </c>
      <c r="DM31" s="119">
        <f t="shared" si="52"/>
        <v>-2501.8818717676618</v>
      </c>
      <c r="DN31" s="119">
        <f t="shared" si="52"/>
        <v>-2621.1723157080246</v>
      </c>
      <c r="DO31" s="119">
        <f t="shared" si="52"/>
        <v>-1576.6711339528022</v>
      </c>
      <c r="DP31" s="119">
        <f t="shared" si="52"/>
        <v>-17264.793006943975</v>
      </c>
      <c r="DQ31" s="119">
        <f t="shared" si="52"/>
        <v>-22459.55229489012</v>
      </c>
      <c r="DR31" s="119">
        <f t="shared" si="52"/>
        <v>-3534.0739672012014</v>
      </c>
      <c r="DS31" s="119">
        <f t="shared" si="52"/>
        <v>-7919.1080918567113</v>
      </c>
      <c r="DT31" s="119">
        <f t="shared" si="52"/>
        <v>0</v>
      </c>
      <c r="DU31" s="98">
        <f t="shared" si="36"/>
        <v>-79389.250088122732</v>
      </c>
      <c r="DV31" s="96">
        <f t="shared" si="37"/>
        <v>-79389.250088122732</v>
      </c>
      <c r="DW31" s="95"/>
      <c r="DX31" s="162">
        <f t="shared" ref="DX31:EM70" si="57">IFERROR(CK31/K31,0)</f>
        <v>0</v>
      </c>
      <c r="DY31" s="162">
        <f t="shared" si="57"/>
        <v>-0.80184714601516593</v>
      </c>
      <c r="DZ31" s="162">
        <f t="shared" si="57"/>
        <v>-0.80184714601516582</v>
      </c>
      <c r="EA31" s="162">
        <f t="shared" si="57"/>
        <v>0</v>
      </c>
      <c r="EB31" s="162">
        <f t="shared" si="57"/>
        <v>0</v>
      </c>
      <c r="EC31" s="162">
        <f t="shared" si="57"/>
        <v>0</v>
      </c>
      <c r="ED31" s="162">
        <f t="shared" si="57"/>
        <v>-0.80184714601516582</v>
      </c>
      <c r="EE31" s="162">
        <f t="shared" si="57"/>
        <v>-0.80184714601516593</v>
      </c>
      <c r="EF31" s="162">
        <f t="shared" si="57"/>
        <v>-0.80184714601516582</v>
      </c>
      <c r="EG31" s="162">
        <f t="shared" si="55"/>
        <v>-0.80184714601516593</v>
      </c>
      <c r="EH31" s="162">
        <f t="shared" si="55"/>
        <v>0</v>
      </c>
      <c r="EI31" s="162">
        <f t="shared" si="55"/>
        <v>0</v>
      </c>
      <c r="EJ31" s="163">
        <f t="shared" si="55"/>
        <v>-0.80184714601516605</v>
      </c>
      <c r="EK31" s="162">
        <f t="shared" si="55"/>
        <v>0</v>
      </c>
      <c r="EL31" s="162">
        <f t="shared" si="55"/>
        <v>-0.80184714601516582</v>
      </c>
      <c r="EM31" s="162">
        <f t="shared" si="55"/>
        <v>-0.8018471460151656</v>
      </c>
      <c r="EN31" s="162">
        <f t="shared" si="55"/>
        <v>-0.80184714601516582</v>
      </c>
      <c r="EO31" s="162">
        <f t="shared" si="55"/>
        <v>-0.80184714601516582</v>
      </c>
      <c r="EP31" s="162">
        <f t="shared" si="55"/>
        <v>-0.80184714601516605</v>
      </c>
      <c r="EQ31" s="162">
        <f t="shared" si="55"/>
        <v>-0.80184714601516605</v>
      </c>
      <c r="ER31" s="162">
        <f t="shared" si="55"/>
        <v>-0.80184714601516571</v>
      </c>
      <c r="ES31" s="162">
        <f t="shared" si="55"/>
        <v>0</v>
      </c>
      <c r="ET31" s="162">
        <f t="shared" si="55"/>
        <v>-0.80184714601516571</v>
      </c>
      <c r="EU31" s="162">
        <f t="shared" si="55"/>
        <v>0</v>
      </c>
      <c r="EV31" s="162">
        <f t="shared" si="55"/>
        <v>0</v>
      </c>
      <c r="EW31" s="163">
        <f t="shared" ref="EW31:FB70" si="58">IFERROR(DJ31/AJ31,0)</f>
        <v>-0.80184714601516571</v>
      </c>
      <c r="EX31" s="162">
        <f t="shared" si="58"/>
        <v>0</v>
      </c>
      <c r="EY31" s="162">
        <f t="shared" si="58"/>
        <v>-0.8018471460151656</v>
      </c>
      <c r="EZ31" s="162">
        <f t="shared" si="58"/>
        <v>-0.80184714601516582</v>
      </c>
      <c r="FA31" s="162">
        <f t="shared" si="58"/>
        <v>-0.80184714601516582</v>
      </c>
      <c r="FB31" s="162">
        <f t="shared" si="58"/>
        <v>-0.80184714601516582</v>
      </c>
      <c r="FC31" s="162">
        <f t="shared" si="56"/>
        <v>-0.80184714601516582</v>
      </c>
      <c r="FD31" s="162">
        <f t="shared" si="50"/>
        <v>-0.80184714601516593</v>
      </c>
      <c r="FE31" s="162">
        <f t="shared" si="50"/>
        <v>-0.80184714601516593</v>
      </c>
      <c r="FF31" s="162">
        <f t="shared" si="48"/>
        <v>-0.80184714601516582</v>
      </c>
      <c r="FG31" s="162">
        <f t="shared" si="48"/>
        <v>0</v>
      </c>
      <c r="FH31" s="163">
        <f t="shared" si="48"/>
        <v>-0.80184714601516593</v>
      </c>
      <c r="FI31" s="164">
        <f t="shared" si="48"/>
        <v>-0.80184714601516593</v>
      </c>
      <c r="FJ31" s="95"/>
      <c r="FK31" s="119">
        <v>0</v>
      </c>
      <c r="FL31" s="119">
        <v>0</v>
      </c>
      <c r="FM31" s="119">
        <v>0</v>
      </c>
      <c r="FN31" s="119">
        <v>0</v>
      </c>
      <c r="FO31" s="119">
        <v>0</v>
      </c>
      <c r="FP31" s="119">
        <v>0</v>
      </c>
      <c r="FQ31" s="119">
        <v>0</v>
      </c>
      <c r="FR31" s="119">
        <v>0</v>
      </c>
      <c r="FS31" s="119">
        <v>0</v>
      </c>
      <c r="FT31" s="119">
        <v>0</v>
      </c>
      <c r="FU31" s="119">
        <v>0</v>
      </c>
      <c r="FV31" s="119">
        <v>0</v>
      </c>
      <c r="FW31" s="98">
        <f t="shared" si="39"/>
        <v>0</v>
      </c>
      <c r="FX31" s="119">
        <v>23775.83</v>
      </c>
      <c r="FY31" s="119">
        <v>26588.47</v>
      </c>
      <c r="FZ31" s="119">
        <v>0</v>
      </c>
      <c r="GA31" s="119">
        <v>0</v>
      </c>
      <c r="GB31" s="119">
        <v>0</v>
      </c>
      <c r="GC31" s="119">
        <v>0</v>
      </c>
      <c r="GD31" s="119">
        <v>0</v>
      </c>
      <c r="GE31" s="119">
        <v>0</v>
      </c>
      <c r="GF31" s="119">
        <v>0</v>
      </c>
      <c r="GG31" s="119">
        <v>0</v>
      </c>
      <c r="GH31" s="119">
        <v>0</v>
      </c>
      <c r="GI31" s="119">
        <v>0</v>
      </c>
      <c r="GJ31" s="98">
        <f t="shared" si="40"/>
        <v>50364.3</v>
      </c>
      <c r="GK31" s="119">
        <v>0</v>
      </c>
      <c r="GL31" s="119">
        <v>0</v>
      </c>
      <c r="GM31" s="119">
        <v>0</v>
      </c>
      <c r="GN31" s="119">
        <v>0</v>
      </c>
      <c r="GO31" s="119">
        <v>0</v>
      </c>
      <c r="GP31" s="119">
        <v>0</v>
      </c>
      <c r="GQ31" s="119">
        <v>0</v>
      </c>
      <c r="GR31" s="119">
        <v>149855.93</v>
      </c>
      <c r="GS31" s="119">
        <v>0</v>
      </c>
      <c r="GT31" s="119">
        <v>0</v>
      </c>
      <c r="GU31" s="98">
        <f t="shared" si="41"/>
        <v>149855.93</v>
      </c>
      <c r="GV31" s="96">
        <f t="shared" si="42"/>
        <v>149855.93</v>
      </c>
      <c r="GW31" s="95"/>
      <c r="GX31" s="119">
        <f t="shared" si="43"/>
        <v>0</v>
      </c>
      <c r="GY31" s="119">
        <f t="shared" si="43"/>
        <v>6392.0682869639259</v>
      </c>
      <c r="GZ31" s="119">
        <f t="shared" si="43"/>
        <v>2043.0145854164571</v>
      </c>
      <c r="HA31" s="119">
        <f t="shared" si="43"/>
        <v>0</v>
      </c>
      <c r="HB31" s="119">
        <f t="shared" si="43"/>
        <v>0</v>
      </c>
      <c r="HC31" s="119">
        <f t="shared" si="43"/>
        <v>0</v>
      </c>
      <c r="HD31" s="119">
        <f t="shared" si="43"/>
        <v>9572.5600465861189</v>
      </c>
      <c r="HE31" s="119">
        <f t="shared" si="43"/>
        <v>3496.0845674014668</v>
      </c>
      <c r="HF31" s="119">
        <f t="shared" si="43"/>
        <v>124.61656389476562</v>
      </c>
      <c r="HG31" s="119">
        <f t="shared" si="43"/>
        <v>8944.7265466680983</v>
      </c>
      <c r="HH31" s="119">
        <f t="shared" si="43"/>
        <v>0</v>
      </c>
      <c r="HI31" s="119">
        <f t="shared" si="43"/>
        <v>0</v>
      </c>
      <c r="HJ31" s="98">
        <f t="shared" si="44"/>
        <v>30573.070596930829</v>
      </c>
      <c r="HK31" s="119">
        <f t="shared" si="53"/>
        <v>-23775.83</v>
      </c>
      <c r="HL31" s="119">
        <f t="shared" si="53"/>
        <v>-26459.352499375982</v>
      </c>
      <c r="HM31" s="119">
        <f t="shared" si="53"/>
        <v>50370.904213889466</v>
      </c>
      <c r="HN31" s="119">
        <f t="shared" si="53"/>
        <v>526.37650318869896</v>
      </c>
      <c r="HO31" s="119">
        <f t="shared" si="53"/>
        <v>832.68439463253537</v>
      </c>
      <c r="HP31" s="119">
        <f t="shared" si="53"/>
        <v>9459.3706451149428</v>
      </c>
      <c r="HQ31" s="119">
        <f t="shared" si="53"/>
        <v>4188.35749563436</v>
      </c>
      <c r="HR31" s="119">
        <f t="shared" si="53"/>
        <v>3507.8946701879677</v>
      </c>
      <c r="HS31" s="119">
        <f t="shared" si="53"/>
        <v>0</v>
      </c>
      <c r="HT31" s="119">
        <f t="shared" si="53"/>
        <v>1624.4940679198787</v>
      </c>
      <c r="HU31" s="119">
        <f t="shared" si="53"/>
        <v>0</v>
      </c>
      <c r="HV31" s="119">
        <f t="shared" si="53"/>
        <v>0</v>
      </c>
      <c r="HW31" s="98">
        <f t="shared" si="45"/>
        <v>20274.899491191867</v>
      </c>
      <c r="HX31" s="119">
        <f t="shared" si="54"/>
        <v>0</v>
      </c>
      <c r="HY31" s="119">
        <f t="shared" si="54"/>
        <v>26828.052594197765</v>
      </c>
      <c r="HZ31" s="119">
        <f t="shared" si="54"/>
        <v>3120.148128232338</v>
      </c>
      <c r="IA31" s="119">
        <f t="shared" si="54"/>
        <v>3268.9176842919746</v>
      </c>
      <c r="IB31" s="119">
        <f t="shared" si="54"/>
        <v>1966.2988660471976</v>
      </c>
      <c r="IC31" s="119">
        <f t="shared" si="54"/>
        <v>21531.276993056024</v>
      </c>
      <c r="ID31" s="119">
        <f t="shared" si="54"/>
        <v>28009.76770510988</v>
      </c>
      <c r="IE31" s="119">
        <f t="shared" si="54"/>
        <v>-145448.5139672012</v>
      </c>
      <c r="IF31" s="119">
        <f t="shared" si="54"/>
        <v>9876.081908143291</v>
      </c>
      <c r="IG31" s="119">
        <f t="shared" si="54"/>
        <v>0</v>
      </c>
      <c r="IH31" s="98">
        <f t="shared" si="46"/>
        <v>-50847.97008812274</v>
      </c>
      <c r="II31" s="96">
        <f t="shared" si="47"/>
        <v>-50847.97008812274</v>
      </c>
    </row>
    <row r="32" spans="2:243" x14ac:dyDescent="0.2">
      <c r="B32" s="101" t="s">
        <v>325</v>
      </c>
      <c r="C32" s="89" t="s">
        <v>326</v>
      </c>
      <c r="D32" s="89" t="str">
        <f>_xlfn.IFNA(INDEX('4. WIP Report (Oct-25)'!D:D,MATCH('7. POC Lookback Summary'!$B32,'4. WIP Report (Oct-25)'!$B:$B,0)),INDEX('5. Completed Jobs'!D:D,MATCH('7. POC Lookback Summary'!$B32,'5. Completed Jobs'!$B:$B,0)))</f>
        <v>University Facilities</v>
      </c>
      <c r="E32" s="89" t="str">
        <f>_xlfn.IFNA(INDEX('4. WIP Report (Oct-25)'!E:E,MATCH('7. POC Lookback Summary'!$B32,'4. WIP Report (Oct-25)'!$B:$B,0)),INDEX('5. Completed Jobs'!E:E,MATCH('7. POC Lookback Summary'!$B32,'5. Completed Jobs'!$B:$B,0)))</f>
        <v>Sprinkler Installation</v>
      </c>
      <c r="F32" s="89" t="str">
        <f>_xlfn.IFNA(INDEX('4. WIP Report (Oct-25)'!F:F,MATCH('7. POC Lookback Summary'!$B32,'4. WIP Report (Oct-25)'!$B:$B,0)),INDEX('5. Completed Jobs'!F:F,MATCH('7. POC Lookback Summary'!$B32,'5. Completed Jobs'!$B:$B,0)))</f>
        <v>Infrastructure</v>
      </c>
      <c r="G32" s="89" t="str">
        <f>_xlfn.IFNA(INDEX('4. WIP Report (Oct-25)'!G:G,MATCH('7. POC Lookback Summary'!$B32,'4. WIP Report (Oct-25)'!$B:$B,0)),INDEX('5. Completed Jobs'!G:G,MATCH('7. POC Lookback Summary'!$B32,'5. Completed Jobs'!$B:$B,0)))</f>
        <v>Municipality</v>
      </c>
      <c r="H32" s="89" t="str">
        <f>_xlfn.IFNA(INDEX('4. WIP Report (Oct-25)'!H:H,MATCH('7. POC Lookback Summary'!$B32,'4. WIP Report (Oct-25)'!$B:$B,0)),INDEX('5. Completed Jobs'!H:H,MATCH('7. POC Lookback Summary'!$B32,'5. Completed Jobs'!$B:$B,0)))</f>
        <v>New Construction</v>
      </c>
      <c r="J32" s="95"/>
      <c r="K32" s="119">
        <v>5150.9371557732711</v>
      </c>
      <c r="L32" s="119">
        <v>5471.0634626843967</v>
      </c>
      <c r="M32" s="119">
        <v>6025.5162332502823</v>
      </c>
      <c r="N32" s="119">
        <v>765.67287363860362</v>
      </c>
      <c r="O32" s="119">
        <v>23193.492204005004</v>
      </c>
      <c r="P32" s="119">
        <v>0</v>
      </c>
      <c r="Q32" s="119">
        <v>0</v>
      </c>
      <c r="R32" s="119">
        <v>36752.980471240771</v>
      </c>
      <c r="S32" s="119">
        <v>10729.192157209656</v>
      </c>
      <c r="T32" s="119">
        <v>2038.0708983987763</v>
      </c>
      <c r="U32" s="119">
        <v>763.85832514909168</v>
      </c>
      <c r="V32" s="119">
        <v>0</v>
      </c>
      <c r="W32" s="98">
        <f t="shared" si="25"/>
        <v>90890.783781349848</v>
      </c>
      <c r="X32" s="119">
        <v>260.52920973266396</v>
      </c>
      <c r="Y32" s="119">
        <v>395.65480688282588</v>
      </c>
      <c r="Z32" s="119">
        <v>0</v>
      </c>
      <c r="AA32" s="119">
        <v>11203.937972107813</v>
      </c>
      <c r="AB32" s="119">
        <v>5093.9203798413628</v>
      </c>
      <c r="AC32" s="119">
        <v>653.50381196584385</v>
      </c>
      <c r="AD32" s="119">
        <v>11928.259116866164</v>
      </c>
      <c r="AE32" s="119">
        <v>0</v>
      </c>
      <c r="AF32" s="119">
        <v>30682.083878518846</v>
      </c>
      <c r="AG32" s="119">
        <v>0</v>
      </c>
      <c r="AH32" s="119">
        <v>0</v>
      </c>
      <c r="AI32" s="119">
        <v>0</v>
      </c>
      <c r="AJ32" s="98">
        <f t="shared" si="26"/>
        <v>60217.889175915523</v>
      </c>
      <c r="AK32" s="119">
        <v>0</v>
      </c>
      <c r="AL32" s="119">
        <v>0</v>
      </c>
      <c r="AM32" s="119">
        <v>96004.947197551257</v>
      </c>
      <c r="AN32" s="119">
        <v>789.34524017150136</v>
      </c>
      <c r="AO32" s="119">
        <v>0</v>
      </c>
      <c r="AP32" s="119">
        <v>0</v>
      </c>
      <c r="AQ32" s="119">
        <v>1506.6246050118393</v>
      </c>
      <c r="AR32" s="119">
        <v>0</v>
      </c>
      <c r="AS32" s="119">
        <v>0</v>
      </c>
      <c r="AT32" s="119">
        <v>0</v>
      </c>
      <c r="AU32" s="98">
        <f t="shared" si="27"/>
        <v>98300.917042734596</v>
      </c>
      <c r="AV32" s="96">
        <f t="shared" si="28"/>
        <v>98300.917042734596</v>
      </c>
      <c r="AW32" s="95"/>
      <c r="AX32" s="119">
        <v>3094.17</v>
      </c>
      <c r="AY32" s="119">
        <v>3286.47</v>
      </c>
      <c r="AZ32" s="119">
        <v>3619.5299999999997</v>
      </c>
      <c r="BA32" s="119">
        <v>459.94</v>
      </c>
      <c r="BB32" s="119">
        <v>13932.339999999998</v>
      </c>
      <c r="BC32" s="119">
        <v>0</v>
      </c>
      <c r="BD32" s="119">
        <v>0</v>
      </c>
      <c r="BE32" s="119">
        <v>22077.53</v>
      </c>
      <c r="BF32" s="119">
        <v>6445.03</v>
      </c>
      <c r="BG32" s="119">
        <v>1224.27</v>
      </c>
      <c r="BH32" s="119">
        <v>458.84999999999997</v>
      </c>
      <c r="BI32" s="119">
        <v>0</v>
      </c>
      <c r="BJ32" s="98">
        <f t="shared" si="29"/>
        <v>54598.12999999999</v>
      </c>
      <c r="BK32" s="119">
        <v>156.5</v>
      </c>
      <c r="BL32" s="119">
        <v>237.67000000000002</v>
      </c>
      <c r="BM32" s="119">
        <v>0</v>
      </c>
      <c r="BN32" s="119">
        <v>6730.2100000000009</v>
      </c>
      <c r="BO32" s="119">
        <v>3059.92</v>
      </c>
      <c r="BP32" s="119">
        <v>392.56</v>
      </c>
      <c r="BQ32" s="119">
        <v>7165.31</v>
      </c>
      <c r="BR32" s="119">
        <v>0</v>
      </c>
      <c r="BS32" s="119">
        <v>18430.740000000002</v>
      </c>
      <c r="BT32" s="119">
        <v>0</v>
      </c>
      <c r="BU32" s="119">
        <v>0</v>
      </c>
      <c r="BV32" s="119">
        <v>0</v>
      </c>
      <c r="BW32" s="98">
        <f t="shared" si="30"/>
        <v>36172.910000000003</v>
      </c>
      <c r="BX32" s="119">
        <v>0</v>
      </c>
      <c r="BY32" s="119">
        <v>0</v>
      </c>
      <c r="BZ32" s="119">
        <v>57670.209999999992</v>
      </c>
      <c r="CA32" s="119">
        <v>474.16</v>
      </c>
      <c r="CB32" s="119">
        <v>0</v>
      </c>
      <c r="CC32" s="119">
        <v>0</v>
      </c>
      <c r="CD32" s="119">
        <v>905.03</v>
      </c>
      <c r="CE32" s="119">
        <v>0</v>
      </c>
      <c r="CF32" s="119">
        <v>0</v>
      </c>
      <c r="CG32" s="119">
        <v>0</v>
      </c>
      <c r="CH32" s="98">
        <f t="shared" si="31"/>
        <v>59049.399999999994</v>
      </c>
      <c r="CI32" s="96">
        <f t="shared" si="32"/>
        <v>59049.399999999994</v>
      </c>
      <c r="CJ32" s="95"/>
      <c r="CK32" s="119">
        <f t="shared" si="33"/>
        <v>2056.767155773271</v>
      </c>
      <c r="CL32" s="119">
        <f t="shared" si="33"/>
        <v>2184.5934626843969</v>
      </c>
      <c r="CM32" s="119">
        <f t="shared" si="33"/>
        <v>2405.9862332502826</v>
      </c>
      <c r="CN32" s="119">
        <f t="shared" si="33"/>
        <v>305.73287363860362</v>
      </c>
      <c r="CO32" s="119">
        <f t="shared" si="33"/>
        <v>9261.1522040050058</v>
      </c>
      <c r="CP32" s="119">
        <f t="shared" si="33"/>
        <v>0</v>
      </c>
      <c r="CQ32" s="119">
        <f t="shared" si="33"/>
        <v>0</v>
      </c>
      <c r="CR32" s="119">
        <f t="shared" si="33"/>
        <v>14675.450471240772</v>
      </c>
      <c r="CS32" s="119">
        <f t="shared" si="33"/>
        <v>4284.1621572096565</v>
      </c>
      <c r="CT32" s="119">
        <f t="shared" si="33"/>
        <v>813.80089839877633</v>
      </c>
      <c r="CU32" s="119">
        <f t="shared" si="33"/>
        <v>305.00832514909172</v>
      </c>
      <c r="CV32" s="119">
        <f t="shared" si="33"/>
        <v>0</v>
      </c>
      <c r="CW32" s="98">
        <f t="shared" si="34"/>
        <v>36292.653781349858</v>
      </c>
      <c r="CX32" s="119">
        <f t="shared" si="51"/>
        <v>104.02920973266396</v>
      </c>
      <c r="CY32" s="119">
        <f t="shared" si="51"/>
        <v>157.98480688282586</v>
      </c>
      <c r="CZ32" s="119">
        <f t="shared" si="51"/>
        <v>0</v>
      </c>
      <c r="DA32" s="119">
        <f t="shared" si="51"/>
        <v>4473.7279721078121</v>
      </c>
      <c r="DB32" s="119">
        <f t="shared" si="51"/>
        <v>2034.0003798413627</v>
      </c>
      <c r="DC32" s="119">
        <f t="shared" si="51"/>
        <v>260.94381196584385</v>
      </c>
      <c r="DD32" s="119">
        <f t="shared" si="51"/>
        <v>4762.9491168661634</v>
      </c>
      <c r="DE32" s="119">
        <f t="shared" si="51"/>
        <v>0</v>
      </c>
      <c r="DF32" s="119">
        <f t="shared" si="51"/>
        <v>12251.343878518845</v>
      </c>
      <c r="DG32" s="119">
        <f t="shared" si="51"/>
        <v>0</v>
      </c>
      <c r="DH32" s="119">
        <f t="shared" si="51"/>
        <v>0</v>
      </c>
      <c r="DI32" s="119">
        <f t="shared" si="51"/>
        <v>0</v>
      </c>
      <c r="DJ32" s="98">
        <f t="shared" si="35"/>
        <v>24044.979175915516</v>
      </c>
      <c r="DK32" s="119">
        <f t="shared" si="52"/>
        <v>0</v>
      </c>
      <c r="DL32" s="119">
        <f t="shared" si="52"/>
        <v>0</v>
      </c>
      <c r="DM32" s="119">
        <f t="shared" si="52"/>
        <v>38334.737197551265</v>
      </c>
      <c r="DN32" s="119">
        <f t="shared" si="52"/>
        <v>315.18524017150133</v>
      </c>
      <c r="DO32" s="119">
        <f t="shared" si="52"/>
        <v>0</v>
      </c>
      <c r="DP32" s="119">
        <f t="shared" si="52"/>
        <v>0</v>
      </c>
      <c r="DQ32" s="119">
        <f t="shared" si="52"/>
        <v>601.59460501183935</v>
      </c>
      <c r="DR32" s="119">
        <f t="shared" si="52"/>
        <v>0</v>
      </c>
      <c r="DS32" s="119">
        <f t="shared" si="52"/>
        <v>0</v>
      </c>
      <c r="DT32" s="119">
        <f t="shared" si="52"/>
        <v>0</v>
      </c>
      <c r="DU32" s="98">
        <f t="shared" si="36"/>
        <v>39251.517042734602</v>
      </c>
      <c r="DV32" s="96">
        <f t="shared" si="37"/>
        <v>39251.517042734602</v>
      </c>
      <c r="DW32" s="95"/>
      <c r="DX32" s="162">
        <f t="shared" si="57"/>
        <v>0.39929960191185915</v>
      </c>
      <c r="DY32" s="162">
        <f t="shared" si="57"/>
        <v>0.39929960191185909</v>
      </c>
      <c r="DZ32" s="162">
        <f t="shared" si="57"/>
        <v>0.39929960191185909</v>
      </c>
      <c r="EA32" s="162">
        <f t="shared" si="57"/>
        <v>0.39929960191185909</v>
      </c>
      <c r="EB32" s="162">
        <f t="shared" si="57"/>
        <v>0.39929960191185909</v>
      </c>
      <c r="EC32" s="162">
        <f t="shared" si="57"/>
        <v>0</v>
      </c>
      <c r="ED32" s="162">
        <f t="shared" si="57"/>
        <v>0</v>
      </c>
      <c r="EE32" s="162">
        <f t="shared" si="57"/>
        <v>0.39929960191185915</v>
      </c>
      <c r="EF32" s="162">
        <f t="shared" si="57"/>
        <v>0.39929960191185909</v>
      </c>
      <c r="EG32" s="162">
        <f t="shared" si="55"/>
        <v>0.39929960191185904</v>
      </c>
      <c r="EH32" s="162">
        <f t="shared" si="55"/>
        <v>0.39929960191185909</v>
      </c>
      <c r="EI32" s="162">
        <f t="shared" si="55"/>
        <v>0</v>
      </c>
      <c r="EJ32" s="163">
        <f t="shared" si="55"/>
        <v>0.39929960191185915</v>
      </c>
      <c r="EK32" s="162">
        <f t="shared" si="55"/>
        <v>0.39929960191185909</v>
      </c>
      <c r="EL32" s="162">
        <f t="shared" si="55"/>
        <v>0.39929960191185909</v>
      </c>
      <c r="EM32" s="162">
        <f t="shared" si="55"/>
        <v>0</v>
      </c>
      <c r="EN32" s="162">
        <f t="shared" si="55"/>
        <v>0.39929960191185915</v>
      </c>
      <c r="EO32" s="162">
        <f t="shared" si="55"/>
        <v>0.3992996019118592</v>
      </c>
      <c r="EP32" s="162">
        <f t="shared" si="55"/>
        <v>0.39929960191185904</v>
      </c>
      <c r="EQ32" s="162">
        <f t="shared" si="55"/>
        <v>0.39929960191185909</v>
      </c>
      <c r="ER32" s="162">
        <f t="shared" si="55"/>
        <v>0</v>
      </c>
      <c r="ES32" s="162">
        <f t="shared" si="55"/>
        <v>0.39929960191185909</v>
      </c>
      <c r="ET32" s="162">
        <f t="shared" si="55"/>
        <v>0</v>
      </c>
      <c r="EU32" s="162">
        <f t="shared" si="55"/>
        <v>0</v>
      </c>
      <c r="EV32" s="162">
        <f t="shared" si="55"/>
        <v>0</v>
      </c>
      <c r="EW32" s="163">
        <f t="shared" si="58"/>
        <v>0.39929960191185909</v>
      </c>
      <c r="EX32" s="162">
        <f t="shared" si="58"/>
        <v>0</v>
      </c>
      <c r="EY32" s="162">
        <f t="shared" si="58"/>
        <v>0</v>
      </c>
      <c r="EZ32" s="162">
        <f t="shared" si="58"/>
        <v>0.39929960191185904</v>
      </c>
      <c r="FA32" s="162">
        <f t="shared" si="58"/>
        <v>0.39929960191185915</v>
      </c>
      <c r="FB32" s="162">
        <f t="shared" si="58"/>
        <v>0</v>
      </c>
      <c r="FC32" s="162">
        <f t="shared" si="56"/>
        <v>0</v>
      </c>
      <c r="FD32" s="162">
        <f t="shared" si="50"/>
        <v>0.39929960191185909</v>
      </c>
      <c r="FE32" s="162">
        <f t="shared" si="50"/>
        <v>0</v>
      </c>
      <c r="FF32" s="162">
        <f t="shared" si="48"/>
        <v>0</v>
      </c>
      <c r="FG32" s="162">
        <f t="shared" si="48"/>
        <v>0</v>
      </c>
      <c r="FH32" s="163">
        <f t="shared" si="48"/>
        <v>0.39929960191185904</v>
      </c>
      <c r="FI32" s="164">
        <f t="shared" si="48"/>
        <v>0.39929960191185904</v>
      </c>
      <c r="FJ32" s="95"/>
      <c r="FK32" s="119">
        <v>0</v>
      </c>
      <c r="FL32" s="119">
        <v>0</v>
      </c>
      <c r="FM32" s="119">
        <v>0</v>
      </c>
      <c r="FN32" s="119">
        <v>0</v>
      </c>
      <c r="FO32" s="119">
        <v>0</v>
      </c>
      <c r="FP32" s="119">
        <v>0</v>
      </c>
      <c r="FQ32" s="119">
        <v>0</v>
      </c>
      <c r="FR32" s="119">
        <v>0</v>
      </c>
      <c r="FS32" s="119">
        <v>0</v>
      </c>
      <c r="FT32" s="119">
        <v>0</v>
      </c>
      <c r="FU32" s="119">
        <v>0</v>
      </c>
      <c r="FV32" s="119">
        <v>0</v>
      </c>
      <c r="FW32" s="98">
        <f t="shared" si="39"/>
        <v>0</v>
      </c>
      <c r="FX32" s="119">
        <v>0</v>
      </c>
      <c r="FY32" s="119">
        <v>0</v>
      </c>
      <c r="FZ32" s="119">
        <v>0</v>
      </c>
      <c r="GA32" s="119">
        <v>0</v>
      </c>
      <c r="GB32" s="119">
        <v>0</v>
      </c>
      <c r="GC32" s="119">
        <v>0</v>
      </c>
      <c r="GD32" s="119">
        <v>0</v>
      </c>
      <c r="GE32" s="119">
        <v>0</v>
      </c>
      <c r="GF32" s="119">
        <v>0</v>
      </c>
      <c r="GG32" s="119">
        <v>55572.75</v>
      </c>
      <c r="GH32" s="119">
        <v>0</v>
      </c>
      <c r="GI32" s="119">
        <v>0</v>
      </c>
      <c r="GJ32" s="98">
        <f t="shared" si="40"/>
        <v>55572.75</v>
      </c>
      <c r="GK32" s="119">
        <v>0</v>
      </c>
      <c r="GL32" s="119">
        <v>0</v>
      </c>
      <c r="GM32" s="119">
        <v>154374.44</v>
      </c>
      <c r="GN32" s="119">
        <v>0</v>
      </c>
      <c r="GO32" s="119">
        <v>6200.28</v>
      </c>
      <c r="GP32" s="119">
        <v>2336.88</v>
      </c>
      <c r="GQ32" s="119">
        <v>0</v>
      </c>
      <c r="GR32" s="119">
        <v>0</v>
      </c>
      <c r="GS32" s="119">
        <v>30925.239999999998</v>
      </c>
      <c r="GT32" s="119">
        <v>0</v>
      </c>
      <c r="GU32" s="98">
        <f t="shared" si="41"/>
        <v>193836.84</v>
      </c>
      <c r="GV32" s="96">
        <f t="shared" si="42"/>
        <v>193836.84</v>
      </c>
      <c r="GW32" s="95"/>
      <c r="GX32" s="119">
        <f t="shared" si="43"/>
        <v>5150.9371557732711</v>
      </c>
      <c r="GY32" s="119">
        <f t="shared" si="43"/>
        <v>5471.0634626843967</v>
      </c>
      <c r="GZ32" s="119">
        <f t="shared" si="43"/>
        <v>6025.5162332502823</v>
      </c>
      <c r="HA32" s="119">
        <f t="shared" si="43"/>
        <v>765.67287363860362</v>
      </c>
      <c r="HB32" s="119">
        <f t="shared" si="43"/>
        <v>23193.492204005004</v>
      </c>
      <c r="HC32" s="119">
        <f t="shared" si="43"/>
        <v>0</v>
      </c>
      <c r="HD32" s="119">
        <f t="shared" si="43"/>
        <v>0</v>
      </c>
      <c r="HE32" s="119">
        <f t="shared" si="43"/>
        <v>36752.980471240771</v>
      </c>
      <c r="HF32" s="119">
        <f t="shared" si="43"/>
        <v>10729.192157209656</v>
      </c>
      <c r="HG32" s="119">
        <f t="shared" si="43"/>
        <v>2038.0708983987763</v>
      </c>
      <c r="HH32" s="119">
        <f t="shared" si="43"/>
        <v>763.85832514909168</v>
      </c>
      <c r="HI32" s="119">
        <f t="shared" si="43"/>
        <v>0</v>
      </c>
      <c r="HJ32" s="98">
        <f t="shared" si="44"/>
        <v>90890.783781349848</v>
      </c>
      <c r="HK32" s="119">
        <f t="shared" si="53"/>
        <v>260.52920973266396</v>
      </c>
      <c r="HL32" s="119">
        <f t="shared" si="53"/>
        <v>395.65480688282588</v>
      </c>
      <c r="HM32" s="119">
        <f t="shared" si="53"/>
        <v>0</v>
      </c>
      <c r="HN32" s="119">
        <f t="shared" si="53"/>
        <v>11203.937972107813</v>
      </c>
      <c r="HO32" s="119">
        <f t="shared" si="53"/>
        <v>5093.9203798413628</v>
      </c>
      <c r="HP32" s="119">
        <f t="shared" si="53"/>
        <v>653.50381196584385</v>
      </c>
      <c r="HQ32" s="119">
        <f t="shared" si="53"/>
        <v>11928.259116866164</v>
      </c>
      <c r="HR32" s="119">
        <f t="shared" si="53"/>
        <v>0</v>
      </c>
      <c r="HS32" s="119">
        <f t="shared" si="53"/>
        <v>30682.083878518846</v>
      </c>
      <c r="HT32" s="119">
        <f t="shared" si="53"/>
        <v>-55572.75</v>
      </c>
      <c r="HU32" s="119">
        <f t="shared" si="53"/>
        <v>0</v>
      </c>
      <c r="HV32" s="119">
        <f t="shared" si="53"/>
        <v>0</v>
      </c>
      <c r="HW32" s="98">
        <f t="shared" si="45"/>
        <v>4645.1391759155231</v>
      </c>
      <c r="HX32" s="119">
        <f t="shared" si="54"/>
        <v>0</v>
      </c>
      <c r="HY32" s="119">
        <f t="shared" si="54"/>
        <v>0</v>
      </c>
      <c r="HZ32" s="119">
        <f t="shared" si="54"/>
        <v>-58369.492802448745</v>
      </c>
      <c r="IA32" s="119">
        <f t="shared" si="54"/>
        <v>789.34524017150136</v>
      </c>
      <c r="IB32" s="119">
        <f t="shared" si="54"/>
        <v>-6200.28</v>
      </c>
      <c r="IC32" s="119">
        <f t="shared" si="54"/>
        <v>-2336.88</v>
      </c>
      <c r="ID32" s="119">
        <f t="shared" si="54"/>
        <v>1506.6246050118393</v>
      </c>
      <c r="IE32" s="119">
        <f t="shared" si="54"/>
        <v>0</v>
      </c>
      <c r="IF32" s="119">
        <f t="shared" si="54"/>
        <v>-30925.239999999998</v>
      </c>
      <c r="IG32" s="119">
        <f t="shared" si="54"/>
        <v>0</v>
      </c>
      <c r="IH32" s="98">
        <f t="shared" si="46"/>
        <v>-95535.9229572654</v>
      </c>
      <c r="II32" s="96">
        <f t="shared" si="47"/>
        <v>-95535.9229572654</v>
      </c>
    </row>
    <row r="33" spans="2:243" x14ac:dyDescent="0.2">
      <c r="B33" s="101" t="s">
        <v>225</v>
      </c>
      <c r="C33" s="89" t="s">
        <v>226</v>
      </c>
      <c r="D33" s="89" t="str">
        <f>_xlfn.IFNA(INDEX('4. WIP Report (Oct-25)'!D:D,MATCH('7. POC Lookback Summary'!$B33,'4. WIP Report (Oct-25)'!$B:$B,0)),INDEX('5. Completed Jobs'!D:D,MATCH('7. POC Lookback Summary'!$B33,'5. Completed Jobs'!$B:$B,0)))</f>
        <v>General Contractor - Smith Bros</v>
      </c>
      <c r="E33" s="89" t="str">
        <f>_xlfn.IFNA(INDEX('4. WIP Report (Oct-25)'!E:E,MATCH('7. POC Lookback Summary'!$B33,'4. WIP Report (Oct-25)'!$B:$B,0)),INDEX('5. Completed Jobs'!E:E,MATCH('7. POC Lookback Summary'!$B33,'5. Completed Jobs'!$B:$B,0)))</f>
        <v>Sprinkler Installation</v>
      </c>
      <c r="F33" s="89" t="str">
        <f>_xlfn.IFNA(INDEX('4. WIP Report (Oct-25)'!F:F,MATCH('7. POC Lookback Summary'!$B33,'4. WIP Report (Oct-25)'!$B:$B,0)),INDEX('5. Completed Jobs'!F:F,MATCH('7. POC Lookback Summary'!$B33,'5. Completed Jobs'!$B:$B,0)))</f>
        <v>Higher Education</v>
      </c>
      <c r="G33" s="89" t="str">
        <f>_xlfn.IFNA(INDEX('4. WIP Report (Oct-25)'!G:G,MATCH('7. POC Lookback Summary'!$B33,'4. WIP Report (Oct-25)'!$B:$B,0)),INDEX('5. Completed Jobs'!G:G,MATCH('7. POC Lookback Summary'!$B33,'5. Completed Jobs'!$B:$B,0)))</f>
        <v>General Contractor</v>
      </c>
      <c r="H33" s="89" t="str">
        <f>_xlfn.IFNA(INDEX('4. WIP Report (Oct-25)'!H:H,MATCH('7. POC Lookback Summary'!$B33,'4. WIP Report (Oct-25)'!$B:$B,0)),INDEX('5. Completed Jobs'!H:H,MATCH('7. POC Lookback Summary'!$B33,'5. Completed Jobs'!$B:$B,0)))</f>
        <v>Retrofit</v>
      </c>
      <c r="J33" s="95"/>
      <c r="K33" s="119">
        <v>2754.9749999999999</v>
      </c>
      <c r="L33" s="119">
        <v>41190.024999999994</v>
      </c>
      <c r="M33" s="119">
        <v>7093.9125000000004</v>
      </c>
      <c r="N33" s="119">
        <v>7627.875</v>
      </c>
      <c r="O33" s="119">
        <v>16245.2125</v>
      </c>
      <c r="P33" s="119">
        <v>69353.4375</v>
      </c>
      <c r="Q33" s="119">
        <v>7754.4624999999987</v>
      </c>
      <c r="R33" s="119">
        <v>4852.1500000000005</v>
      </c>
      <c r="S33" s="119">
        <v>131067.53750000001</v>
      </c>
      <c r="T33" s="119">
        <v>0</v>
      </c>
      <c r="U33" s="119">
        <v>3630.7</v>
      </c>
      <c r="V33" s="119">
        <v>12539.525</v>
      </c>
      <c r="W33" s="98">
        <f t="shared" si="25"/>
        <v>304109.81250000006</v>
      </c>
      <c r="X33" s="119">
        <v>147.92500000000001</v>
      </c>
      <c r="Y33" s="119">
        <v>336.46249999999998</v>
      </c>
      <c r="Z33" s="119">
        <v>0</v>
      </c>
      <c r="AA33" s="119">
        <v>1663.75</v>
      </c>
      <c r="AB33" s="119">
        <v>0</v>
      </c>
      <c r="AC33" s="119">
        <v>410.27500000000003</v>
      </c>
      <c r="AD33" s="119">
        <v>0</v>
      </c>
      <c r="AE33" s="119">
        <v>20260.225000000002</v>
      </c>
      <c r="AF33" s="119">
        <v>1280.1625000000001</v>
      </c>
      <c r="AG33" s="119">
        <v>0</v>
      </c>
      <c r="AH33" s="119">
        <v>7221.95</v>
      </c>
      <c r="AI33" s="119">
        <v>0</v>
      </c>
      <c r="AJ33" s="98">
        <f t="shared" si="26"/>
        <v>31320.75</v>
      </c>
      <c r="AK33" s="119">
        <v>2063.4625000000001</v>
      </c>
      <c r="AL33" s="119">
        <v>0</v>
      </c>
      <c r="AM33" s="119">
        <v>1332.3750000000002</v>
      </c>
      <c r="AN33" s="119">
        <v>46407.6</v>
      </c>
      <c r="AO33" s="119">
        <v>3323.3</v>
      </c>
      <c r="AP33" s="119">
        <v>1406.3625000000002</v>
      </c>
      <c r="AQ33" s="119">
        <v>11654.95</v>
      </c>
      <c r="AR33" s="119">
        <v>36985.387499999997</v>
      </c>
      <c r="AS33" s="119">
        <v>0</v>
      </c>
      <c r="AT33" s="119">
        <v>23662.512499999997</v>
      </c>
      <c r="AU33" s="98">
        <f t="shared" si="27"/>
        <v>126835.95</v>
      </c>
      <c r="AV33" s="96">
        <f t="shared" si="28"/>
        <v>134057.9</v>
      </c>
      <c r="AW33" s="95"/>
      <c r="AX33" s="119">
        <v>2203.98</v>
      </c>
      <c r="AY33" s="119">
        <v>32952.019999999997</v>
      </c>
      <c r="AZ33" s="119">
        <v>5675.13</v>
      </c>
      <c r="BA33" s="119">
        <v>6102.3</v>
      </c>
      <c r="BB33" s="119">
        <v>12996.17</v>
      </c>
      <c r="BC33" s="119">
        <v>55482.75</v>
      </c>
      <c r="BD33" s="119">
        <v>6203.5699999999988</v>
      </c>
      <c r="BE33" s="119">
        <v>3881.7200000000003</v>
      </c>
      <c r="BF33" s="119">
        <v>104854.03</v>
      </c>
      <c r="BG33" s="119">
        <v>0</v>
      </c>
      <c r="BH33" s="119">
        <v>2904.56</v>
      </c>
      <c r="BI33" s="119">
        <v>10031.619999999999</v>
      </c>
      <c r="BJ33" s="98">
        <f t="shared" si="29"/>
        <v>243287.84999999998</v>
      </c>
      <c r="BK33" s="119">
        <v>118.34</v>
      </c>
      <c r="BL33" s="119">
        <v>269.17</v>
      </c>
      <c r="BM33" s="119">
        <v>0</v>
      </c>
      <c r="BN33" s="119">
        <v>1331</v>
      </c>
      <c r="BO33" s="119">
        <v>0</v>
      </c>
      <c r="BP33" s="119">
        <v>328.22</v>
      </c>
      <c r="BQ33" s="119">
        <v>0</v>
      </c>
      <c r="BR33" s="119">
        <v>16208.180000000002</v>
      </c>
      <c r="BS33" s="119">
        <v>1024.1300000000001</v>
      </c>
      <c r="BT33" s="119">
        <v>0</v>
      </c>
      <c r="BU33" s="119">
        <v>5777.56</v>
      </c>
      <c r="BV33" s="119">
        <v>0</v>
      </c>
      <c r="BW33" s="98">
        <f t="shared" si="30"/>
        <v>25056.600000000006</v>
      </c>
      <c r="BX33" s="119">
        <v>1650.77</v>
      </c>
      <c r="BY33" s="119">
        <v>0</v>
      </c>
      <c r="BZ33" s="119">
        <v>1065.9000000000001</v>
      </c>
      <c r="CA33" s="119">
        <v>37126.080000000002</v>
      </c>
      <c r="CB33" s="119">
        <v>2658.6400000000003</v>
      </c>
      <c r="CC33" s="119">
        <v>1125.0900000000001</v>
      </c>
      <c r="CD33" s="119">
        <v>9323.9600000000009</v>
      </c>
      <c r="CE33" s="119">
        <v>29588.31</v>
      </c>
      <c r="CF33" s="119">
        <v>0</v>
      </c>
      <c r="CG33" s="119">
        <v>18930.009999999998</v>
      </c>
      <c r="CH33" s="98">
        <f t="shared" si="31"/>
        <v>101468.76</v>
      </c>
      <c r="CI33" s="96">
        <f t="shared" si="32"/>
        <v>107246.31999999999</v>
      </c>
      <c r="CJ33" s="95"/>
      <c r="CK33" s="119">
        <f t="shared" si="33"/>
        <v>550.99499999999989</v>
      </c>
      <c r="CL33" s="119">
        <f t="shared" si="33"/>
        <v>8238.0049999999974</v>
      </c>
      <c r="CM33" s="119">
        <f t="shared" si="33"/>
        <v>1418.7825000000003</v>
      </c>
      <c r="CN33" s="119">
        <f t="shared" si="33"/>
        <v>1525.5749999999998</v>
      </c>
      <c r="CO33" s="119">
        <f t="shared" si="33"/>
        <v>3249.0424999999996</v>
      </c>
      <c r="CP33" s="119">
        <f t="shared" si="33"/>
        <v>13870.6875</v>
      </c>
      <c r="CQ33" s="119">
        <f t="shared" si="33"/>
        <v>1550.8924999999999</v>
      </c>
      <c r="CR33" s="119">
        <f t="shared" si="33"/>
        <v>970.43000000000029</v>
      </c>
      <c r="CS33" s="119">
        <f t="shared" si="33"/>
        <v>26213.507500000007</v>
      </c>
      <c r="CT33" s="119">
        <f t="shared" si="33"/>
        <v>0</v>
      </c>
      <c r="CU33" s="119">
        <f t="shared" si="33"/>
        <v>726.13999999999987</v>
      </c>
      <c r="CV33" s="119">
        <f t="shared" si="33"/>
        <v>2507.9050000000007</v>
      </c>
      <c r="CW33" s="98">
        <f t="shared" si="34"/>
        <v>60821.962500000001</v>
      </c>
      <c r="CX33" s="119">
        <f t="shared" si="51"/>
        <v>29.585000000000008</v>
      </c>
      <c r="CY33" s="119">
        <f t="shared" si="51"/>
        <v>67.292499999999961</v>
      </c>
      <c r="CZ33" s="119">
        <f t="shared" si="51"/>
        <v>0</v>
      </c>
      <c r="DA33" s="119">
        <f t="shared" si="51"/>
        <v>332.75</v>
      </c>
      <c r="DB33" s="119">
        <f t="shared" si="51"/>
        <v>0</v>
      </c>
      <c r="DC33" s="119">
        <f t="shared" si="51"/>
        <v>82.055000000000007</v>
      </c>
      <c r="DD33" s="119">
        <f t="shared" si="51"/>
        <v>0</v>
      </c>
      <c r="DE33" s="119">
        <f t="shared" si="51"/>
        <v>4052.0450000000001</v>
      </c>
      <c r="DF33" s="119">
        <f t="shared" si="51"/>
        <v>256.03250000000003</v>
      </c>
      <c r="DG33" s="119">
        <f t="shared" si="51"/>
        <v>0</v>
      </c>
      <c r="DH33" s="119">
        <f t="shared" si="51"/>
        <v>1444.3899999999994</v>
      </c>
      <c r="DI33" s="119">
        <f t="shared" si="51"/>
        <v>0</v>
      </c>
      <c r="DJ33" s="98">
        <f t="shared" si="35"/>
        <v>6264.15</v>
      </c>
      <c r="DK33" s="119">
        <f t="shared" si="52"/>
        <v>412.69250000000011</v>
      </c>
      <c r="DL33" s="119">
        <f t="shared" si="52"/>
        <v>0</v>
      </c>
      <c r="DM33" s="119">
        <f t="shared" si="52"/>
        <v>266.47500000000014</v>
      </c>
      <c r="DN33" s="119">
        <f t="shared" si="52"/>
        <v>9281.5199999999968</v>
      </c>
      <c r="DO33" s="119">
        <f t="shared" si="52"/>
        <v>664.65999999999985</v>
      </c>
      <c r="DP33" s="119">
        <f t="shared" si="52"/>
        <v>281.27250000000004</v>
      </c>
      <c r="DQ33" s="119">
        <f t="shared" si="52"/>
        <v>2330.9899999999998</v>
      </c>
      <c r="DR33" s="119">
        <f t="shared" si="52"/>
        <v>7397.0774999999958</v>
      </c>
      <c r="DS33" s="119">
        <f t="shared" si="52"/>
        <v>0</v>
      </c>
      <c r="DT33" s="119">
        <f t="shared" si="52"/>
        <v>4732.5024999999987</v>
      </c>
      <c r="DU33" s="98">
        <f t="shared" si="36"/>
        <v>25367.189999999991</v>
      </c>
      <c r="DV33" s="96">
        <f t="shared" si="37"/>
        <v>26811.579999999991</v>
      </c>
      <c r="DW33" s="95"/>
      <c r="DX33" s="162">
        <f t="shared" si="57"/>
        <v>0.19999999999999996</v>
      </c>
      <c r="DY33" s="162">
        <f t="shared" si="57"/>
        <v>0.19999999999999996</v>
      </c>
      <c r="DZ33" s="162">
        <f t="shared" si="57"/>
        <v>0.20000000000000004</v>
      </c>
      <c r="EA33" s="162">
        <f t="shared" si="57"/>
        <v>0.19999999999999998</v>
      </c>
      <c r="EB33" s="162">
        <f t="shared" si="57"/>
        <v>0.19999999999999998</v>
      </c>
      <c r="EC33" s="162">
        <f t="shared" si="57"/>
        <v>0.2</v>
      </c>
      <c r="ED33" s="162">
        <f t="shared" si="57"/>
        <v>0.2</v>
      </c>
      <c r="EE33" s="162">
        <f t="shared" si="57"/>
        <v>0.20000000000000004</v>
      </c>
      <c r="EF33" s="162">
        <f t="shared" si="57"/>
        <v>0.20000000000000004</v>
      </c>
      <c r="EG33" s="162">
        <f t="shared" si="55"/>
        <v>0</v>
      </c>
      <c r="EH33" s="162">
        <f t="shared" si="55"/>
        <v>0.19999999999999998</v>
      </c>
      <c r="EI33" s="162">
        <f t="shared" si="55"/>
        <v>0.20000000000000007</v>
      </c>
      <c r="EJ33" s="163">
        <f t="shared" si="55"/>
        <v>0.19999999999999996</v>
      </c>
      <c r="EK33" s="162">
        <f t="shared" si="55"/>
        <v>0.20000000000000004</v>
      </c>
      <c r="EL33" s="162">
        <f t="shared" si="55"/>
        <v>0.1999999999999999</v>
      </c>
      <c r="EM33" s="162">
        <f t="shared" si="55"/>
        <v>0</v>
      </c>
      <c r="EN33" s="162">
        <f t="shared" si="55"/>
        <v>0.2</v>
      </c>
      <c r="EO33" s="162">
        <f t="shared" si="55"/>
        <v>0</v>
      </c>
      <c r="EP33" s="162">
        <f t="shared" si="55"/>
        <v>0.2</v>
      </c>
      <c r="EQ33" s="162">
        <f t="shared" si="55"/>
        <v>0</v>
      </c>
      <c r="ER33" s="162">
        <f t="shared" si="55"/>
        <v>0.19999999999999998</v>
      </c>
      <c r="ES33" s="162">
        <f t="shared" si="55"/>
        <v>0.2</v>
      </c>
      <c r="ET33" s="162">
        <f t="shared" si="55"/>
        <v>0</v>
      </c>
      <c r="EU33" s="162">
        <f t="shared" si="55"/>
        <v>0.19999999999999993</v>
      </c>
      <c r="EV33" s="162">
        <f t="shared" si="55"/>
        <v>0</v>
      </c>
      <c r="EW33" s="163">
        <f t="shared" si="58"/>
        <v>0.19999999999999998</v>
      </c>
      <c r="EX33" s="162">
        <f t="shared" si="58"/>
        <v>0.20000000000000004</v>
      </c>
      <c r="EY33" s="162">
        <f t="shared" si="58"/>
        <v>0</v>
      </c>
      <c r="EZ33" s="162">
        <f t="shared" si="58"/>
        <v>0.20000000000000007</v>
      </c>
      <c r="FA33" s="162">
        <f t="shared" si="58"/>
        <v>0.19999999999999993</v>
      </c>
      <c r="FB33" s="162">
        <f t="shared" si="58"/>
        <v>0.19999999999999996</v>
      </c>
      <c r="FC33" s="162">
        <f t="shared" si="56"/>
        <v>0.2</v>
      </c>
      <c r="FD33" s="162">
        <f t="shared" si="50"/>
        <v>0.19999999999999996</v>
      </c>
      <c r="FE33" s="162">
        <f t="shared" si="50"/>
        <v>0.1999999999999999</v>
      </c>
      <c r="FF33" s="162">
        <f t="shared" si="48"/>
        <v>0</v>
      </c>
      <c r="FG33" s="162">
        <f t="shared" si="48"/>
        <v>0.19999999999999996</v>
      </c>
      <c r="FH33" s="163">
        <f t="shared" si="48"/>
        <v>0.19999999999999993</v>
      </c>
      <c r="FI33" s="164">
        <f t="shared" si="48"/>
        <v>0.19999999999999993</v>
      </c>
      <c r="FJ33" s="95"/>
      <c r="FK33" s="119">
        <v>0</v>
      </c>
      <c r="FL33" s="119">
        <v>0</v>
      </c>
      <c r="FM33" s="119">
        <v>0</v>
      </c>
      <c r="FN33" s="119">
        <v>0</v>
      </c>
      <c r="FO33" s="119">
        <v>0</v>
      </c>
      <c r="FP33" s="119">
        <v>0</v>
      </c>
      <c r="FQ33" s="119">
        <v>0</v>
      </c>
      <c r="FR33" s="119">
        <v>0</v>
      </c>
      <c r="FS33" s="119">
        <v>0</v>
      </c>
      <c r="FT33" s="119">
        <v>0</v>
      </c>
      <c r="FU33" s="119">
        <v>0</v>
      </c>
      <c r="FV33" s="119">
        <v>48523.45</v>
      </c>
      <c r="FW33" s="98">
        <f t="shared" si="39"/>
        <v>48523.45</v>
      </c>
      <c r="FX33" s="119">
        <v>0</v>
      </c>
      <c r="FY33" s="119">
        <v>0</v>
      </c>
      <c r="FZ33" s="119">
        <v>0</v>
      </c>
      <c r="GA33" s="119">
        <v>0</v>
      </c>
      <c r="GB33" s="119">
        <v>0</v>
      </c>
      <c r="GC33" s="119">
        <v>0</v>
      </c>
      <c r="GD33" s="119">
        <v>0</v>
      </c>
      <c r="GE33" s="119">
        <v>0</v>
      </c>
      <c r="GF33" s="119">
        <v>0</v>
      </c>
      <c r="GG33" s="119">
        <v>0</v>
      </c>
      <c r="GH33" s="119">
        <v>0</v>
      </c>
      <c r="GI33" s="119">
        <v>0</v>
      </c>
      <c r="GJ33" s="98">
        <f t="shared" si="40"/>
        <v>0</v>
      </c>
      <c r="GK33" s="119">
        <v>0</v>
      </c>
      <c r="GL33" s="119">
        <v>0</v>
      </c>
      <c r="GM33" s="119">
        <v>9346.11</v>
      </c>
      <c r="GN33" s="119">
        <v>0</v>
      </c>
      <c r="GO33" s="119">
        <v>0</v>
      </c>
      <c r="GP33" s="119">
        <v>0</v>
      </c>
      <c r="GQ33" s="119">
        <v>9071.26</v>
      </c>
      <c r="GR33" s="119">
        <v>0</v>
      </c>
      <c r="GS33" s="119">
        <v>12579.07</v>
      </c>
      <c r="GT33" s="119">
        <v>0</v>
      </c>
      <c r="GU33" s="98">
        <f t="shared" si="41"/>
        <v>30996.440000000002</v>
      </c>
      <c r="GV33" s="96">
        <f t="shared" si="42"/>
        <v>30996.440000000002</v>
      </c>
      <c r="GW33" s="95"/>
      <c r="GX33" s="119">
        <f t="shared" si="43"/>
        <v>2754.9749999999999</v>
      </c>
      <c r="GY33" s="119">
        <f t="shared" si="43"/>
        <v>41190.024999999994</v>
      </c>
      <c r="GZ33" s="119">
        <f t="shared" si="43"/>
        <v>7093.9125000000004</v>
      </c>
      <c r="HA33" s="119">
        <f t="shared" si="43"/>
        <v>7627.875</v>
      </c>
      <c r="HB33" s="119">
        <f t="shared" si="43"/>
        <v>16245.2125</v>
      </c>
      <c r="HC33" s="119">
        <f t="shared" si="43"/>
        <v>69353.4375</v>
      </c>
      <c r="HD33" s="119">
        <f t="shared" si="43"/>
        <v>7754.4624999999987</v>
      </c>
      <c r="HE33" s="119">
        <f t="shared" si="43"/>
        <v>4852.1500000000005</v>
      </c>
      <c r="HF33" s="119">
        <f t="shared" si="43"/>
        <v>131067.53750000001</v>
      </c>
      <c r="HG33" s="119">
        <f t="shared" si="43"/>
        <v>0</v>
      </c>
      <c r="HH33" s="119">
        <f t="shared" si="43"/>
        <v>3630.7</v>
      </c>
      <c r="HI33" s="119">
        <f t="shared" si="43"/>
        <v>-35983.924999999996</v>
      </c>
      <c r="HJ33" s="98">
        <f t="shared" si="44"/>
        <v>255586.36250000005</v>
      </c>
      <c r="HK33" s="119">
        <f t="shared" si="53"/>
        <v>147.92500000000001</v>
      </c>
      <c r="HL33" s="119">
        <f t="shared" si="53"/>
        <v>336.46249999999998</v>
      </c>
      <c r="HM33" s="119">
        <f t="shared" si="53"/>
        <v>0</v>
      </c>
      <c r="HN33" s="119">
        <f t="shared" si="53"/>
        <v>1663.75</v>
      </c>
      <c r="HO33" s="119">
        <f t="shared" si="53"/>
        <v>0</v>
      </c>
      <c r="HP33" s="119">
        <f t="shared" si="53"/>
        <v>410.27500000000003</v>
      </c>
      <c r="HQ33" s="119">
        <f t="shared" si="53"/>
        <v>0</v>
      </c>
      <c r="HR33" s="119">
        <f t="shared" si="53"/>
        <v>20260.225000000002</v>
      </c>
      <c r="HS33" s="119">
        <f t="shared" si="53"/>
        <v>1280.1625000000001</v>
      </c>
      <c r="HT33" s="119">
        <f t="shared" si="53"/>
        <v>0</v>
      </c>
      <c r="HU33" s="119">
        <f t="shared" si="53"/>
        <v>7221.95</v>
      </c>
      <c r="HV33" s="119">
        <f t="shared" si="53"/>
        <v>0</v>
      </c>
      <c r="HW33" s="98">
        <f t="shared" si="45"/>
        <v>31320.75</v>
      </c>
      <c r="HX33" s="119">
        <f t="shared" si="54"/>
        <v>2063.4625000000001</v>
      </c>
      <c r="HY33" s="119">
        <f t="shared" si="54"/>
        <v>0</v>
      </c>
      <c r="HZ33" s="119">
        <f t="shared" si="54"/>
        <v>-8013.7350000000006</v>
      </c>
      <c r="IA33" s="119">
        <f t="shared" si="54"/>
        <v>46407.6</v>
      </c>
      <c r="IB33" s="119">
        <f t="shared" si="54"/>
        <v>3323.3</v>
      </c>
      <c r="IC33" s="119">
        <f t="shared" si="54"/>
        <v>1406.3625000000002</v>
      </c>
      <c r="ID33" s="119">
        <f t="shared" si="54"/>
        <v>2583.6900000000005</v>
      </c>
      <c r="IE33" s="119">
        <f t="shared" si="54"/>
        <v>36985.387499999997</v>
      </c>
      <c r="IF33" s="119">
        <f t="shared" si="54"/>
        <v>-12579.07</v>
      </c>
      <c r="IG33" s="119">
        <f t="shared" si="54"/>
        <v>23662.512499999997</v>
      </c>
      <c r="IH33" s="98">
        <f t="shared" si="46"/>
        <v>95839.51</v>
      </c>
      <c r="II33" s="96">
        <f t="shared" si="47"/>
        <v>103061.45999999999</v>
      </c>
    </row>
    <row r="34" spans="2:243" x14ac:dyDescent="0.2">
      <c r="B34" s="101" t="s">
        <v>327</v>
      </c>
      <c r="C34" s="89" t="s">
        <v>328</v>
      </c>
      <c r="D34" s="89" t="str">
        <f>_xlfn.IFNA(INDEX('4. WIP Report (Oct-25)'!D:D,MATCH('7. POC Lookback Summary'!$B34,'4. WIP Report (Oct-25)'!$B:$B,0)),INDEX('5. Completed Jobs'!D:D,MATCH('7. POC Lookback Summary'!$B34,'5. Completed Jobs'!$B:$B,0)))</f>
        <v>Metro Development Partners</v>
      </c>
      <c r="E34" s="89" t="str">
        <f>_xlfn.IFNA(INDEX('4. WIP Report (Oct-25)'!E:E,MATCH('7. POC Lookback Summary'!$B34,'4. WIP Report (Oct-25)'!$B:$B,0)),INDEX('5. Completed Jobs'!E:E,MATCH('7. POC Lookback Summary'!$B34,'5. Completed Jobs'!$B:$B,0)))</f>
        <v>Sprinkler Installation</v>
      </c>
      <c r="F34" s="89" t="str">
        <f>_xlfn.IFNA(INDEX('4. WIP Report (Oct-25)'!F:F,MATCH('7. POC Lookback Summary'!$B34,'4. WIP Report (Oct-25)'!$B:$B,0)),INDEX('5. Completed Jobs'!F:F,MATCH('7. POC Lookback Summary'!$B34,'5. Completed Jobs'!$B:$B,0)))</f>
        <v>Industrial</v>
      </c>
      <c r="G34" s="89" t="str">
        <f>_xlfn.IFNA(INDEX('4. WIP Report (Oct-25)'!G:G,MATCH('7. POC Lookback Summary'!$B34,'4. WIP Report (Oct-25)'!$B:$B,0)),INDEX('5. Completed Jobs'!G:G,MATCH('7. POC Lookback Summary'!$B34,'5. Completed Jobs'!$B:$B,0)))</f>
        <v>Direct</v>
      </c>
      <c r="H34" s="89" t="str">
        <f>_xlfn.IFNA(INDEX('4. WIP Report (Oct-25)'!H:H,MATCH('7. POC Lookback Summary'!$B34,'4. WIP Report (Oct-25)'!$B:$B,0)),INDEX('5. Completed Jobs'!H:H,MATCH('7. POC Lookback Summary'!$B34,'5. Completed Jobs'!$B:$B,0)))</f>
        <v>New Construction</v>
      </c>
      <c r="J34" s="95"/>
      <c r="K34" s="119">
        <v>0</v>
      </c>
      <c r="L34" s="119">
        <v>7656.0115951347771</v>
      </c>
      <c r="M34" s="119">
        <v>2681.6346982367177</v>
      </c>
      <c r="N34" s="119">
        <v>4957.4804883273591</v>
      </c>
      <c r="O34" s="119">
        <v>0</v>
      </c>
      <c r="P34" s="119">
        <v>0</v>
      </c>
      <c r="Q34" s="119">
        <v>0</v>
      </c>
      <c r="R34" s="119">
        <v>3154.0943650784639</v>
      </c>
      <c r="S34" s="119">
        <v>0</v>
      </c>
      <c r="T34" s="119">
        <v>4716.8042315984076</v>
      </c>
      <c r="U34" s="119">
        <v>0</v>
      </c>
      <c r="V34" s="119">
        <v>15844.61513433811</v>
      </c>
      <c r="W34" s="98">
        <f t="shared" si="25"/>
        <v>39010.640512713828</v>
      </c>
      <c r="X34" s="119">
        <v>1222.5872732431087</v>
      </c>
      <c r="Y34" s="119">
        <v>4303.3316480667163</v>
      </c>
      <c r="Z34" s="119">
        <v>0</v>
      </c>
      <c r="AA34" s="119">
        <v>3788.7173291718304</v>
      </c>
      <c r="AB34" s="119">
        <v>0</v>
      </c>
      <c r="AC34" s="119">
        <v>0</v>
      </c>
      <c r="AD34" s="119">
        <v>5182.3927349396117</v>
      </c>
      <c r="AE34" s="119">
        <v>2211.3118736754013</v>
      </c>
      <c r="AF34" s="119">
        <v>4017.2890781326023</v>
      </c>
      <c r="AG34" s="119">
        <v>0</v>
      </c>
      <c r="AH34" s="119">
        <v>0</v>
      </c>
      <c r="AI34" s="119">
        <v>0</v>
      </c>
      <c r="AJ34" s="98">
        <f t="shared" si="26"/>
        <v>20725.629937229271</v>
      </c>
      <c r="AK34" s="119">
        <v>0</v>
      </c>
      <c r="AL34" s="119">
        <v>127.48759317998415</v>
      </c>
      <c r="AM34" s="119">
        <v>196.40395558951843</v>
      </c>
      <c r="AN34" s="119">
        <v>2885.8246929139086</v>
      </c>
      <c r="AO34" s="119">
        <v>4258.0165167125824</v>
      </c>
      <c r="AP34" s="119">
        <v>0</v>
      </c>
      <c r="AQ34" s="119">
        <v>7902.8104807929831</v>
      </c>
      <c r="AR34" s="119">
        <v>0</v>
      </c>
      <c r="AS34" s="119">
        <v>3705.7323554609075</v>
      </c>
      <c r="AT34" s="119">
        <v>1116.8839554070221</v>
      </c>
      <c r="AU34" s="98">
        <f t="shared" si="27"/>
        <v>20193.159550056906</v>
      </c>
      <c r="AV34" s="96">
        <f t="shared" si="28"/>
        <v>20193.159550056906</v>
      </c>
      <c r="AW34" s="95"/>
      <c r="AX34" s="119">
        <v>0</v>
      </c>
      <c r="AY34" s="119">
        <v>11966.76</v>
      </c>
      <c r="AZ34" s="119">
        <v>4191.54</v>
      </c>
      <c r="BA34" s="119">
        <v>7748.8099999999995</v>
      </c>
      <c r="BB34" s="119">
        <v>0</v>
      </c>
      <c r="BC34" s="119">
        <v>0</v>
      </c>
      <c r="BD34" s="119">
        <v>0</v>
      </c>
      <c r="BE34" s="119">
        <v>4930.0200000000004</v>
      </c>
      <c r="BF34" s="119">
        <v>0</v>
      </c>
      <c r="BG34" s="119">
        <v>7372.62</v>
      </c>
      <c r="BH34" s="119">
        <v>0</v>
      </c>
      <c r="BI34" s="119">
        <v>24765.989999999998</v>
      </c>
      <c r="BJ34" s="98">
        <f t="shared" si="29"/>
        <v>60975.74</v>
      </c>
      <c r="BK34" s="119">
        <v>1910.97</v>
      </c>
      <c r="BL34" s="119">
        <v>6726.34</v>
      </c>
      <c r="BM34" s="119">
        <v>0</v>
      </c>
      <c r="BN34" s="119">
        <v>5921.9699999999993</v>
      </c>
      <c r="BO34" s="119">
        <v>0</v>
      </c>
      <c r="BP34" s="119">
        <v>0</v>
      </c>
      <c r="BQ34" s="119">
        <v>8100.36</v>
      </c>
      <c r="BR34" s="119">
        <v>3456.4</v>
      </c>
      <c r="BS34" s="119">
        <v>6279.24</v>
      </c>
      <c r="BT34" s="119">
        <v>0</v>
      </c>
      <c r="BU34" s="119">
        <v>0</v>
      </c>
      <c r="BV34" s="119">
        <v>0</v>
      </c>
      <c r="BW34" s="98">
        <f t="shared" si="30"/>
        <v>32395.279999999999</v>
      </c>
      <c r="BX34" s="119">
        <v>0</v>
      </c>
      <c r="BY34" s="119">
        <v>199.27</v>
      </c>
      <c r="BZ34" s="119">
        <v>306.99</v>
      </c>
      <c r="CA34" s="119">
        <v>4510.7000000000007</v>
      </c>
      <c r="CB34" s="119">
        <v>6655.51</v>
      </c>
      <c r="CC34" s="119">
        <v>0</v>
      </c>
      <c r="CD34" s="119">
        <v>12352.52</v>
      </c>
      <c r="CE34" s="119">
        <v>0</v>
      </c>
      <c r="CF34" s="119">
        <v>5792.26</v>
      </c>
      <c r="CG34" s="119">
        <v>1745.7499999999998</v>
      </c>
      <c r="CH34" s="98">
        <f t="shared" si="31"/>
        <v>31563</v>
      </c>
      <c r="CI34" s="96">
        <f t="shared" si="32"/>
        <v>31563</v>
      </c>
      <c r="CJ34" s="95"/>
      <c r="CK34" s="119">
        <f t="shared" si="33"/>
        <v>0</v>
      </c>
      <c r="CL34" s="119">
        <f t="shared" si="33"/>
        <v>-4310.7484048652232</v>
      </c>
      <c r="CM34" s="119">
        <f t="shared" si="33"/>
        <v>-1509.9053017632823</v>
      </c>
      <c r="CN34" s="119">
        <f t="shared" si="33"/>
        <v>-2791.3295116726404</v>
      </c>
      <c r="CO34" s="119">
        <f t="shared" si="33"/>
        <v>0</v>
      </c>
      <c r="CP34" s="119">
        <f t="shared" si="33"/>
        <v>0</v>
      </c>
      <c r="CQ34" s="119">
        <f t="shared" si="33"/>
        <v>0</v>
      </c>
      <c r="CR34" s="119">
        <f t="shared" si="33"/>
        <v>-1775.9256349215366</v>
      </c>
      <c r="CS34" s="119">
        <f t="shared" si="33"/>
        <v>0</v>
      </c>
      <c r="CT34" s="119">
        <f t="shared" si="33"/>
        <v>-2655.8157684015923</v>
      </c>
      <c r="CU34" s="119">
        <f t="shared" si="33"/>
        <v>0</v>
      </c>
      <c r="CV34" s="119">
        <f t="shared" si="33"/>
        <v>-8921.3748656618882</v>
      </c>
      <c r="CW34" s="98">
        <f t="shared" si="34"/>
        <v>-21965.099487286163</v>
      </c>
      <c r="CX34" s="119">
        <f t="shared" si="51"/>
        <v>-688.38272675689132</v>
      </c>
      <c r="CY34" s="119">
        <f t="shared" si="51"/>
        <v>-2423.0083519332838</v>
      </c>
      <c r="CZ34" s="119">
        <f t="shared" si="51"/>
        <v>0</v>
      </c>
      <c r="DA34" s="119">
        <f t="shared" si="51"/>
        <v>-2133.2526708281689</v>
      </c>
      <c r="DB34" s="119">
        <f t="shared" si="51"/>
        <v>0</v>
      </c>
      <c r="DC34" s="119">
        <f t="shared" si="51"/>
        <v>0</v>
      </c>
      <c r="DD34" s="119">
        <f t="shared" si="51"/>
        <v>-2917.9672650603879</v>
      </c>
      <c r="DE34" s="119">
        <f t="shared" si="51"/>
        <v>-1245.0881263245988</v>
      </c>
      <c r="DF34" s="119">
        <f t="shared" si="51"/>
        <v>-2261.9509218673975</v>
      </c>
      <c r="DG34" s="119">
        <f t="shared" si="51"/>
        <v>0</v>
      </c>
      <c r="DH34" s="119">
        <f t="shared" si="51"/>
        <v>0</v>
      </c>
      <c r="DI34" s="119">
        <f t="shared" si="51"/>
        <v>0</v>
      </c>
      <c r="DJ34" s="98">
        <f t="shared" si="35"/>
        <v>-11669.650062770728</v>
      </c>
      <c r="DK34" s="119">
        <f t="shared" si="52"/>
        <v>0</v>
      </c>
      <c r="DL34" s="119">
        <f t="shared" si="52"/>
        <v>-71.782406820015865</v>
      </c>
      <c r="DM34" s="119">
        <f t="shared" si="52"/>
        <v>-110.58604441048158</v>
      </c>
      <c r="DN34" s="119">
        <f t="shared" si="52"/>
        <v>-1624.8753070860921</v>
      </c>
      <c r="DO34" s="119">
        <f t="shared" si="52"/>
        <v>-2397.4934832874178</v>
      </c>
      <c r="DP34" s="119">
        <f t="shared" si="52"/>
        <v>0</v>
      </c>
      <c r="DQ34" s="119">
        <f t="shared" si="52"/>
        <v>-4449.7095192070174</v>
      </c>
      <c r="DR34" s="119">
        <f t="shared" si="52"/>
        <v>0</v>
      </c>
      <c r="DS34" s="119">
        <f t="shared" si="52"/>
        <v>-2086.5276445390928</v>
      </c>
      <c r="DT34" s="119">
        <f t="shared" si="52"/>
        <v>-628.86604459297769</v>
      </c>
      <c r="DU34" s="98">
        <f t="shared" si="36"/>
        <v>-11369.840449943094</v>
      </c>
      <c r="DV34" s="96">
        <f t="shared" si="37"/>
        <v>-11369.840449943094</v>
      </c>
      <c r="DW34" s="95"/>
      <c r="DX34" s="162">
        <f t="shared" si="57"/>
        <v>0</v>
      </c>
      <c r="DY34" s="162">
        <f t="shared" si="57"/>
        <v>-0.56305405906184969</v>
      </c>
      <c r="DZ34" s="162">
        <f t="shared" si="57"/>
        <v>-0.56305405906184969</v>
      </c>
      <c r="EA34" s="162">
        <f t="shared" si="57"/>
        <v>-0.56305405906184969</v>
      </c>
      <c r="EB34" s="162">
        <f t="shared" si="57"/>
        <v>0</v>
      </c>
      <c r="EC34" s="162">
        <f t="shared" si="57"/>
        <v>0</v>
      </c>
      <c r="ED34" s="162">
        <f t="shared" si="57"/>
        <v>0</v>
      </c>
      <c r="EE34" s="162">
        <f t="shared" si="57"/>
        <v>-0.56305405906184969</v>
      </c>
      <c r="EF34" s="162">
        <f t="shared" si="57"/>
        <v>0</v>
      </c>
      <c r="EG34" s="162">
        <f t="shared" si="55"/>
        <v>-0.56305405906184969</v>
      </c>
      <c r="EH34" s="162">
        <f t="shared" si="55"/>
        <v>0</v>
      </c>
      <c r="EI34" s="162">
        <f t="shared" si="55"/>
        <v>-0.56305405906184969</v>
      </c>
      <c r="EJ34" s="163">
        <f t="shared" si="55"/>
        <v>-0.5630540590618498</v>
      </c>
      <c r="EK34" s="162">
        <f t="shared" si="55"/>
        <v>-0.56305405906184991</v>
      </c>
      <c r="EL34" s="162">
        <f t="shared" si="55"/>
        <v>-0.56305405906184969</v>
      </c>
      <c r="EM34" s="162">
        <f t="shared" si="55"/>
        <v>0</v>
      </c>
      <c r="EN34" s="162">
        <f t="shared" si="55"/>
        <v>-0.56305405906184958</v>
      </c>
      <c r="EO34" s="162">
        <f t="shared" si="55"/>
        <v>0</v>
      </c>
      <c r="EP34" s="162">
        <f t="shared" si="55"/>
        <v>0</v>
      </c>
      <c r="EQ34" s="162">
        <f t="shared" si="55"/>
        <v>-0.56305405906184947</v>
      </c>
      <c r="ER34" s="162">
        <f t="shared" si="55"/>
        <v>-0.56305405906184958</v>
      </c>
      <c r="ES34" s="162">
        <f t="shared" si="55"/>
        <v>-0.56305405906184958</v>
      </c>
      <c r="ET34" s="162">
        <f t="shared" si="55"/>
        <v>0</v>
      </c>
      <c r="EU34" s="162">
        <f t="shared" si="55"/>
        <v>0</v>
      </c>
      <c r="EV34" s="162">
        <f t="shared" si="55"/>
        <v>0</v>
      </c>
      <c r="EW34" s="163">
        <f t="shared" si="58"/>
        <v>-0.56305405906184958</v>
      </c>
      <c r="EX34" s="162">
        <f t="shared" si="58"/>
        <v>0</v>
      </c>
      <c r="EY34" s="162">
        <f t="shared" si="58"/>
        <v>-0.56305405906184969</v>
      </c>
      <c r="EZ34" s="162">
        <f t="shared" si="58"/>
        <v>-0.56305405906184947</v>
      </c>
      <c r="FA34" s="162">
        <f t="shared" si="58"/>
        <v>-0.56305405906184969</v>
      </c>
      <c r="FB34" s="162">
        <f t="shared" si="58"/>
        <v>-0.56305405906184969</v>
      </c>
      <c r="FC34" s="162">
        <f t="shared" si="56"/>
        <v>0</v>
      </c>
      <c r="FD34" s="162">
        <f t="shared" si="50"/>
        <v>-0.56305405906184969</v>
      </c>
      <c r="FE34" s="162">
        <f t="shared" si="50"/>
        <v>0</v>
      </c>
      <c r="FF34" s="162">
        <f t="shared" si="48"/>
        <v>-0.56305405906184958</v>
      </c>
      <c r="FG34" s="162">
        <f t="shared" si="48"/>
        <v>-0.56305405906184969</v>
      </c>
      <c r="FH34" s="163">
        <f t="shared" si="48"/>
        <v>-0.56305405906184969</v>
      </c>
      <c r="FI34" s="164">
        <f t="shared" si="48"/>
        <v>-0.56305405906184969</v>
      </c>
      <c r="FJ34" s="95"/>
      <c r="FK34" s="119">
        <v>0</v>
      </c>
      <c r="FL34" s="119">
        <v>33640.01</v>
      </c>
      <c r="FM34" s="119">
        <v>0</v>
      </c>
      <c r="FN34" s="119">
        <v>0</v>
      </c>
      <c r="FO34" s="119">
        <v>0</v>
      </c>
      <c r="FP34" s="119">
        <v>51335.31</v>
      </c>
      <c r="FQ34" s="119">
        <v>0</v>
      </c>
      <c r="FR34" s="119">
        <v>0</v>
      </c>
      <c r="FS34" s="119">
        <v>0</v>
      </c>
      <c r="FT34" s="119">
        <v>0</v>
      </c>
      <c r="FU34" s="119">
        <v>0</v>
      </c>
      <c r="FV34" s="119">
        <v>0</v>
      </c>
      <c r="FW34" s="98">
        <f t="shared" si="39"/>
        <v>84975.32</v>
      </c>
      <c r="FX34" s="119">
        <v>-48523.45</v>
      </c>
      <c r="FY34" s="119">
        <v>0</v>
      </c>
      <c r="FZ34" s="119">
        <v>0</v>
      </c>
      <c r="GA34" s="119">
        <v>0</v>
      </c>
      <c r="GB34" s="119">
        <v>0</v>
      </c>
      <c r="GC34" s="119">
        <v>0</v>
      </c>
      <c r="GD34" s="119">
        <v>43477.56</v>
      </c>
      <c r="GE34" s="119">
        <v>0</v>
      </c>
      <c r="GF34" s="119">
        <v>0</v>
      </c>
      <c r="GG34" s="119">
        <v>0</v>
      </c>
      <c r="GH34" s="119">
        <v>0</v>
      </c>
      <c r="GI34" s="119">
        <v>0</v>
      </c>
      <c r="GJ34" s="98">
        <f t="shared" si="40"/>
        <v>-5045.8899999999994</v>
      </c>
      <c r="GK34" s="119">
        <v>0</v>
      </c>
      <c r="GL34" s="119">
        <v>0</v>
      </c>
      <c r="GM34" s="119">
        <v>0</v>
      </c>
      <c r="GN34" s="119">
        <v>0</v>
      </c>
      <c r="GO34" s="119">
        <v>0</v>
      </c>
      <c r="GP34" s="119">
        <v>0</v>
      </c>
      <c r="GQ34" s="119">
        <v>0</v>
      </c>
      <c r="GR34" s="119">
        <v>0</v>
      </c>
      <c r="GS34" s="119">
        <v>0</v>
      </c>
      <c r="GT34" s="119">
        <v>0</v>
      </c>
      <c r="GU34" s="98">
        <f t="shared" si="41"/>
        <v>0</v>
      </c>
      <c r="GV34" s="96">
        <f t="shared" si="42"/>
        <v>0</v>
      </c>
      <c r="GW34" s="95"/>
      <c r="GX34" s="119">
        <f t="shared" si="43"/>
        <v>0</v>
      </c>
      <c r="GY34" s="119">
        <f t="shared" si="43"/>
        <v>-25983.998404865226</v>
      </c>
      <c r="GZ34" s="119">
        <f t="shared" si="43"/>
        <v>2681.6346982367177</v>
      </c>
      <c r="HA34" s="119">
        <f t="shared" si="43"/>
        <v>4957.4804883273591</v>
      </c>
      <c r="HB34" s="119">
        <f t="shared" si="43"/>
        <v>0</v>
      </c>
      <c r="HC34" s="119">
        <f t="shared" si="43"/>
        <v>-51335.31</v>
      </c>
      <c r="HD34" s="119">
        <f t="shared" si="43"/>
        <v>0</v>
      </c>
      <c r="HE34" s="119">
        <f t="shared" si="43"/>
        <v>3154.0943650784639</v>
      </c>
      <c r="HF34" s="119">
        <f t="shared" si="43"/>
        <v>0</v>
      </c>
      <c r="HG34" s="119">
        <f t="shared" si="43"/>
        <v>4716.8042315984076</v>
      </c>
      <c r="HH34" s="119">
        <f t="shared" si="43"/>
        <v>0</v>
      </c>
      <c r="HI34" s="119">
        <f t="shared" si="43"/>
        <v>15844.61513433811</v>
      </c>
      <c r="HJ34" s="98">
        <f t="shared" si="44"/>
        <v>-45964.679487286165</v>
      </c>
      <c r="HK34" s="119">
        <f t="shared" si="53"/>
        <v>49746.037273243106</v>
      </c>
      <c r="HL34" s="119">
        <f t="shared" si="53"/>
        <v>4303.3316480667163</v>
      </c>
      <c r="HM34" s="119">
        <f t="shared" si="53"/>
        <v>0</v>
      </c>
      <c r="HN34" s="119">
        <f t="shared" si="53"/>
        <v>3788.7173291718304</v>
      </c>
      <c r="HO34" s="119">
        <f t="shared" si="53"/>
        <v>0</v>
      </c>
      <c r="HP34" s="119">
        <f t="shared" si="53"/>
        <v>0</v>
      </c>
      <c r="HQ34" s="119">
        <f t="shared" si="53"/>
        <v>-38295.167265060387</v>
      </c>
      <c r="HR34" s="119">
        <f t="shared" si="53"/>
        <v>2211.3118736754013</v>
      </c>
      <c r="HS34" s="119">
        <f t="shared" si="53"/>
        <v>4017.2890781326023</v>
      </c>
      <c r="HT34" s="119">
        <f t="shared" si="53"/>
        <v>0</v>
      </c>
      <c r="HU34" s="119">
        <f t="shared" si="53"/>
        <v>0</v>
      </c>
      <c r="HV34" s="119">
        <f t="shared" si="53"/>
        <v>0</v>
      </c>
      <c r="HW34" s="98">
        <f t="shared" si="45"/>
        <v>25771.51993722927</v>
      </c>
      <c r="HX34" s="119">
        <f t="shared" si="54"/>
        <v>0</v>
      </c>
      <c r="HY34" s="119">
        <f t="shared" si="54"/>
        <v>127.48759317998415</v>
      </c>
      <c r="HZ34" s="119">
        <f t="shared" si="54"/>
        <v>196.40395558951843</v>
      </c>
      <c r="IA34" s="119">
        <f t="shared" si="54"/>
        <v>2885.8246929139086</v>
      </c>
      <c r="IB34" s="119">
        <f t="shared" si="54"/>
        <v>4258.0165167125824</v>
      </c>
      <c r="IC34" s="119">
        <f t="shared" si="54"/>
        <v>0</v>
      </c>
      <c r="ID34" s="119">
        <f t="shared" si="54"/>
        <v>7902.8104807929831</v>
      </c>
      <c r="IE34" s="119">
        <f t="shared" si="54"/>
        <v>0</v>
      </c>
      <c r="IF34" s="119">
        <f t="shared" si="54"/>
        <v>3705.7323554609075</v>
      </c>
      <c r="IG34" s="119">
        <f t="shared" si="54"/>
        <v>1116.8839554070221</v>
      </c>
      <c r="IH34" s="98">
        <f t="shared" si="46"/>
        <v>20193.159550056906</v>
      </c>
      <c r="II34" s="96">
        <f t="shared" si="47"/>
        <v>20193.159550056906</v>
      </c>
    </row>
    <row r="35" spans="2:243" x14ac:dyDescent="0.2">
      <c r="B35" s="101" t="s">
        <v>329</v>
      </c>
      <c r="C35" s="89" t="s">
        <v>330</v>
      </c>
      <c r="D35" s="89" t="str">
        <f>_xlfn.IFNA(INDEX('4. WIP Report (Oct-25)'!D:D,MATCH('7. POC Lookback Summary'!$B35,'4. WIP Report (Oct-25)'!$B:$B,0)),INDEX('5. Completed Jobs'!D:D,MATCH('7. POC Lookback Summary'!$B35,'5. Completed Jobs'!$B:$B,0)))</f>
        <v>University Facilities</v>
      </c>
      <c r="E35" s="89" t="str">
        <f>_xlfn.IFNA(INDEX('4. WIP Report (Oct-25)'!E:E,MATCH('7. POC Lookback Summary'!$B35,'4. WIP Report (Oct-25)'!$B:$B,0)),INDEX('5. Completed Jobs'!E:E,MATCH('7. POC Lookback Summary'!$B35,'5. Completed Jobs'!$B:$B,0)))</f>
        <v>Sprinkler Installation</v>
      </c>
      <c r="F35" s="89" t="str">
        <f>_xlfn.IFNA(INDEX('4. WIP Report (Oct-25)'!F:F,MATCH('7. POC Lookback Summary'!$B35,'4. WIP Report (Oct-25)'!$B:$B,0)),INDEX('5. Completed Jobs'!F:F,MATCH('7. POC Lookback Summary'!$B35,'5. Completed Jobs'!$B:$B,0)))</f>
        <v>Multi-Family</v>
      </c>
      <c r="G35" s="89" t="str">
        <f>_xlfn.IFNA(INDEX('4. WIP Report (Oct-25)'!G:G,MATCH('7. POC Lookback Summary'!$B35,'4. WIP Report (Oct-25)'!$B:$B,0)),INDEX('5. Completed Jobs'!G:G,MATCH('7. POC Lookback Summary'!$B35,'5. Completed Jobs'!$B:$B,0)))</f>
        <v>Municipality</v>
      </c>
      <c r="H35" s="89" t="str">
        <f>_xlfn.IFNA(INDEX('4. WIP Report (Oct-25)'!H:H,MATCH('7. POC Lookback Summary'!$B35,'4. WIP Report (Oct-25)'!$B:$B,0)),INDEX('5. Completed Jobs'!H:H,MATCH('7. POC Lookback Summary'!$B35,'5. Completed Jobs'!$B:$B,0)))</f>
        <v>New Construction</v>
      </c>
      <c r="J35" s="95"/>
      <c r="K35" s="119">
        <v>0</v>
      </c>
      <c r="L35" s="119">
        <v>0</v>
      </c>
      <c r="M35" s="119">
        <v>4080.1800377194145</v>
      </c>
      <c r="N35" s="119">
        <v>4920.6418277258645</v>
      </c>
      <c r="O35" s="119">
        <v>1372.0215240351238</v>
      </c>
      <c r="P35" s="119">
        <v>0</v>
      </c>
      <c r="Q35" s="119">
        <v>38.982667100777206</v>
      </c>
      <c r="R35" s="119">
        <v>0</v>
      </c>
      <c r="S35" s="119">
        <v>0</v>
      </c>
      <c r="T35" s="119">
        <v>0</v>
      </c>
      <c r="U35" s="119">
        <v>151.062174136961</v>
      </c>
      <c r="V35" s="119">
        <v>29390.995745819608</v>
      </c>
      <c r="W35" s="98">
        <f t="shared" si="25"/>
        <v>39953.883976537749</v>
      </c>
      <c r="X35" s="119">
        <v>883.54926599829219</v>
      </c>
      <c r="Y35" s="119">
        <v>8541.751494349106</v>
      </c>
      <c r="Z35" s="119">
        <v>1978.0666168629903</v>
      </c>
      <c r="AA35" s="119">
        <v>0</v>
      </c>
      <c r="AB35" s="119">
        <v>28045.58171451178</v>
      </c>
      <c r="AC35" s="119">
        <v>3100.8229701199252</v>
      </c>
      <c r="AD35" s="119">
        <v>0</v>
      </c>
      <c r="AE35" s="119">
        <v>4026.6352790346878</v>
      </c>
      <c r="AF35" s="119">
        <v>3103.5305819043069</v>
      </c>
      <c r="AG35" s="119">
        <v>380.52359462040937</v>
      </c>
      <c r="AH35" s="119">
        <v>0</v>
      </c>
      <c r="AI35" s="119">
        <v>8933.8692214821222</v>
      </c>
      <c r="AJ35" s="98">
        <f t="shared" si="26"/>
        <v>58994.330738883618</v>
      </c>
      <c r="AK35" s="119">
        <v>1887.795534231137</v>
      </c>
      <c r="AL35" s="119">
        <v>0</v>
      </c>
      <c r="AM35" s="119">
        <v>0</v>
      </c>
      <c r="AN35" s="119">
        <v>0</v>
      </c>
      <c r="AO35" s="119">
        <v>3336.6368644051918</v>
      </c>
      <c r="AP35" s="119">
        <v>0</v>
      </c>
      <c r="AQ35" s="119">
        <v>223.10894668162979</v>
      </c>
      <c r="AR35" s="119">
        <v>6461.8456970703501</v>
      </c>
      <c r="AS35" s="119">
        <v>1704.6672525836302</v>
      </c>
      <c r="AT35" s="119">
        <v>5543.7309896066981</v>
      </c>
      <c r="AU35" s="98">
        <f t="shared" si="27"/>
        <v>19157.785284578636</v>
      </c>
      <c r="AV35" s="96">
        <f t="shared" si="28"/>
        <v>28091.65450606076</v>
      </c>
      <c r="AW35" s="95"/>
      <c r="AX35" s="119">
        <v>0</v>
      </c>
      <c r="AY35" s="119">
        <v>0</v>
      </c>
      <c r="AZ35" s="119">
        <v>4701.62</v>
      </c>
      <c r="BA35" s="119">
        <v>5670.09</v>
      </c>
      <c r="BB35" s="119">
        <v>1580.99</v>
      </c>
      <c r="BC35" s="119">
        <v>0</v>
      </c>
      <c r="BD35" s="119">
        <v>44.92</v>
      </c>
      <c r="BE35" s="119">
        <v>0</v>
      </c>
      <c r="BF35" s="119">
        <v>0</v>
      </c>
      <c r="BG35" s="119">
        <v>0</v>
      </c>
      <c r="BH35" s="119">
        <v>174.07</v>
      </c>
      <c r="BI35" s="119">
        <v>33867.449999999997</v>
      </c>
      <c r="BJ35" s="98">
        <f t="shared" si="29"/>
        <v>46039.14</v>
      </c>
      <c r="BK35" s="119">
        <v>1018.12</v>
      </c>
      <c r="BL35" s="119">
        <v>9842.7200000000012</v>
      </c>
      <c r="BM35" s="119">
        <v>2279.34</v>
      </c>
      <c r="BN35" s="119">
        <v>0</v>
      </c>
      <c r="BO35" s="119">
        <v>32317.120000000003</v>
      </c>
      <c r="BP35" s="119">
        <v>3573.1000000000004</v>
      </c>
      <c r="BQ35" s="119">
        <v>0</v>
      </c>
      <c r="BR35" s="119">
        <v>4639.92</v>
      </c>
      <c r="BS35" s="119">
        <v>3576.2200000000003</v>
      </c>
      <c r="BT35" s="119">
        <v>438.48</v>
      </c>
      <c r="BU35" s="119">
        <v>0</v>
      </c>
      <c r="BV35" s="119">
        <v>10294.56</v>
      </c>
      <c r="BW35" s="98">
        <f t="shared" si="30"/>
        <v>67979.58</v>
      </c>
      <c r="BX35" s="119">
        <v>2175.3200000000002</v>
      </c>
      <c r="BY35" s="119">
        <v>0</v>
      </c>
      <c r="BZ35" s="119">
        <v>0</v>
      </c>
      <c r="CA35" s="119">
        <v>0</v>
      </c>
      <c r="CB35" s="119">
        <v>3844.83</v>
      </c>
      <c r="CC35" s="119">
        <v>0</v>
      </c>
      <c r="CD35" s="119">
        <v>257.08999999999997</v>
      </c>
      <c r="CE35" s="119">
        <v>7446.0300000000007</v>
      </c>
      <c r="CF35" s="119">
        <v>1964.3000000000002</v>
      </c>
      <c r="CG35" s="119">
        <v>6388.08</v>
      </c>
      <c r="CH35" s="98">
        <f t="shared" si="31"/>
        <v>22075.65</v>
      </c>
      <c r="CI35" s="96">
        <f t="shared" si="32"/>
        <v>32370.21</v>
      </c>
      <c r="CJ35" s="95"/>
      <c r="CK35" s="119">
        <f t="shared" si="33"/>
        <v>0</v>
      </c>
      <c r="CL35" s="119">
        <f t="shared" si="33"/>
        <v>0</v>
      </c>
      <c r="CM35" s="119">
        <f t="shared" si="33"/>
        <v>-621.43996228058541</v>
      </c>
      <c r="CN35" s="119">
        <f t="shared" si="33"/>
        <v>-749.44817227413569</v>
      </c>
      <c r="CO35" s="119">
        <f t="shared" si="33"/>
        <v>-208.96847596487623</v>
      </c>
      <c r="CP35" s="119">
        <f t="shared" si="33"/>
        <v>0</v>
      </c>
      <c r="CQ35" s="119">
        <f t="shared" si="33"/>
        <v>-5.9373328992227954</v>
      </c>
      <c r="CR35" s="119">
        <f t="shared" si="33"/>
        <v>0</v>
      </c>
      <c r="CS35" s="119">
        <f t="shared" si="33"/>
        <v>0</v>
      </c>
      <c r="CT35" s="119">
        <f t="shared" si="33"/>
        <v>0</v>
      </c>
      <c r="CU35" s="119">
        <f t="shared" si="33"/>
        <v>-23.007825863038988</v>
      </c>
      <c r="CV35" s="119">
        <f t="shared" si="33"/>
        <v>-4476.4542541803894</v>
      </c>
      <c r="CW35" s="98">
        <f t="shared" si="34"/>
        <v>-6085.2560234622488</v>
      </c>
      <c r="CX35" s="119">
        <f t="shared" si="51"/>
        <v>-134.57073400170782</v>
      </c>
      <c r="CY35" s="119">
        <f t="shared" si="51"/>
        <v>-1300.9685056508952</v>
      </c>
      <c r="CZ35" s="119">
        <f t="shared" si="51"/>
        <v>-301.27338313700989</v>
      </c>
      <c r="DA35" s="119">
        <f t="shared" si="51"/>
        <v>0</v>
      </c>
      <c r="DB35" s="119">
        <f t="shared" si="51"/>
        <v>-4271.5382854882228</v>
      </c>
      <c r="DC35" s="119">
        <f t="shared" si="51"/>
        <v>-472.27702988007513</v>
      </c>
      <c r="DD35" s="119">
        <f t="shared" si="51"/>
        <v>0</v>
      </c>
      <c r="DE35" s="119">
        <f t="shared" si="51"/>
        <v>-613.28472096531232</v>
      </c>
      <c r="DF35" s="119">
        <f t="shared" si="51"/>
        <v>-472.68941809569333</v>
      </c>
      <c r="DG35" s="119">
        <f t="shared" si="51"/>
        <v>-57.956405379590649</v>
      </c>
      <c r="DH35" s="119">
        <f t="shared" si="51"/>
        <v>0</v>
      </c>
      <c r="DI35" s="119">
        <f t="shared" si="51"/>
        <v>-1360.6907785178773</v>
      </c>
      <c r="DJ35" s="98">
        <f t="shared" si="35"/>
        <v>-8985.2492611163834</v>
      </c>
      <c r="DK35" s="119">
        <f t="shared" si="52"/>
        <v>-287.52446576886314</v>
      </c>
      <c r="DL35" s="119">
        <f t="shared" si="52"/>
        <v>0</v>
      </c>
      <c r="DM35" s="119">
        <f t="shared" si="52"/>
        <v>0</v>
      </c>
      <c r="DN35" s="119">
        <f t="shared" si="52"/>
        <v>0</v>
      </c>
      <c r="DO35" s="119">
        <f t="shared" si="52"/>
        <v>-508.19313559480815</v>
      </c>
      <c r="DP35" s="119">
        <f t="shared" si="52"/>
        <v>0</v>
      </c>
      <c r="DQ35" s="119">
        <f t="shared" si="52"/>
        <v>-33.981053318370186</v>
      </c>
      <c r="DR35" s="119">
        <f t="shared" si="52"/>
        <v>-984.18430292965058</v>
      </c>
      <c r="DS35" s="119">
        <f t="shared" si="52"/>
        <v>-259.63274741636997</v>
      </c>
      <c r="DT35" s="119">
        <f t="shared" si="52"/>
        <v>-844.3490103933018</v>
      </c>
      <c r="DU35" s="98">
        <f t="shared" si="36"/>
        <v>-2917.8647154213641</v>
      </c>
      <c r="DV35" s="96">
        <f t="shared" si="37"/>
        <v>-4278.5554939392414</v>
      </c>
      <c r="DW35" s="95"/>
      <c r="DX35" s="162">
        <f t="shared" si="57"/>
        <v>0</v>
      </c>
      <c r="DY35" s="162">
        <f t="shared" si="57"/>
        <v>0</v>
      </c>
      <c r="DZ35" s="162">
        <f t="shared" si="57"/>
        <v>-0.15230699541090215</v>
      </c>
      <c r="EA35" s="162">
        <f t="shared" si="57"/>
        <v>-0.15230699541090201</v>
      </c>
      <c r="EB35" s="162">
        <f t="shared" si="57"/>
        <v>-0.1523069954109019</v>
      </c>
      <c r="EC35" s="162">
        <f t="shared" si="57"/>
        <v>0</v>
      </c>
      <c r="ED35" s="162">
        <f t="shared" si="57"/>
        <v>-0.15230699541090204</v>
      </c>
      <c r="EE35" s="162">
        <f t="shared" si="57"/>
        <v>0</v>
      </c>
      <c r="EF35" s="162">
        <f t="shared" si="57"/>
        <v>0</v>
      </c>
      <c r="EG35" s="162">
        <f t="shared" si="55"/>
        <v>0</v>
      </c>
      <c r="EH35" s="162">
        <f t="shared" si="55"/>
        <v>-0.15230699541090192</v>
      </c>
      <c r="EI35" s="162">
        <f t="shared" si="55"/>
        <v>-0.15230699541090206</v>
      </c>
      <c r="EJ35" s="163">
        <f t="shared" si="55"/>
        <v>-0.15230699541090206</v>
      </c>
      <c r="EK35" s="162">
        <f t="shared" si="55"/>
        <v>-0.15230699541090212</v>
      </c>
      <c r="EL35" s="162">
        <f t="shared" si="55"/>
        <v>-0.15230699541090206</v>
      </c>
      <c r="EM35" s="162">
        <f t="shared" si="55"/>
        <v>-0.15230699541090198</v>
      </c>
      <c r="EN35" s="162">
        <f t="shared" si="55"/>
        <v>0</v>
      </c>
      <c r="EO35" s="162">
        <f t="shared" si="55"/>
        <v>-0.15230699541090201</v>
      </c>
      <c r="EP35" s="162">
        <f t="shared" si="55"/>
        <v>-0.15230699541090206</v>
      </c>
      <c r="EQ35" s="162">
        <f t="shared" si="55"/>
        <v>0</v>
      </c>
      <c r="ER35" s="162">
        <f t="shared" si="55"/>
        <v>-0.15230699541090201</v>
      </c>
      <c r="ES35" s="162">
        <f t="shared" si="55"/>
        <v>-0.15230699541090201</v>
      </c>
      <c r="ET35" s="162">
        <f t="shared" si="55"/>
        <v>-0.15230699541090206</v>
      </c>
      <c r="EU35" s="162">
        <f t="shared" si="55"/>
        <v>0</v>
      </c>
      <c r="EV35" s="162">
        <f t="shared" si="55"/>
        <v>-0.15230699541090212</v>
      </c>
      <c r="EW35" s="163">
        <f t="shared" si="58"/>
        <v>-0.15230699541090204</v>
      </c>
      <c r="EX35" s="162">
        <f t="shared" si="58"/>
        <v>-0.15230699541090204</v>
      </c>
      <c r="EY35" s="162">
        <f t="shared" si="58"/>
        <v>0</v>
      </c>
      <c r="EZ35" s="162">
        <f t="shared" si="58"/>
        <v>0</v>
      </c>
      <c r="FA35" s="162">
        <f t="shared" si="58"/>
        <v>0</v>
      </c>
      <c r="FB35" s="162">
        <f t="shared" si="58"/>
        <v>-0.15230699541090206</v>
      </c>
      <c r="FC35" s="162">
        <f t="shared" si="56"/>
        <v>0</v>
      </c>
      <c r="FD35" s="162">
        <f t="shared" si="50"/>
        <v>-0.15230699541090209</v>
      </c>
      <c r="FE35" s="162">
        <f t="shared" si="50"/>
        <v>-0.15230699541090198</v>
      </c>
      <c r="FF35" s="162">
        <f t="shared" si="48"/>
        <v>-0.15230699541090204</v>
      </c>
      <c r="FG35" s="162">
        <f t="shared" si="48"/>
        <v>-0.15230699541090187</v>
      </c>
      <c r="FH35" s="163">
        <f t="shared" si="48"/>
        <v>-0.15230699541090198</v>
      </c>
      <c r="FI35" s="164">
        <f t="shared" si="48"/>
        <v>-0.15230699541090204</v>
      </c>
      <c r="FJ35" s="95"/>
      <c r="FK35" s="119">
        <v>0</v>
      </c>
      <c r="FL35" s="119">
        <v>0</v>
      </c>
      <c r="FM35" s="119">
        <v>0</v>
      </c>
      <c r="FN35" s="119">
        <v>0</v>
      </c>
      <c r="FO35" s="119">
        <v>0</v>
      </c>
      <c r="FP35" s="119">
        <v>0</v>
      </c>
      <c r="FQ35" s="119">
        <v>21275.55</v>
      </c>
      <c r="FR35" s="119">
        <v>0</v>
      </c>
      <c r="FS35" s="119">
        <v>46095.05</v>
      </c>
      <c r="FT35" s="119">
        <v>0</v>
      </c>
      <c r="FU35" s="119">
        <v>0</v>
      </c>
      <c r="FV35" s="119">
        <v>0</v>
      </c>
      <c r="FW35" s="98">
        <f t="shared" si="39"/>
        <v>67370.600000000006</v>
      </c>
      <c r="FX35" s="119">
        <v>0</v>
      </c>
      <c r="FY35" s="119">
        <v>0</v>
      </c>
      <c r="FZ35" s="119">
        <v>0</v>
      </c>
      <c r="GA35" s="119">
        <v>0</v>
      </c>
      <c r="GB35" s="119">
        <v>0</v>
      </c>
      <c r="GC35" s="119">
        <v>0</v>
      </c>
      <c r="GD35" s="119">
        <v>0</v>
      </c>
      <c r="GE35" s="119">
        <v>0</v>
      </c>
      <c r="GF35" s="119">
        <v>0</v>
      </c>
      <c r="GG35" s="119">
        <v>0</v>
      </c>
      <c r="GH35" s="119">
        <v>0</v>
      </c>
      <c r="GI35" s="119">
        <v>0</v>
      </c>
      <c r="GJ35" s="98">
        <f t="shared" si="40"/>
        <v>0</v>
      </c>
      <c r="GK35" s="119">
        <v>0</v>
      </c>
      <c r="GL35" s="119">
        <v>0</v>
      </c>
      <c r="GM35" s="119">
        <v>0</v>
      </c>
      <c r="GN35" s="119">
        <v>0</v>
      </c>
      <c r="GO35" s="119">
        <v>50735.4</v>
      </c>
      <c r="GP35" s="119">
        <v>0</v>
      </c>
      <c r="GQ35" s="119">
        <v>0</v>
      </c>
      <c r="GR35" s="119">
        <v>0</v>
      </c>
      <c r="GS35" s="119">
        <v>0</v>
      </c>
      <c r="GT35" s="119">
        <v>0</v>
      </c>
      <c r="GU35" s="98">
        <f t="shared" si="41"/>
        <v>50735.4</v>
      </c>
      <c r="GV35" s="96">
        <f t="shared" si="42"/>
        <v>50735.4</v>
      </c>
      <c r="GW35" s="95"/>
      <c r="GX35" s="119">
        <f t="shared" si="43"/>
        <v>0</v>
      </c>
      <c r="GY35" s="119">
        <f t="shared" si="43"/>
        <v>0</v>
      </c>
      <c r="GZ35" s="119">
        <f t="shared" si="43"/>
        <v>4080.1800377194145</v>
      </c>
      <c r="HA35" s="119">
        <f t="shared" si="43"/>
        <v>4920.6418277258645</v>
      </c>
      <c r="HB35" s="119">
        <f t="shared" si="43"/>
        <v>1372.0215240351238</v>
      </c>
      <c r="HC35" s="119">
        <f t="shared" si="43"/>
        <v>0</v>
      </c>
      <c r="HD35" s="119">
        <f t="shared" si="43"/>
        <v>-21236.567332899223</v>
      </c>
      <c r="HE35" s="119">
        <f t="shared" si="43"/>
        <v>0</v>
      </c>
      <c r="HF35" s="119">
        <f t="shared" si="43"/>
        <v>-46095.05</v>
      </c>
      <c r="HG35" s="119">
        <f t="shared" si="43"/>
        <v>0</v>
      </c>
      <c r="HH35" s="119">
        <f t="shared" si="43"/>
        <v>151.062174136961</v>
      </c>
      <c r="HI35" s="119">
        <f t="shared" si="43"/>
        <v>29390.995745819608</v>
      </c>
      <c r="HJ35" s="98">
        <f t="shared" si="44"/>
        <v>-27416.716023462257</v>
      </c>
      <c r="HK35" s="119">
        <f t="shared" si="53"/>
        <v>883.54926599829219</v>
      </c>
      <c r="HL35" s="119">
        <f t="shared" si="53"/>
        <v>8541.751494349106</v>
      </c>
      <c r="HM35" s="119">
        <f t="shared" si="53"/>
        <v>1978.0666168629903</v>
      </c>
      <c r="HN35" s="119">
        <f t="shared" si="53"/>
        <v>0</v>
      </c>
      <c r="HO35" s="119">
        <f t="shared" si="53"/>
        <v>28045.58171451178</v>
      </c>
      <c r="HP35" s="119">
        <f t="shared" si="53"/>
        <v>3100.8229701199252</v>
      </c>
      <c r="HQ35" s="119">
        <f t="shared" si="53"/>
        <v>0</v>
      </c>
      <c r="HR35" s="119">
        <f t="shared" si="53"/>
        <v>4026.6352790346878</v>
      </c>
      <c r="HS35" s="119">
        <f t="shared" si="53"/>
        <v>3103.5305819043069</v>
      </c>
      <c r="HT35" s="119">
        <f t="shared" si="53"/>
        <v>380.52359462040937</v>
      </c>
      <c r="HU35" s="119">
        <f t="shared" si="53"/>
        <v>0</v>
      </c>
      <c r="HV35" s="119">
        <f t="shared" si="53"/>
        <v>8933.8692214821222</v>
      </c>
      <c r="HW35" s="98">
        <f t="shared" si="45"/>
        <v>58994.330738883618</v>
      </c>
      <c r="HX35" s="119">
        <f t="shared" si="54"/>
        <v>1887.795534231137</v>
      </c>
      <c r="HY35" s="119">
        <f t="shared" si="54"/>
        <v>0</v>
      </c>
      <c r="HZ35" s="119">
        <f t="shared" si="54"/>
        <v>0</v>
      </c>
      <c r="IA35" s="119">
        <f t="shared" si="54"/>
        <v>0</v>
      </c>
      <c r="IB35" s="119">
        <f t="shared" si="54"/>
        <v>-47398.763135594811</v>
      </c>
      <c r="IC35" s="119">
        <f t="shared" si="54"/>
        <v>0</v>
      </c>
      <c r="ID35" s="119">
        <f t="shared" si="54"/>
        <v>223.10894668162979</v>
      </c>
      <c r="IE35" s="119">
        <f t="shared" si="54"/>
        <v>6461.8456970703501</v>
      </c>
      <c r="IF35" s="119">
        <f t="shared" si="54"/>
        <v>1704.6672525836302</v>
      </c>
      <c r="IG35" s="119">
        <f t="shared" si="54"/>
        <v>5543.7309896066981</v>
      </c>
      <c r="IH35" s="98">
        <f t="shared" si="46"/>
        <v>-31577.614715421365</v>
      </c>
      <c r="II35" s="96">
        <f t="shared" si="47"/>
        <v>-22643.745493939241</v>
      </c>
    </row>
    <row r="36" spans="2:243" x14ac:dyDescent="0.2">
      <c r="B36" s="101" t="s">
        <v>331</v>
      </c>
      <c r="C36" s="89" t="s">
        <v>332</v>
      </c>
      <c r="D36" s="89" t="str">
        <f>_xlfn.IFNA(INDEX('4. WIP Report (Oct-25)'!D:D,MATCH('7. POC Lookback Summary'!$B36,'4. WIP Report (Oct-25)'!$B:$B,0)),INDEX('5. Completed Jobs'!D:D,MATCH('7. POC Lookback Summary'!$B36,'5. Completed Jobs'!$B:$B,0)))</f>
        <v>Metro Development Partners</v>
      </c>
      <c r="E36" s="89" t="str">
        <f>_xlfn.IFNA(INDEX('4. WIP Report (Oct-25)'!E:E,MATCH('7. POC Lookback Summary'!$B36,'4. WIP Report (Oct-25)'!$B:$B,0)),INDEX('5. Completed Jobs'!E:E,MATCH('7. POC Lookback Summary'!$B36,'5. Completed Jobs'!$B:$B,0)))</f>
        <v>Sprinkler Installation</v>
      </c>
      <c r="F36" s="89" t="str">
        <f>_xlfn.IFNA(INDEX('4. WIP Report (Oct-25)'!F:F,MATCH('7. POC Lookback Summary'!$B36,'4. WIP Report (Oct-25)'!$B:$B,0)),INDEX('5. Completed Jobs'!F:F,MATCH('7. POC Lookback Summary'!$B36,'5. Completed Jobs'!$B:$B,0)))</f>
        <v>Government</v>
      </c>
      <c r="G36" s="89" t="str">
        <f>_xlfn.IFNA(INDEX('4. WIP Report (Oct-25)'!G:G,MATCH('7. POC Lookback Summary'!$B36,'4. WIP Report (Oct-25)'!$B:$B,0)),INDEX('5. Completed Jobs'!G:G,MATCH('7. POC Lookback Summary'!$B36,'5. Completed Jobs'!$B:$B,0)))</f>
        <v>Direct</v>
      </c>
      <c r="H36" s="89" t="str">
        <f>_xlfn.IFNA(INDEX('4. WIP Report (Oct-25)'!H:H,MATCH('7. POC Lookback Summary'!$B36,'4. WIP Report (Oct-25)'!$B:$B,0)),INDEX('5. Completed Jobs'!H:H,MATCH('7. POC Lookback Summary'!$B36,'5. Completed Jobs'!$B:$B,0)))</f>
        <v>New Construction</v>
      </c>
      <c r="J36" s="95"/>
      <c r="K36" s="119">
        <v>1144.4106342479897</v>
      </c>
      <c r="L36" s="119">
        <v>0</v>
      </c>
      <c r="M36" s="119">
        <v>1652.4877698669104</v>
      </c>
      <c r="N36" s="119">
        <v>30165.886583387906</v>
      </c>
      <c r="O36" s="119">
        <v>21313.787244636082</v>
      </c>
      <c r="P36" s="119">
        <v>39617.8484960313</v>
      </c>
      <c r="Q36" s="119">
        <v>7695.1985096302797</v>
      </c>
      <c r="R36" s="119">
        <v>51.177032352061623</v>
      </c>
      <c r="S36" s="119">
        <v>0</v>
      </c>
      <c r="T36" s="119">
        <v>0</v>
      </c>
      <c r="U36" s="119">
        <v>0</v>
      </c>
      <c r="V36" s="119">
        <v>0</v>
      </c>
      <c r="W36" s="98">
        <f t="shared" si="25"/>
        <v>101640.79627015254</v>
      </c>
      <c r="X36" s="119">
        <v>55.49778451374408</v>
      </c>
      <c r="Y36" s="119">
        <v>104.64217510336894</v>
      </c>
      <c r="Z36" s="119">
        <v>0</v>
      </c>
      <c r="AA36" s="119">
        <v>3483.8313538302018</v>
      </c>
      <c r="AB36" s="119">
        <v>0</v>
      </c>
      <c r="AC36" s="119">
        <v>0</v>
      </c>
      <c r="AD36" s="119">
        <v>6326.2476046252432</v>
      </c>
      <c r="AE36" s="119">
        <v>350.20307173698325</v>
      </c>
      <c r="AF36" s="119">
        <v>0</v>
      </c>
      <c r="AG36" s="119">
        <v>2692.7116296249733</v>
      </c>
      <c r="AH36" s="119">
        <v>0</v>
      </c>
      <c r="AI36" s="119">
        <v>0</v>
      </c>
      <c r="AJ36" s="98">
        <f t="shared" si="26"/>
        <v>13013.133619434515</v>
      </c>
      <c r="AK36" s="119">
        <v>103.2370976009195</v>
      </c>
      <c r="AL36" s="119">
        <v>0</v>
      </c>
      <c r="AM36" s="119">
        <v>0</v>
      </c>
      <c r="AN36" s="119">
        <v>0</v>
      </c>
      <c r="AO36" s="119">
        <v>0</v>
      </c>
      <c r="AP36" s="119">
        <v>59478.813371464748</v>
      </c>
      <c r="AQ36" s="119">
        <v>372.52325546166435</v>
      </c>
      <c r="AR36" s="119">
        <v>3822.6882858932559</v>
      </c>
      <c r="AS36" s="119">
        <v>10566.988099992339</v>
      </c>
      <c r="AT36" s="119">
        <v>0</v>
      </c>
      <c r="AU36" s="98">
        <f t="shared" si="27"/>
        <v>74344.250110412933</v>
      </c>
      <c r="AV36" s="96">
        <f t="shared" si="28"/>
        <v>74344.250110412933</v>
      </c>
      <c r="AW36" s="95"/>
      <c r="AX36" s="119">
        <v>2060.6400000000003</v>
      </c>
      <c r="AY36" s="119">
        <v>0</v>
      </c>
      <c r="AZ36" s="119">
        <v>2975.49</v>
      </c>
      <c r="BA36" s="119">
        <v>54317.07</v>
      </c>
      <c r="BB36" s="119">
        <v>38377.870000000003</v>
      </c>
      <c r="BC36" s="119">
        <v>71336.39</v>
      </c>
      <c r="BD36" s="119">
        <v>13856.069999999998</v>
      </c>
      <c r="BE36" s="119">
        <v>92.15</v>
      </c>
      <c r="BF36" s="119">
        <v>0</v>
      </c>
      <c r="BG36" s="119">
        <v>0</v>
      </c>
      <c r="BH36" s="119">
        <v>0</v>
      </c>
      <c r="BI36" s="119">
        <v>0</v>
      </c>
      <c r="BJ36" s="98">
        <f t="shared" si="29"/>
        <v>183015.68000000002</v>
      </c>
      <c r="BK36" s="119">
        <v>99.93</v>
      </c>
      <c r="BL36" s="119">
        <v>188.42</v>
      </c>
      <c r="BM36" s="119">
        <v>0</v>
      </c>
      <c r="BN36" s="119">
        <v>6273.0300000000007</v>
      </c>
      <c r="BO36" s="119">
        <v>0</v>
      </c>
      <c r="BP36" s="119">
        <v>0</v>
      </c>
      <c r="BQ36" s="119">
        <v>11391.12</v>
      </c>
      <c r="BR36" s="119">
        <v>630.57999999999993</v>
      </c>
      <c r="BS36" s="119">
        <v>0</v>
      </c>
      <c r="BT36" s="119">
        <v>4848.53</v>
      </c>
      <c r="BU36" s="119">
        <v>0</v>
      </c>
      <c r="BV36" s="119">
        <v>0</v>
      </c>
      <c r="BW36" s="98">
        <f t="shared" si="30"/>
        <v>23431.61</v>
      </c>
      <c r="BX36" s="119">
        <v>185.89</v>
      </c>
      <c r="BY36" s="119">
        <v>0</v>
      </c>
      <c r="BZ36" s="119">
        <v>0</v>
      </c>
      <c r="CA36" s="119">
        <v>0</v>
      </c>
      <c r="CB36" s="119">
        <v>0</v>
      </c>
      <c r="CC36" s="119">
        <v>107098.29</v>
      </c>
      <c r="CD36" s="119">
        <v>670.77</v>
      </c>
      <c r="CE36" s="119">
        <v>6883.18</v>
      </c>
      <c r="CF36" s="119">
        <v>19027.05</v>
      </c>
      <c r="CG36" s="119">
        <v>0</v>
      </c>
      <c r="CH36" s="98">
        <f t="shared" si="31"/>
        <v>133865.18</v>
      </c>
      <c r="CI36" s="96">
        <f t="shared" si="32"/>
        <v>133865.18</v>
      </c>
      <c r="CJ36" s="95"/>
      <c r="CK36" s="119">
        <f t="shared" si="33"/>
        <v>-916.22936575201061</v>
      </c>
      <c r="CL36" s="119">
        <f t="shared" si="33"/>
        <v>0</v>
      </c>
      <c r="CM36" s="119">
        <f t="shared" si="33"/>
        <v>-1323.0022301330894</v>
      </c>
      <c r="CN36" s="119">
        <f t="shared" si="33"/>
        <v>-24151.183416612093</v>
      </c>
      <c r="CO36" s="119">
        <f t="shared" si="33"/>
        <v>-17064.082755363921</v>
      </c>
      <c r="CP36" s="119">
        <f t="shared" si="33"/>
        <v>-31718.5415039687</v>
      </c>
      <c r="CQ36" s="119">
        <f t="shared" si="33"/>
        <v>-6160.8714903697182</v>
      </c>
      <c r="CR36" s="119">
        <f t="shared" si="33"/>
        <v>-40.972967647938383</v>
      </c>
      <c r="CS36" s="119">
        <f t="shared" si="33"/>
        <v>0</v>
      </c>
      <c r="CT36" s="119">
        <f t="shared" si="33"/>
        <v>0</v>
      </c>
      <c r="CU36" s="119">
        <f t="shared" si="33"/>
        <v>0</v>
      </c>
      <c r="CV36" s="119">
        <f t="shared" si="33"/>
        <v>0</v>
      </c>
      <c r="CW36" s="98">
        <f t="shared" si="34"/>
        <v>-81374.883729847483</v>
      </c>
      <c r="CX36" s="119">
        <f t="shared" si="51"/>
        <v>-44.432215486255927</v>
      </c>
      <c r="CY36" s="119">
        <f t="shared" si="51"/>
        <v>-83.777824896631046</v>
      </c>
      <c r="CZ36" s="119">
        <f t="shared" si="51"/>
        <v>0</v>
      </c>
      <c r="DA36" s="119">
        <f t="shared" si="51"/>
        <v>-2789.1986461697988</v>
      </c>
      <c r="DB36" s="119">
        <f t="shared" si="51"/>
        <v>0</v>
      </c>
      <c r="DC36" s="119">
        <f t="shared" si="51"/>
        <v>0</v>
      </c>
      <c r="DD36" s="119">
        <f t="shared" si="51"/>
        <v>-5064.8723953747576</v>
      </c>
      <c r="DE36" s="119">
        <f t="shared" si="51"/>
        <v>-280.37692826301668</v>
      </c>
      <c r="DF36" s="119">
        <f t="shared" si="51"/>
        <v>0</v>
      </c>
      <c r="DG36" s="119">
        <f t="shared" si="51"/>
        <v>-2155.8183703750265</v>
      </c>
      <c r="DH36" s="119">
        <f t="shared" si="51"/>
        <v>0</v>
      </c>
      <c r="DI36" s="119">
        <f t="shared" si="51"/>
        <v>0</v>
      </c>
      <c r="DJ36" s="98">
        <f t="shared" si="35"/>
        <v>-10418.476380565487</v>
      </c>
      <c r="DK36" s="119">
        <f t="shared" si="52"/>
        <v>-82.652902399080489</v>
      </c>
      <c r="DL36" s="119">
        <f t="shared" si="52"/>
        <v>0</v>
      </c>
      <c r="DM36" s="119">
        <f t="shared" si="52"/>
        <v>0</v>
      </c>
      <c r="DN36" s="119">
        <f t="shared" si="52"/>
        <v>0</v>
      </c>
      <c r="DO36" s="119">
        <f t="shared" si="52"/>
        <v>0</v>
      </c>
      <c r="DP36" s="119">
        <f t="shared" si="52"/>
        <v>-47619.476628535245</v>
      </c>
      <c r="DQ36" s="119">
        <f t="shared" si="52"/>
        <v>-298.24674453833563</v>
      </c>
      <c r="DR36" s="119">
        <f t="shared" si="52"/>
        <v>-3060.4917141067444</v>
      </c>
      <c r="DS36" s="119">
        <f t="shared" si="52"/>
        <v>-8460.0619000076604</v>
      </c>
      <c r="DT36" s="119">
        <f t="shared" si="52"/>
        <v>0</v>
      </c>
      <c r="DU36" s="98">
        <f t="shared" si="36"/>
        <v>-59520.929889587067</v>
      </c>
      <c r="DV36" s="96">
        <f t="shared" si="37"/>
        <v>-59520.929889587067</v>
      </c>
      <c r="DW36" s="95"/>
      <c r="DX36" s="162">
        <f t="shared" si="57"/>
        <v>-0.80061241859577736</v>
      </c>
      <c r="DY36" s="162">
        <f t="shared" si="57"/>
        <v>0</v>
      </c>
      <c r="DZ36" s="162">
        <f t="shared" si="57"/>
        <v>-0.80061241859577725</v>
      </c>
      <c r="EA36" s="162">
        <f t="shared" si="57"/>
        <v>-0.80061241859577703</v>
      </c>
      <c r="EB36" s="162">
        <f t="shared" si="57"/>
        <v>-0.80061241859577725</v>
      </c>
      <c r="EC36" s="162">
        <f t="shared" si="57"/>
        <v>-0.80061241859577736</v>
      </c>
      <c r="ED36" s="162">
        <f t="shared" si="57"/>
        <v>-0.80061241859577714</v>
      </c>
      <c r="EE36" s="162">
        <f t="shared" si="57"/>
        <v>-0.80061241859577703</v>
      </c>
      <c r="EF36" s="162">
        <f t="shared" si="57"/>
        <v>0</v>
      </c>
      <c r="EG36" s="162">
        <f t="shared" si="55"/>
        <v>0</v>
      </c>
      <c r="EH36" s="162">
        <f t="shared" si="55"/>
        <v>0</v>
      </c>
      <c r="EI36" s="162">
        <f t="shared" si="55"/>
        <v>0</v>
      </c>
      <c r="EJ36" s="163">
        <f t="shared" si="55"/>
        <v>-0.80061241859577725</v>
      </c>
      <c r="EK36" s="162">
        <f t="shared" si="55"/>
        <v>-0.80061241859577736</v>
      </c>
      <c r="EL36" s="162">
        <f t="shared" si="55"/>
        <v>-0.80061241859577736</v>
      </c>
      <c r="EM36" s="162">
        <f t="shared" si="55"/>
        <v>0</v>
      </c>
      <c r="EN36" s="162">
        <f t="shared" si="55"/>
        <v>-0.80061241859577725</v>
      </c>
      <c r="EO36" s="162">
        <f t="shared" si="55"/>
        <v>0</v>
      </c>
      <c r="EP36" s="162">
        <f t="shared" si="55"/>
        <v>0</v>
      </c>
      <c r="EQ36" s="162">
        <f t="shared" si="55"/>
        <v>-0.80061241859577714</v>
      </c>
      <c r="ER36" s="162">
        <f t="shared" si="55"/>
        <v>-0.80061241859577736</v>
      </c>
      <c r="ES36" s="162">
        <f t="shared" si="55"/>
        <v>0</v>
      </c>
      <c r="ET36" s="162">
        <f t="shared" si="55"/>
        <v>-0.80061241859577714</v>
      </c>
      <c r="EU36" s="162">
        <f t="shared" si="55"/>
        <v>0</v>
      </c>
      <c r="EV36" s="162">
        <f t="shared" si="55"/>
        <v>0</v>
      </c>
      <c r="EW36" s="163">
        <f t="shared" si="58"/>
        <v>-0.80061241859577725</v>
      </c>
      <c r="EX36" s="162">
        <f t="shared" si="58"/>
        <v>-0.80061241859577736</v>
      </c>
      <c r="EY36" s="162">
        <f t="shared" si="58"/>
        <v>0</v>
      </c>
      <c r="EZ36" s="162">
        <f t="shared" si="58"/>
        <v>0</v>
      </c>
      <c r="FA36" s="162">
        <f t="shared" si="58"/>
        <v>0</v>
      </c>
      <c r="FB36" s="162">
        <f t="shared" si="58"/>
        <v>0</v>
      </c>
      <c r="FC36" s="162">
        <f t="shared" si="56"/>
        <v>-0.80061241859577725</v>
      </c>
      <c r="FD36" s="162">
        <f t="shared" si="50"/>
        <v>-0.80061241859577714</v>
      </c>
      <c r="FE36" s="162">
        <f t="shared" si="50"/>
        <v>-0.80061241859577692</v>
      </c>
      <c r="FF36" s="162">
        <f t="shared" si="48"/>
        <v>-0.80061241859577692</v>
      </c>
      <c r="FG36" s="162">
        <f t="shared" si="48"/>
        <v>0</v>
      </c>
      <c r="FH36" s="163">
        <f t="shared" si="48"/>
        <v>-0.80061241859577714</v>
      </c>
      <c r="FI36" s="164">
        <f t="shared" si="48"/>
        <v>-0.80061241859577714</v>
      </c>
      <c r="FJ36" s="95"/>
      <c r="FK36" s="119">
        <v>0</v>
      </c>
      <c r="FL36" s="119">
        <v>0</v>
      </c>
      <c r="FM36" s="119">
        <v>0</v>
      </c>
      <c r="FN36" s="119">
        <v>0</v>
      </c>
      <c r="FO36" s="119">
        <v>0</v>
      </c>
      <c r="FP36" s="119">
        <v>0</v>
      </c>
      <c r="FQ36" s="119">
        <v>0</v>
      </c>
      <c r="FR36" s="119">
        <v>0</v>
      </c>
      <c r="FS36" s="119">
        <v>0</v>
      </c>
      <c r="FT36" s="119">
        <v>0</v>
      </c>
      <c r="FU36" s="119">
        <v>0</v>
      </c>
      <c r="FV36" s="119">
        <v>0</v>
      </c>
      <c r="FW36" s="98">
        <f t="shared" si="39"/>
        <v>0</v>
      </c>
      <c r="FX36" s="119">
        <v>23428.1</v>
      </c>
      <c r="FY36" s="119">
        <v>0</v>
      </c>
      <c r="FZ36" s="119">
        <v>0</v>
      </c>
      <c r="GA36" s="119">
        <v>24259.22</v>
      </c>
      <c r="GB36" s="119">
        <v>0</v>
      </c>
      <c r="GC36" s="119">
        <v>85328.86</v>
      </c>
      <c r="GD36" s="119">
        <v>0</v>
      </c>
      <c r="GE36" s="119">
        <v>0</v>
      </c>
      <c r="GF36" s="119">
        <v>0</v>
      </c>
      <c r="GG36" s="119">
        <v>0</v>
      </c>
      <c r="GH36" s="119">
        <v>0</v>
      </c>
      <c r="GI36" s="119">
        <v>0</v>
      </c>
      <c r="GJ36" s="98">
        <f t="shared" si="40"/>
        <v>133016.18</v>
      </c>
      <c r="GK36" s="119">
        <v>0</v>
      </c>
      <c r="GL36" s="119">
        <v>0</v>
      </c>
      <c r="GM36" s="119">
        <v>0</v>
      </c>
      <c r="GN36" s="119">
        <v>0</v>
      </c>
      <c r="GO36" s="119">
        <v>0</v>
      </c>
      <c r="GP36" s="119">
        <v>0</v>
      </c>
      <c r="GQ36" s="119">
        <v>0</v>
      </c>
      <c r="GR36" s="119">
        <v>0</v>
      </c>
      <c r="GS36" s="119">
        <v>55982</v>
      </c>
      <c r="GT36" s="119">
        <v>0</v>
      </c>
      <c r="GU36" s="98">
        <f t="shared" si="41"/>
        <v>55982</v>
      </c>
      <c r="GV36" s="96">
        <f t="shared" si="42"/>
        <v>55982</v>
      </c>
      <c r="GW36" s="95"/>
      <c r="GX36" s="119">
        <f t="shared" si="43"/>
        <v>1144.4106342479897</v>
      </c>
      <c r="GY36" s="119">
        <f t="shared" si="43"/>
        <v>0</v>
      </c>
      <c r="GZ36" s="119">
        <f t="shared" si="43"/>
        <v>1652.4877698669104</v>
      </c>
      <c r="HA36" s="119">
        <f t="shared" si="43"/>
        <v>30165.886583387906</v>
      </c>
      <c r="HB36" s="119">
        <f t="shared" si="43"/>
        <v>21313.787244636082</v>
      </c>
      <c r="HC36" s="119">
        <f t="shared" si="43"/>
        <v>39617.8484960313</v>
      </c>
      <c r="HD36" s="119">
        <f t="shared" si="43"/>
        <v>7695.1985096302797</v>
      </c>
      <c r="HE36" s="119">
        <f t="shared" si="43"/>
        <v>51.177032352061623</v>
      </c>
      <c r="HF36" s="119">
        <f t="shared" si="43"/>
        <v>0</v>
      </c>
      <c r="HG36" s="119">
        <f t="shared" si="43"/>
        <v>0</v>
      </c>
      <c r="HH36" s="119">
        <f t="shared" si="43"/>
        <v>0</v>
      </c>
      <c r="HI36" s="119">
        <f t="shared" si="43"/>
        <v>0</v>
      </c>
      <c r="HJ36" s="98">
        <f t="shared" si="44"/>
        <v>101640.79627015254</v>
      </c>
      <c r="HK36" s="119">
        <f t="shared" si="53"/>
        <v>-23372.602215486255</v>
      </c>
      <c r="HL36" s="119">
        <f t="shared" si="53"/>
        <v>104.64217510336894</v>
      </c>
      <c r="HM36" s="119">
        <f t="shared" si="53"/>
        <v>0</v>
      </c>
      <c r="HN36" s="119">
        <f t="shared" si="53"/>
        <v>-20775.388646169798</v>
      </c>
      <c r="HO36" s="119">
        <f t="shared" si="53"/>
        <v>0</v>
      </c>
      <c r="HP36" s="119">
        <f t="shared" si="53"/>
        <v>-85328.86</v>
      </c>
      <c r="HQ36" s="119">
        <f t="shared" si="53"/>
        <v>6326.2476046252432</v>
      </c>
      <c r="HR36" s="119">
        <f t="shared" si="53"/>
        <v>350.20307173698325</v>
      </c>
      <c r="HS36" s="119">
        <f t="shared" si="53"/>
        <v>0</v>
      </c>
      <c r="HT36" s="119">
        <f t="shared" si="53"/>
        <v>2692.7116296249733</v>
      </c>
      <c r="HU36" s="119">
        <f t="shared" si="53"/>
        <v>0</v>
      </c>
      <c r="HV36" s="119">
        <f t="shared" si="53"/>
        <v>0</v>
      </c>
      <c r="HW36" s="98">
        <f t="shared" si="45"/>
        <v>-120003.04638056549</v>
      </c>
      <c r="HX36" s="119">
        <f t="shared" si="54"/>
        <v>103.2370976009195</v>
      </c>
      <c r="HY36" s="119">
        <f t="shared" si="54"/>
        <v>0</v>
      </c>
      <c r="HZ36" s="119">
        <f t="shared" si="54"/>
        <v>0</v>
      </c>
      <c r="IA36" s="119">
        <f t="shared" si="54"/>
        <v>0</v>
      </c>
      <c r="IB36" s="119">
        <f t="shared" si="54"/>
        <v>0</v>
      </c>
      <c r="IC36" s="119">
        <f t="shared" si="54"/>
        <v>59478.813371464748</v>
      </c>
      <c r="ID36" s="119">
        <f t="shared" si="54"/>
        <v>372.52325546166435</v>
      </c>
      <c r="IE36" s="119">
        <f t="shared" si="54"/>
        <v>3822.6882858932559</v>
      </c>
      <c r="IF36" s="119">
        <f t="shared" si="54"/>
        <v>-45415.011900007659</v>
      </c>
      <c r="IG36" s="119">
        <f t="shared" si="54"/>
        <v>0</v>
      </c>
      <c r="IH36" s="98">
        <f t="shared" si="46"/>
        <v>18362.250110412933</v>
      </c>
      <c r="II36" s="96">
        <f t="shared" si="47"/>
        <v>18362.250110412933</v>
      </c>
    </row>
    <row r="37" spans="2:243" x14ac:dyDescent="0.2">
      <c r="B37" s="101" t="s">
        <v>333</v>
      </c>
      <c r="C37" s="89" t="s">
        <v>334</v>
      </c>
      <c r="D37" s="89" t="str">
        <f>_xlfn.IFNA(INDEX('4. WIP Report (Oct-25)'!D:D,MATCH('7. POC Lookback Summary'!$B37,'4. WIP Report (Oct-25)'!$B:$B,0)),INDEX('5. Completed Jobs'!D:D,MATCH('7. POC Lookback Summary'!$B37,'5. Completed Jobs'!$B:$B,0)))</f>
        <v>Coastal Contractors Inc</v>
      </c>
      <c r="E37" s="89" t="str">
        <f>_xlfn.IFNA(INDEX('4. WIP Report (Oct-25)'!E:E,MATCH('7. POC Lookback Summary'!$B37,'4. WIP Report (Oct-25)'!$B:$B,0)),INDEX('5. Completed Jobs'!E:E,MATCH('7. POC Lookback Summary'!$B37,'5. Completed Jobs'!$B:$B,0)))</f>
        <v>Sprinkler Installation</v>
      </c>
      <c r="F37" s="89" t="str">
        <f>_xlfn.IFNA(INDEX('4. WIP Report (Oct-25)'!F:F,MATCH('7. POC Lookback Summary'!$B37,'4. WIP Report (Oct-25)'!$B:$B,0)),INDEX('5. Completed Jobs'!F:F,MATCH('7. POC Lookback Summary'!$B37,'5. Completed Jobs'!$B:$B,0)))</f>
        <v>Industrial</v>
      </c>
      <c r="G37" s="89" t="str">
        <f>_xlfn.IFNA(INDEX('4. WIP Report (Oct-25)'!G:G,MATCH('7. POC Lookback Summary'!$B37,'4. WIP Report (Oct-25)'!$B:$B,0)),INDEX('5. Completed Jobs'!G:G,MATCH('7. POC Lookback Summary'!$B37,'5. Completed Jobs'!$B:$B,0)))</f>
        <v>General Contractor</v>
      </c>
      <c r="H37" s="89" t="str">
        <f>_xlfn.IFNA(INDEX('4. WIP Report (Oct-25)'!H:H,MATCH('7. POC Lookback Summary'!$B37,'4. WIP Report (Oct-25)'!$B:$B,0)),INDEX('5. Completed Jobs'!H:H,MATCH('7. POC Lookback Summary'!$B37,'5. Completed Jobs'!$B:$B,0)))</f>
        <v>New Construction</v>
      </c>
      <c r="J37" s="95"/>
      <c r="K37" s="119">
        <v>163.66560770801433</v>
      </c>
      <c r="L37" s="119">
        <v>0</v>
      </c>
      <c r="M37" s="119">
        <v>2081.0196691953552</v>
      </c>
      <c r="N37" s="119">
        <v>0</v>
      </c>
      <c r="O37" s="119">
        <v>19087.81164949853</v>
      </c>
      <c r="P37" s="119">
        <v>32096.659080422512</v>
      </c>
      <c r="Q37" s="119">
        <v>0</v>
      </c>
      <c r="R37" s="119">
        <v>0</v>
      </c>
      <c r="S37" s="119">
        <v>13985.073953406236</v>
      </c>
      <c r="T37" s="119">
        <v>2159.2245498431821</v>
      </c>
      <c r="U37" s="119">
        <v>696.9636130586473</v>
      </c>
      <c r="V37" s="119">
        <v>905.26407633105327</v>
      </c>
      <c r="W37" s="98">
        <f t="shared" si="25"/>
        <v>71175.682199463525</v>
      </c>
      <c r="X37" s="119">
        <v>4864.2872462487467</v>
      </c>
      <c r="Y37" s="119">
        <v>187.12304832764207</v>
      </c>
      <c r="Z37" s="119">
        <v>21.673655826940195</v>
      </c>
      <c r="AA37" s="119">
        <v>1340.8160398087036</v>
      </c>
      <c r="AB37" s="119">
        <v>0</v>
      </c>
      <c r="AC37" s="119">
        <v>171247.76603019508</v>
      </c>
      <c r="AD37" s="119">
        <v>0</v>
      </c>
      <c r="AE37" s="119">
        <v>13544.532757275356</v>
      </c>
      <c r="AF37" s="119">
        <v>0</v>
      </c>
      <c r="AG37" s="119">
        <v>1032.7979830503443</v>
      </c>
      <c r="AH37" s="119">
        <v>5715.1525923606987</v>
      </c>
      <c r="AI37" s="119">
        <v>13945.22715175906</v>
      </c>
      <c r="AJ37" s="98">
        <f t="shared" si="26"/>
        <v>211899.37650485258</v>
      </c>
      <c r="AK37" s="119">
        <v>30505.402338103628</v>
      </c>
      <c r="AL37" s="119">
        <v>6036.8642150839742</v>
      </c>
      <c r="AM37" s="119">
        <v>12314.056548214325</v>
      </c>
      <c r="AN37" s="119">
        <v>0</v>
      </c>
      <c r="AO37" s="119">
        <v>2514.0367805991864</v>
      </c>
      <c r="AP37" s="119">
        <v>0</v>
      </c>
      <c r="AQ37" s="119">
        <v>2315.8489017905872</v>
      </c>
      <c r="AR37" s="119">
        <v>0</v>
      </c>
      <c r="AS37" s="119">
        <v>716.1426525589718</v>
      </c>
      <c r="AT37" s="119">
        <v>2453.1198593331205</v>
      </c>
      <c r="AU37" s="98">
        <f t="shared" si="27"/>
        <v>56855.47129568379</v>
      </c>
      <c r="AV37" s="96">
        <f t="shared" si="28"/>
        <v>76515.851039803543</v>
      </c>
      <c r="AW37" s="95"/>
      <c r="AX37" s="119">
        <v>122.03</v>
      </c>
      <c r="AY37" s="119">
        <v>0</v>
      </c>
      <c r="AZ37" s="119">
        <v>1551.62</v>
      </c>
      <c r="BA37" s="119">
        <v>0</v>
      </c>
      <c r="BB37" s="119">
        <v>14231.98</v>
      </c>
      <c r="BC37" s="119">
        <v>23931.45</v>
      </c>
      <c r="BD37" s="119">
        <v>0</v>
      </c>
      <c r="BE37" s="119">
        <v>0</v>
      </c>
      <c r="BF37" s="119">
        <v>10427.349999999999</v>
      </c>
      <c r="BG37" s="119">
        <v>1609.93</v>
      </c>
      <c r="BH37" s="119">
        <v>519.66</v>
      </c>
      <c r="BI37" s="119">
        <v>674.97</v>
      </c>
      <c r="BJ37" s="98">
        <f t="shared" si="29"/>
        <v>53068.990000000005</v>
      </c>
      <c r="BK37" s="119">
        <v>3626.8399999999997</v>
      </c>
      <c r="BL37" s="119">
        <v>139.52000000000001</v>
      </c>
      <c r="BM37" s="119">
        <v>16.16</v>
      </c>
      <c r="BN37" s="119">
        <v>999.72</v>
      </c>
      <c r="BO37" s="119">
        <v>0</v>
      </c>
      <c r="BP37" s="119">
        <v>127683.3</v>
      </c>
      <c r="BQ37" s="119">
        <v>0</v>
      </c>
      <c r="BR37" s="119">
        <v>10098.880000000001</v>
      </c>
      <c r="BS37" s="119">
        <v>0</v>
      </c>
      <c r="BT37" s="119">
        <v>770.06</v>
      </c>
      <c r="BU37" s="119">
        <v>4261.25</v>
      </c>
      <c r="BV37" s="119">
        <v>10397.640000000001</v>
      </c>
      <c r="BW37" s="98">
        <f t="shared" si="30"/>
        <v>157993.37000000002</v>
      </c>
      <c r="BX37" s="119">
        <v>22745</v>
      </c>
      <c r="BY37" s="119">
        <v>4501.12</v>
      </c>
      <c r="BZ37" s="119">
        <v>9181.43</v>
      </c>
      <c r="CA37" s="119">
        <v>0</v>
      </c>
      <c r="CB37" s="119">
        <v>1874.48</v>
      </c>
      <c r="CC37" s="119">
        <v>0</v>
      </c>
      <c r="CD37" s="119">
        <v>1726.7099999999998</v>
      </c>
      <c r="CE37" s="119">
        <v>0</v>
      </c>
      <c r="CF37" s="119">
        <v>533.96</v>
      </c>
      <c r="CG37" s="119">
        <v>1829.06</v>
      </c>
      <c r="CH37" s="98">
        <f t="shared" si="31"/>
        <v>42391.76</v>
      </c>
      <c r="CI37" s="96">
        <f t="shared" si="32"/>
        <v>57050.65</v>
      </c>
      <c r="CJ37" s="95"/>
      <c r="CK37" s="119">
        <f t="shared" si="33"/>
        <v>41.635607708014334</v>
      </c>
      <c r="CL37" s="119">
        <f t="shared" si="33"/>
        <v>0</v>
      </c>
      <c r="CM37" s="119">
        <f t="shared" si="33"/>
        <v>529.39966919535527</v>
      </c>
      <c r="CN37" s="119">
        <f t="shared" si="33"/>
        <v>0</v>
      </c>
      <c r="CO37" s="119">
        <f t="shared" si="33"/>
        <v>4855.8316494985302</v>
      </c>
      <c r="CP37" s="119">
        <f t="shared" si="33"/>
        <v>8165.2090804225118</v>
      </c>
      <c r="CQ37" s="119">
        <f t="shared" si="33"/>
        <v>0</v>
      </c>
      <c r="CR37" s="119">
        <f t="shared" si="33"/>
        <v>0</v>
      </c>
      <c r="CS37" s="119">
        <f t="shared" si="33"/>
        <v>3557.7239534062373</v>
      </c>
      <c r="CT37" s="119">
        <f t="shared" si="33"/>
        <v>549.29454984318204</v>
      </c>
      <c r="CU37" s="119">
        <f t="shared" si="33"/>
        <v>177.30361305864733</v>
      </c>
      <c r="CV37" s="119">
        <f t="shared" si="33"/>
        <v>230.29407633105325</v>
      </c>
      <c r="CW37" s="98">
        <f t="shared" si="34"/>
        <v>18106.692199463538</v>
      </c>
      <c r="CX37" s="119">
        <f t="shared" si="51"/>
        <v>1237.447246248747</v>
      </c>
      <c r="CY37" s="119">
        <f t="shared" si="51"/>
        <v>47.603048327642057</v>
      </c>
      <c r="CZ37" s="119">
        <f t="shared" si="51"/>
        <v>5.5136558269401945</v>
      </c>
      <c r="DA37" s="119">
        <f t="shared" si="51"/>
        <v>341.09603980870361</v>
      </c>
      <c r="DB37" s="119">
        <f t="shared" si="51"/>
        <v>0</v>
      </c>
      <c r="DC37" s="119">
        <f t="shared" si="51"/>
        <v>43564.466030195079</v>
      </c>
      <c r="DD37" s="119">
        <f t="shared" si="51"/>
        <v>0</v>
      </c>
      <c r="DE37" s="119">
        <f t="shared" si="51"/>
        <v>3445.6527572753548</v>
      </c>
      <c r="DF37" s="119">
        <f t="shared" si="51"/>
        <v>0</v>
      </c>
      <c r="DG37" s="119">
        <f t="shared" si="51"/>
        <v>262.73798305034438</v>
      </c>
      <c r="DH37" s="119">
        <f t="shared" si="51"/>
        <v>1453.9025923606987</v>
      </c>
      <c r="DI37" s="119">
        <f t="shared" si="51"/>
        <v>3547.5871517590585</v>
      </c>
      <c r="DJ37" s="98">
        <f t="shared" si="35"/>
        <v>53906.006504852565</v>
      </c>
      <c r="DK37" s="119">
        <f t="shared" si="52"/>
        <v>7760.4023381036277</v>
      </c>
      <c r="DL37" s="119">
        <f t="shared" si="52"/>
        <v>1535.7442150839743</v>
      </c>
      <c r="DM37" s="119">
        <f t="shared" si="52"/>
        <v>3132.6265482143244</v>
      </c>
      <c r="DN37" s="119">
        <f t="shared" si="52"/>
        <v>0</v>
      </c>
      <c r="DO37" s="119">
        <f t="shared" si="52"/>
        <v>639.55678059918637</v>
      </c>
      <c r="DP37" s="119">
        <f t="shared" si="52"/>
        <v>0</v>
      </c>
      <c r="DQ37" s="119">
        <f t="shared" si="52"/>
        <v>589.1389017905874</v>
      </c>
      <c r="DR37" s="119">
        <f t="shared" si="52"/>
        <v>0</v>
      </c>
      <c r="DS37" s="119">
        <f t="shared" si="52"/>
        <v>182.18265255897177</v>
      </c>
      <c r="DT37" s="119">
        <f t="shared" si="52"/>
        <v>624.05985933312058</v>
      </c>
      <c r="DU37" s="98">
        <f t="shared" si="36"/>
        <v>14463.711295683792</v>
      </c>
      <c r="DV37" s="96">
        <f t="shared" si="37"/>
        <v>19465.201039803549</v>
      </c>
      <c r="DW37" s="95"/>
      <c r="DX37" s="162">
        <f t="shared" si="57"/>
        <v>0.25439436110666475</v>
      </c>
      <c r="DY37" s="162">
        <f t="shared" si="57"/>
        <v>0</v>
      </c>
      <c r="DZ37" s="162">
        <f t="shared" si="57"/>
        <v>0.2543943611066648</v>
      </c>
      <c r="EA37" s="162">
        <f t="shared" si="57"/>
        <v>0</v>
      </c>
      <c r="EB37" s="162">
        <f t="shared" si="57"/>
        <v>0.25439436110666469</v>
      </c>
      <c r="EC37" s="162">
        <f t="shared" si="57"/>
        <v>0.25439436110666463</v>
      </c>
      <c r="ED37" s="162">
        <f t="shared" si="57"/>
        <v>0</v>
      </c>
      <c r="EE37" s="162">
        <f t="shared" si="57"/>
        <v>0</v>
      </c>
      <c r="EF37" s="162">
        <f t="shared" si="57"/>
        <v>0.25439436110666475</v>
      </c>
      <c r="EG37" s="162">
        <f t="shared" si="55"/>
        <v>0.25439436110666475</v>
      </c>
      <c r="EH37" s="162">
        <f t="shared" si="55"/>
        <v>0.2543943611066648</v>
      </c>
      <c r="EI37" s="162">
        <f t="shared" si="55"/>
        <v>0.25439436110666469</v>
      </c>
      <c r="EJ37" s="163">
        <f t="shared" si="55"/>
        <v>0.2543943611066648</v>
      </c>
      <c r="EK37" s="162">
        <f t="shared" si="55"/>
        <v>0.25439436110666463</v>
      </c>
      <c r="EL37" s="162">
        <f t="shared" si="55"/>
        <v>0.25439436110666475</v>
      </c>
      <c r="EM37" s="162">
        <f t="shared" si="55"/>
        <v>0.25439436110666486</v>
      </c>
      <c r="EN37" s="162">
        <f t="shared" si="55"/>
        <v>0.2543943611066648</v>
      </c>
      <c r="EO37" s="162">
        <f t="shared" si="55"/>
        <v>0</v>
      </c>
      <c r="EP37" s="162">
        <f t="shared" si="55"/>
        <v>0.25439436110666469</v>
      </c>
      <c r="EQ37" s="162">
        <f t="shared" si="55"/>
        <v>0</v>
      </c>
      <c r="ER37" s="162">
        <f t="shared" si="55"/>
        <v>0.25439436110666463</v>
      </c>
      <c r="ES37" s="162">
        <f t="shared" si="55"/>
        <v>0</v>
      </c>
      <c r="ET37" s="162">
        <f t="shared" si="55"/>
        <v>0.2543943611066648</v>
      </c>
      <c r="EU37" s="162">
        <f t="shared" si="55"/>
        <v>0.25439436110666475</v>
      </c>
      <c r="EV37" s="162">
        <f t="shared" si="55"/>
        <v>0.25439436110666463</v>
      </c>
      <c r="EW37" s="163">
        <f t="shared" si="58"/>
        <v>0.25439436110666469</v>
      </c>
      <c r="EX37" s="162">
        <f t="shared" si="58"/>
        <v>0.25439436110666469</v>
      </c>
      <c r="EY37" s="162">
        <f t="shared" si="58"/>
        <v>0.25439436110666469</v>
      </c>
      <c r="EZ37" s="162">
        <f t="shared" si="58"/>
        <v>0.25439436110666475</v>
      </c>
      <c r="FA37" s="162">
        <f t="shared" si="58"/>
        <v>0</v>
      </c>
      <c r="FB37" s="162">
        <f t="shared" si="58"/>
        <v>0.25439436110666475</v>
      </c>
      <c r="FC37" s="162">
        <f t="shared" si="56"/>
        <v>0</v>
      </c>
      <c r="FD37" s="162">
        <f t="shared" si="50"/>
        <v>0.25439436110666463</v>
      </c>
      <c r="FE37" s="162">
        <f t="shared" si="50"/>
        <v>0</v>
      </c>
      <c r="FF37" s="162">
        <f t="shared" si="48"/>
        <v>0.25439436110666469</v>
      </c>
      <c r="FG37" s="162">
        <f t="shared" si="48"/>
        <v>0.2543943611066648</v>
      </c>
      <c r="FH37" s="163">
        <f t="shared" si="48"/>
        <v>0.25439436110666469</v>
      </c>
      <c r="FI37" s="164">
        <f t="shared" si="48"/>
        <v>0.25439436110666469</v>
      </c>
      <c r="FJ37" s="95"/>
      <c r="FK37" s="119">
        <v>0</v>
      </c>
      <c r="FL37" s="119">
        <v>0</v>
      </c>
      <c r="FM37" s="119">
        <v>0</v>
      </c>
      <c r="FN37" s="119">
        <v>0</v>
      </c>
      <c r="FO37" s="119">
        <v>124700.43</v>
      </c>
      <c r="FP37" s="119">
        <v>0</v>
      </c>
      <c r="FQ37" s="119">
        <v>0</v>
      </c>
      <c r="FR37" s="119">
        <v>0</v>
      </c>
      <c r="FS37" s="119">
        <v>0</v>
      </c>
      <c r="FT37" s="119">
        <v>0</v>
      </c>
      <c r="FU37" s="119">
        <v>0</v>
      </c>
      <c r="FV37" s="119">
        <v>0</v>
      </c>
      <c r="FW37" s="98">
        <f t="shared" si="39"/>
        <v>124700.43</v>
      </c>
      <c r="FX37" s="119">
        <v>0</v>
      </c>
      <c r="FY37" s="119">
        <v>0</v>
      </c>
      <c r="FZ37" s="119">
        <v>0</v>
      </c>
      <c r="GA37" s="119">
        <v>0</v>
      </c>
      <c r="GB37" s="119">
        <v>0</v>
      </c>
      <c r="GC37" s="119">
        <v>0</v>
      </c>
      <c r="GD37" s="119">
        <v>0</v>
      </c>
      <c r="GE37" s="119">
        <v>0</v>
      </c>
      <c r="GF37" s="119">
        <v>0</v>
      </c>
      <c r="GG37" s="119">
        <v>0</v>
      </c>
      <c r="GH37" s="119">
        <v>0</v>
      </c>
      <c r="GI37" s="119">
        <v>24848.399999999998</v>
      </c>
      <c r="GJ37" s="98">
        <f t="shared" si="40"/>
        <v>24848.399999999998</v>
      </c>
      <c r="GK37" s="119">
        <v>0</v>
      </c>
      <c r="GL37" s="119">
        <v>0</v>
      </c>
      <c r="GM37" s="119">
        <v>0</v>
      </c>
      <c r="GN37" s="119">
        <v>0</v>
      </c>
      <c r="GO37" s="119">
        <v>0</v>
      </c>
      <c r="GP37" s="119">
        <v>0</v>
      </c>
      <c r="GQ37" s="119">
        <v>76704.03</v>
      </c>
      <c r="GR37" s="119">
        <v>0</v>
      </c>
      <c r="GS37" s="119">
        <v>0</v>
      </c>
      <c r="GT37" s="119">
        <v>113677.67</v>
      </c>
      <c r="GU37" s="98">
        <f t="shared" si="41"/>
        <v>190381.7</v>
      </c>
      <c r="GV37" s="96">
        <f t="shared" si="42"/>
        <v>215230.1</v>
      </c>
      <c r="GW37" s="95"/>
      <c r="GX37" s="119">
        <f t="shared" si="43"/>
        <v>163.66560770801433</v>
      </c>
      <c r="GY37" s="119">
        <f t="shared" si="43"/>
        <v>0</v>
      </c>
      <c r="GZ37" s="119">
        <f t="shared" si="43"/>
        <v>2081.0196691953552</v>
      </c>
      <c r="HA37" s="119">
        <f t="shared" si="43"/>
        <v>0</v>
      </c>
      <c r="HB37" s="119">
        <f t="shared" si="43"/>
        <v>-105612.61835050146</v>
      </c>
      <c r="HC37" s="119">
        <f t="shared" si="43"/>
        <v>32096.659080422512</v>
      </c>
      <c r="HD37" s="119">
        <f t="shared" si="43"/>
        <v>0</v>
      </c>
      <c r="HE37" s="119">
        <f t="shared" si="43"/>
        <v>0</v>
      </c>
      <c r="HF37" s="119">
        <f t="shared" si="43"/>
        <v>13985.073953406236</v>
      </c>
      <c r="HG37" s="119">
        <f t="shared" si="43"/>
        <v>2159.2245498431821</v>
      </c>
      <c r="HH37" s="119">
        <f t="shared" si="43"/>
        <v>696.9636130586473</v>
      </c>
      <c r="HI37" s="119">
        <f t="shared" si="43"/>
        <v>905.26407633105327</v>
      </c>
      <c r="HJ37" s="98">
        <f t="shared" si="44"/>
        <v>-53524.747800536461</v>
      </c>
      <c r="HK37" s="119">
        <f t="shared" si="53"/>
        <v>4864.2872462487467</v>
      </c>
      <c r="HL37" s="119">
        <f t="shared" si="53"/>
        <v>187.12304832764207</v>
      </c>
      <c r="HM37" s="119">
        <f t="shared" si="53"/>
        <v>21.673655826940195</v>
      </c>
      <c r="HN37" s="119">
        <f t="shared" si="53"/>
        <v>1340.8160398087036</v>
      </c>
      <c r="HO37" s="119">
        <f t="shared" si="53"/>
        <v>0</v>
      </c>
      <c r="HP37" s="119">
        <f t="shared" si="53"/>
        <v>171247.76603019508</v>
      </c>
      <c r="HQ37" s="119">
        <f t="shared" si="53"/>
        <v>0</v>
      </c>
      <c r="HR37" s="119">
        <f t="shared" si="53"/>
        <v>13544.532757275356</v>
      </c>
      <c r="HS37" s="119">
        <f t="shared" si="53"/>
        <v>0</v>
      </c>
      <c r="HT37" s="119">
        <f t="shared" si="53"/>
        <v>1032.7979830503443</v>
      </c>
      <c r="HU37" s="119">
        <f t="shared" si="53"/>
        <v>5715.1525923606987</v>
      </c>
      <c r="HV37" s="119">
        <f t="shared" si="53"/>
        <v>-10903.172848240938</v>
      </c>
      <c r="HW37" s="98">
        <f t="shared" si="45"/>
        <v>187050.97650485259</v>
      </c>
      <c r="HX37" s="119">
        <f t="shared" si="54"/>
        <v>30505.402338103628</v>
      </c>
      <c r="HY37" s="119">
        <f t="shared" si="54"/>
        <v>6036.8642150839742</v>
      </c>
      <c r="HZ37" s="119">
        <f t="shared" si="54"/>
        <v>12314.056548214325</v>
      </c>
      <c r="IA37" s="119">
        <f t="shared" si="54"/>
        <v>0</v>
      </c>
      <c r="IB37" s="119">
        <f t="shared" si="54"/>
        <v>2514.0367805991864</v>
      </c>
      <c r="IC37" s="119">
        <f t="shared" si="54"/>
        <v>0</v>
      </c>
      <c r="ID37" s="119">
        <f t="shared" si="54"/>
        <v>-74388.181098209418</v>
      </c>
      <c r="IE37" s="119">
        <f t="shared" si="54"/>
        <v>0</v>
      </c>
      <c r="IF37" s="119">
        <f t="shared" si="54"/>
        <v>716.1426525589718</v>
      </c>
      <c r="IG37" s="119">
        <f t="shared" si="54"/>
        <v>-111224.55014066688</v>
      </c>
      <c r="IH37" s="98">
        <f t="shared" si="46"/>
        <v>-133526.22870431622</v>
      </c>
      <c r="II37" s="96">
        <f t="shared" si="47"/>
        <v>-138714.24896019645</v>
      </c>
    </row>
    <row r="38" spans="2:243" x14ac:dyDescent="0.2">
      <c r="B38" s="101" t="s">
        <v>335</v>
      </c>
      <c r="C38" s="89" t="s">
        <v>336</v>
      </c>
      <c r="D38" s="89" t="str">
        <f>_xlfn.IFNA(INDEX('4. WIP Report (Oct-25)'!D:D,MATCH('7. POC Lookback Summary'!$B38,'4. WIP Report (Oct-25)'!$B:$B,0)),INDEX('5. Completed Jobs'!D:D,MATCH('7. POC Lookback Summary'!$B38,'5. Completed Jobs'!$B:$B,0)))</f>
        <v>ABC Construction Company</v>
      </c>
      <c r="E38" s="89" t="str">
        <f>_xlfn.IFNA(INDEX('4. WIP Report (Oct-25)'!E:E,MATCH('7. POC Lookback Summary'!$B38,'4. WIP Report (Oct-25)'!$B:$B,0)),INDEX('5. Completed Jobs'!E:E,MATCH('7. POC Lookback Summary'!$B38,'5. Completed Jobs'!$B:$B,0)))</f>
        <v>Sprinkler Installation</v>
      </c>
      <c r="F38" s="89" t="str">
        <f>_xlfn.IFNA(INDEX('4. WIP Report (Oct-25)'!F:F,MATCH('7. POC Lookback Summary'!$B38,'4. WIP Report (Oct-25)'!$B:$B,0)),INDEX('5. Completed Jobs'!F:F,MATCH('7. POC Lookback Summary'!$B38,'5. Completed Jobs'!$B:$B,0)))</f>
        <v>Healthcare</v>
      </c>
      <c r="G38" s="89" t="str">
        <f>_xlfn.IFNA(INDEX('4. WIP Report (Oct-25)'!G:G,MATCH('7. POC Lookback Summary'!$B38,'4. WIP Report (Oct-25)'!$B:$B,0)),INDEX('5. Completed Jobs'!G:G,MATCH('7. POC Lookback Summary'!$B38,'5. Completed Jobs'!$B:$B,0)))</f>
        <v>General Contractor</v>
      </c>
      <c r="H38" s="89" t="str">
        <f>_xlfn.IFNA(INDEX('4. WIP Report (Oct-25)'!H:H,MATCH('7. POC Lookback Summary'!$B38,'4. WIP Report (Oct-25)'!$B:$B,0)),INDEX('5. Completed Jobs'!H:H,MATCH('7. POC Lookback Summary'!$B38,'5. Completed Jobs'!$B:$B,0)))</f>
        <v>New Construction</v>
      </c>
      <c r="J38" s="95"/>
      <c r="K38" s="119">
        <v>0</v>
      </c>
      <c r="L38" s="119">
        <v>627.00914426041572</v>
      </c>
      <c r="M38" s="119">
        <v>5457.7242795743186</v>
      </c>
      <c r="N38" s="119">
        <v>1249.6926258167014</v>
      </c>
      <c r="O38" s="119">
        <v>6370.7184959329852</v>
      </c>
      <c r="P38" s="119">
        <v>1718.2707607910891</v>
      </c>
      <c r="Q38" s="119">
        <v>11166.915035547778</v>
      </c>
      <c r="R38" s="119">
        <v>13248.628169419771</v>
      </c>
      <c r="S38" s="119">
        <v>0</v>
      </c>
      <c r="T38" s="119">
        <v>2974.2254818364877</v>
      </c>
      <c r="U38" s="119">
        <v>35474.682764633122</v>
      </c>
      <c r="V38" s="119">
        <v>0</v>
      </c>
      <c r="W38" s="98">
        <f t="shared" si="25"/>
        <v>78287.866757812677</v>
      </c>
      <c r="X38" s="119">
        <v>1496.582955702565</v>
      </c>
      <c r="Y38" s="119">
        <v>1715.7562887069512</v>
      </c>
      <c r="Z38" s="119">
        <v>8200.0499241031794</v>
      </c>
      <c r="AA38" s="119">
        <v>20934.059107628647</v>
      </c>
      <c r="AB38" s="119">
        <v>1587.13285270952</v>
      </c>
      <c r="AC38" s="119">
        <v>6070.6677945518159</v>
      </c>
      <c r="AD38" s="119">
        <v>4773.4121469749989</v>
      </c>
      <c r="AE38" s="119">
        <v>721.79799803756555</v>
      </c>
      <c r="AF38" s="119">
        <v>13648.804956511469</v>
      </c>
      <c r="AG38" s="119">
        <v>0</v>
      </c>
      <c r="AH38" s="119">
        <v>28617.948607012004</v>
      </c>
      <c r="AI38" s="119">
        <v>2707.2964472187937</v>
      </c>
      <c r="AJ38" s="98">
        <f t="shared" si="26"/>
        <v>90473.509079157506</v>
      </c>
      <c r="AK38" s="119">
        <v>1666.921579915776</v>
      </c>
      <c r="AL38" s="119">
        <v>6307.4327981525093</v>
      </c>
      <c r="AM38" s="119">
        <v>0</v>
      </c>
      <c r="AN38" s="119">
        <v>928.30263069466514</v>
      </c>
      <c r="AO38" s="119">
        <v>6252.6250139124249</v>
      </c>
      <c r="AP38" s="119">
        <v>1717.3747994737528</v>
      </c>
      <c r="AQ38" s="119">
        <v>401.51591207137585</v>
      </c>
      <c r="AR38" s="119">
        <v>0</v>
      </c>
      <c r="AS38" s="119">
        <v>2379.7214288093373</v>
      </c>
      <c r="AT38" s="119">
        <v>0</v>
      </c>
      <c r="AU38" s="98">
        <f t="shared" si="27"/>
        <v>19653.894163029843</v>
      </c>
      <c r="AV38" s="96">
        <f t="shared" si="28"/>
        <v>50979.139217260643</v>
      </c>
      <c r="AW38" s="95"/>
      <c r="AX38" s="119">
        <v>0</v>
      </c>
      <c r="AY38" s="119">
        <v>650.82999999999993</v>
      </c>
      <c r="AZ38" s="119">
        <v>5665.07</v>
      </c>
      <c r="BA38" s="119">
        <v>1297.17</v>
      </c>
      <c r="BB38" s="119">
        <v>6612.75</v>
      </c>
      <c r="BC38" s="119">
        <v>1783.5499999999997</v>
      </c>
      <c r="BD38" s="119">
        <v>11591.159999999998</v>
      </c>
      <c r="BE38" s="119">
        <v>13751.960000000003</v>
      </c>
      <c r="BF38" s="119">
        <v>0</v>
      </c>
      <c r="BG38" s="119">
        <v>3087.2200000000003</v>
      </c>
      <c r="BH38" s="119">
        <v>36822.409999999996</v>
      </c>
      <c r="BI38" s="119">
        <v>0</v>
      </c>
      <c r="BJ38" s="98">
        <f t="shared" si="29"/>
        <v>81262.12</v>
      </c>
      <c r="BK38" s="119">
        <v>1553.4399999999998</v>
      </c>
      <c r="BL38" s="119">
        <v>1780.94</v>
      </c>
      <c r="BM38" s="119">
        <v>8511.5800000000017</v>
      </c>
      <c r="BN38" s="119">
        <v>21729.37</v>
      </c>
      <c r="BO38" s="119">
        <v>1647.4299999999998</v>
      </c>
      <c r="BP38" s="119">
        <v>6301.2999999999993</v>
      </c>
      <c r="BQ38" s="119">
        <v>4954.76</v>
      </c>
      <c r="BR38" s="119">
        <v>749.22</v>
      </c>
      <c r="BS38" s="119">
        <v>14167.34</v>
      </c>
      <c r="BT38" s="119">
        <v>0</v>
      </c>
      <c r="BU38" s="119">
        <v>29705.180000000004</v>
      </c>
      <c r="BV38" s="119">
        <v>2810.15</v>
      </c>
      <c r="BW38" s="98">
        <f t="shared" si="30"/>
        <v>93910.71</v>
      </c>
      <c r="BX38" s="119">
        <v>1730.25</v>
      </c>
      <c r="BY38" s="119">
        <v>6547.0599999999995</v>
      </c>
      <c r="BZ38" s="119">
        <v>0</v>
      </c>
      <c r="CA38" s="119">
        <v>963.56999999999994</v>
      </c>
      <c r="CB38" s="119">
        <v>6490.17</v>
      </c>
      <c r="CC38" s="119">
        <v>1782.62</v>
      </c>
      <c r="CD38" s="119">
        <v>416.77</v>
      </c>
      <c r="CE38" s="119">
        <v>0</v>
      </c>
      <c r="CF38" s="119">
        <v>2470.13</v>
      </c>
      <c r="CG38" s="119">
        <v>0</v>
      </c>
      <c r="CH38" s="98">
        <f t="shared" si="31"/>
        <v>20400.57</v>
      </c>
      <c r="CI38" s="96">
        <f t="shared" si="32"/>
        <v>52915.9</v>
      </c>
      <c r="CJ38" s="95"/>
      <c r="CK38" s="119">
        <f t="shared" si="33"/>
        <v>0</v>
      </c>
      <c r="CL38" s="119">
        <f t="shared" si="33"/>
        <v>-23.820855739584204</v>
      </c>
      <c r="CM38" s="119">
        <f t="shared" si="33"/>
        <v>-207.34572042568107</v>
      </c>
      <c r="CN38" s="119">
        <f t="shared" si="33"/>
        <v>-47.477374183298707</v>
      </c>
      <c r="CO38" s="119">
        <f t="shared" si="33"/>
        <v>-242.03150406701479</v>
      </c>
      <c r="CP38" s="119">
        <f t="shared" si="33"/>
        <v>-65.279239208910667</v>
      </c>
      <c r="CQ38" s="119">
        <f t="shared" si="33"/>
        <v>-424.2449644522203</v>
      </c>
      <c r="CR38" s="119">
        <f t="shared" si="33"/>
        <v>-503.33183058023133</v>
      </c>
      <c r="CS38" s="119">
        <f t="shared" si="33"/>
        <v>0</v>
      </c>
      <c r="CT38" s="119">
        <f t="shared" si="33"/>
        <v>-112.99451816351257</v>
      </c>
      <c r="CU38" s="119">
        <f t="shared" si="33"/>
        <v>-1347.7272353668741</v>
      </c>
      <c r="CV38" s="119">
        <f t="shared" si="33"/>
        <v>0</v>
      </c>
      <c r="CW38" s="98">
        <f t="shared" si="34"/>
        <v>-2974.2532421873275</v>
      </c>
      <c r="CX38" s="119">
        <f t="shared" si="51"/>
        <v>-56.857044297434868</v>
      </c>
      <c r="CY38" s="119">
        <f t="shared" si="51"/>
        <v>-65.183711293048873</v>
      </c>
      <c r="CZ38" s="119">
        <f t="shared" si="51"/>
        <v>-311.53007589682238</v>
      </c>
      <c r="DA38" s="119">
        <f t="shared" si="51"/>
        <v>-795.31089237135166</v>
      </c>
      <c r="DB38" s="119">
        <f t="shared" si="51"/>
        <v>-60.29714729047987</v>
      </c>
      <c r="DC38" s="119">
        <f t="shared" si="51"/>
        <v>-230.63220544818341</v>
      </c>
      <c r="DD38" s="119">
        <f t="shared" si="51"/>
        <v>-181.34785302500131</v>
      </c>
      <c r="DE38" s="119">
        <f t="shared" si="51"/>
        <v>-27.422001962434479</v>
      </c>
      <c r="DF38" s="119">
        <f t="shared" si="51"/>
        <v>-518.5350434885313</v>
      </c>
      <c r="DG38" s="119">
        <f t="shared" si="51"/>
        <v>0</v>
      </c>
      <c r="DH38" s="119">
        <f t="shared" si="51"/>
        <v>-1087.2313929880002</v>
      </c>
      <c r="DI38" s="119">
        <f t="shared" si="51"/>
        <v>-102.85355278120642</v>
      </c>
      <c r="DJ38" s="98">
        <f t="shared" si="35"/>
        <v>-3437.2009208424947</v>
      </c>
      <c r="DK38" s="119">
        <f t="shared" si="52"/>
        <v>-63.328420084224035</v>
      </c>
      <c r="DL38" s="119">
        <f t="shared" si="52"/>
        <v>-239.62720184749014</v>
      </c>
      <c r="DM38" s="119">
        <f t="shared" si="52"/>
        <v>0</v>
      </c>
      <c r="DN38" s="119">
        <f t="shared" si="52"/>
        <v>-35.267369305334796</v>
      </c>
      <c r="DO38" s="119">
        <f t="shared" si="52"/>
        <v>-237.54498608757513</v>
      </c>
      <c r="DP38" s="119">
        <f t="shared" si="52"/>
        <v>-65.245200526247118</v>
      </c>
      <c r="DQ38" s="119">
        <f t="shared" si="52"/>
        <v>-15.254087928624131</v>
      </c>
      <c r="DR38" s="119">
        <f t="shared" si="52"/>
        <v>0</v>
      </c>
      <c r="DS38" s="119">
        <f t="shared" si="52"/>
        <v>-90.408571190662769</v>
      </c>
      <c r="DT38" s="119">
        <f t="shared" si="52"/>
        <v>0</v>
      </c>
      <c r="DU38" s="98">
        <f t="shared" si="36"/>
        <v>-746.67583697015812</v>
      </c>
      <c r="DV38" s="96">
        <f t="shared" si="37"/>
        <v>-1936.7607827393647</v>
      </c>
      <c r="DW38" s="95"/>
      <c r="DX38" s="162">
        <f t="shared" si="57"/>
        <v>0</v>
      </c>
      <c r="DY38" s="162">
        <f t="shared" si="57"/>
        <v>-3.7991241368069563E-2</v>
      </c>
      <c r="DZ38" s="162">
        <f t="shared" si="57"/>
        <v>-3.799124136806948E-2</v>
      </c>
      <c r="EA38" s="162">
        <f t="shared" si="57"/>
        <v>-3.7991241368069376E-2</v>
      </c>
      <c r="EB38" s="162">
        <f t="shared" si="57"/>
        <v>-3.7991241368069507E-2</v>
      </c>
      <c r="EC38" s="162">
        <f t="shared" si="57"/>
        <v>-3.7991241368069494E-2</v>
      </c>
      <c r="ED38" s="162">
        <f t="shared" si="57"/>
        <v>-3.7991241368069528E-2</v>
      </c>
      <c r="EE38" s="162">
        <f t="shared" si="57"/>
        <v>-3.79912413680695E-2</v>
      </c>
      <c r="EF38" s="162">
        <f t="shared" si="57"/>
        <v>0</v>
      </c>
      <c r="EG38" s="162">
        <f t="shared" si="55"/>
        <v>-3.7991241368069417E-2</v>
      </c>
      <c r="EH38" s="162">
        <f t="shared" si="55"/>
        <v>-3.7991241368069563E-2</v>
      </c>
      <c r="EI38" s="162">
        <f t="shared" si="55"/>
        <v>0</v>
      </c>
      <c r="EJ38" s="163">
        <f t="shared" si="55"/>
        <v>-3.7991241368069521E-2</v>
      </c>
      <c r="EK38" s="162">
        <f t="shared" si="55"/>
        <v>-3.7991241368069403E-2</v>
      </c>
      <c r="EL38" s="162">
        <f t="shared" si="55"/>
        <v>-3.7991241368069473E-2</v>
      </c>
      <c r="EM38" s="162">
        <f t="shared" si="55"/>
        <v>-3.799124136806932E-2</v>
      </c>
      <c r="EN38" s="162">
        <f t="shared" si="55"/>
        <v>-3.799124136806941E-2</v>
      </c>
      <c r="EO38" s="162">
        <f t="shared" si="55"/>
        <v>-3.7991241368069376E-2</v>
      </c>
      <c r="EP38" s="162">
        <f t="shared" si="55"/>
        <v>-3.7991241368069376E-2</v>
      </c>
      <c r="EQ38" s="162">
        <f t="shared" si="55"/>
        <v>-3.7991241368069348E-2</v>
      </c>
      <c r="ER38" s="162">
        <f t="shared" si="55"/>
        <v>-3.7991241368069459E-2</v>
      </c>
      <c r="ES38" s="162">
        <f t="shared" si="55"/>
        <v>-3.7991241368069556E-2</v>
      </c>
      <c r="ET38" s="162">
        <f t="shared" si="55"/>
        <v>0</v>
      </c>
      <c r="EU38" s="162">
        <f t="shared" si="55"/>
        <v>-3.7991241368069459E-2</v>
      </c>
      <c r="EV38" s="162">
        <f t="shared" si="55"/>
        <v>-3.799124136806957E-2</v>
      </c>
      <c r="EW38" s="163">
        <f t="shared" si="58"/>
        <v>-3.7991241368069438E-2</v>
      </c>
      <c r="EX38" s="162">
        <f t="shared" si="58"/>
        <v>-3.7991241368069521E-2</v>
      </c>
      <c r="EY38" s="162">
        <f t="shared" si="58"/>
        <v>-3.7991241368069528E-2</v>
      </c>
      <c r="EZ38" s="162">
        <f t="shared" si="58"/>
        <v>0</v>
      </c>
      <c r="FA38" s="162">
        <f t="shared" si="58"/>
        <v>-3.7991241368069383E-2</v>
      </c>
      <c r="FB38" s="162">
        <f t="shared" si="58"/>
        <v>-3.7991241368069383E-2</v>
      </c>
      <c r="FC38" s="162">
        <f t="shared" si="56"/>
        <v>-3.7991241368069396E-2</v>
      </c>
      <c r="FD38" s="162">
        <f t="shared" si="50"/>
        <v>-3.7991241368069299E-2</v>
      </c>
      <c r="FE38" s="162">
        <f t="shared" si="50"/>
        <v>0</v>
      </c>
      <c r="FF38" s="162">
        <f t="shared" si="48"/>
        <v>-3.7991241368069507E-2</v>
      </c>
      <c r="FG38" s="162">
        <f t="shared" si="48"/>
        <v>0</v>
      </c>
      <c r="FH38" s="163">
        <f t="shared" si="48"/>
        <v>-3.7991241368069452E-2</v>
      </c>
      <c r="FI38" s="164">
        <f t="shared" si="48"/>
        <v>-3.7991241368069459E-2</v>
      </c>
      <c r="FJ38" s="95"/>
      <c r="FK38" s="119">
        <v>0</v>
      </c>
      <c r="FL38" s="119">
        <v>0</v>
      </c>
      <c r="FM38" s="119">
        <v>0</v>
      </c>
      <c r="FN38" s="119">
        <v>0</v>
      </c>
      <c r="FO38" s="119">
        <v>0</v>
      </c>
      <c r="FP38" s="119">
        <v>0</v>
      </c>
      <c r="FQ38" s="119">
        <v>101481.95999999999</v>
      </c>
      <c r="FR38" s="119">
        <v>0</v>
      </c>
      <c r="FS38" s="119">
        <v>0</v>
      </c>
      <c r="FT38" s="119">
        <v>0</v>
      </c>
      <c r="FU38" s="119">
        <v>0</v>
      </c>
      <c r="FV38" s="119">
        <v>0</v>
      </c>
      <c r="FW38" s="98">
        <f t="shared" si="39"/>
        <v>101481.95999999999</v>
      </c>
      <c r="FX38" s="119">
        <v>0</v>
      </c>
      <c r="FY38" s="119">
        <v>75269.34</v>
      </c>
      <c r="FZ38" s="119">
        <v>0</v>
      </c>
      <c r="GA38" s="119">
        <v>0</v>
      </c>
      <c r="GB38" s="119">
        <v>0</v>
      </c>
      <c r="GC38" s="119">
        <v>0</v>
      </c>
      <c r="GD38" s="119">
        <v>0</v>
      </c>
      <c r="GE38" s="119">
        <v>0</v>
      </c>
      <c r="GF38" s="119">
        <v>0</v>
      </c>
      <c r="GG38" s="119">
        <v>0</v>
      </c>
      <c r="GH38" s="119">
        <v>11663.97</v>
      </c>
      <c r="GI38" s="119">
        <v>0</v>
      </c>
      <c r="GJ38" s="98">
        <f t="shared" si="40"/>
        <v>86933.31</v>
      </c>
      <c r="GK38" s="119">
        <v>0</v>
      </c>
      <c r="GL38" s="119">
        <v>0</v>
      </c>
      <c r="GM38" s="119">
        <v>0</v>
      </c>
      <c r="GN38" s="119">
        <v>0</v>
      </c>
      <c r="GO38" s="119">
        <v>0</v>
      </c>
      <c r="GP38" s="119">
        <v>0</v>
      </c>
      <c r="GQ38" s="119">
        <v>0</v>
      </c>
      <c r="GR38" s="119">
        <v>0</v>
      </c>
      <c r="GS38" s="119">
        <v>0</v>
      </c>
      <c r="GT38" s="119">
        <v>0</v>
      </c>
      <c r="GU38" s="98">
        <f t="shared" si="41"/>
        <v>0</v>
      </c>
      <c r="GV38" s="96">
        <f t="shared" si="42"/>
        <v>11663.97</v>
      </c>
      <c r="GW38" s="95"/>
      <c r="GX38" s="119">
        <f t="shared" si="43"/>
        <v>0</v>
      </c>
      <c r="GY38" s="119">
        <f t="shared" si="43"/>
        <v>627.00914426041572</v>
      </c>
      <c r="GZ38" s="119">
        <f t="shared" si="43"/>
        <v>5457.7242795743186</v>
      </c>
      <c r="HA38" s="119">
        <f t="shared" si="43"/>
        <v>1249.6926258167014</v>
      </c>
      <c r="HB38" s="119">
        <f t="shared" si="43"/>
        <v>6370.7184959329852</v>
      </c>
      <c r="HC38" s="119">
        <f t="shared" si="43"/>
        <v>1718.2707607910891</v>
      </c>
      <c r="HD38" s="119">
        <f t="shared" si="43"/>
        <v>-90315.044964452216</v>
      </c>
      <c r="HE38" s="119">
        <f t="shared" si="43"/>
        <v>13248.628169419771</v>
      </c>
      <c r="HF38" s="119">
        <f t="shared" si="43"/>
        <v>0</v>
      </c>
      <c r="HG38" s="119">
        <f t="shared" si="43"/>
        <v>2974.2254818364877</v>
      </c>
      <c r="HH38" s="119">
        <f t="shared" si="43"/>
        <v>35474.682764633122</v>
      </c>
      <c r="HI38" s="119">
        <f t="shared" si="43"/>
        <v>0</v>
      </c>
      <c r="HJ38" s="98">
        <f t="shared" si="44"/>
        <v>-23194.093242187329</v>
      </c>
      <c r="HK38" s="119">
        <f t="shared" si="53"/>
        <v>1496.582955702565</v>
      </c>
      <c r="HL38" s="119">
        <f t="shared" si="53"/>
        <v>-73553.583711293046</v>
      </c>
      <c r="HM38" s="119">
        <f t="shared" si="53"/>
        <v>8200.0499241031794</v>
      </c>
      <c r="HN38" s="119">
        <f t="shared" si="53"/>
        <v>20934.059107628647</v>
      </c>
      <c r="HO38" s="119">
        <f t="shared" si="53"/>
        <v>1587.13285270952</v>
      </c>
      <c r="HP38" s="119">
        <f t="shared" si="53"/>
        <v>6070.6677945518159</v>
      </c>
      <c r="HQ38" s="119">
        <f t="shared" si="53"/>
        <v>4773.4121469749989</v>
      </c>
      <c r="HR38" s="119">
        <f t="shared" si="53"/>
        <v>721.79799803756555</v>
      </c>
      <c r="HS38" s="119">
        <f t="shared" si="53"/>
        <v>13648.804956511469</v>
      </c>
      <c r="HT38" s="119">
        <f t="shared" si="53"/>
        <v>0</v>
      </c>
      <c r="HU38" s="119">
        <f t="shared" si="53"/>
        <v>16953.978607012003</v>
      </c>
      <c r="HV38" s="119">
        <f t="shared" si="53"/>
        <v>2707.2964472187937</v>
      </c>
      <c r="HW38" s="98">
        <f t="shared" si="45"/>
        <v>3540.1990791575186</v>
      </c>
      <c r="HX38" s="119">
        <f t="shared" si="54"/>
        <v>1666.921579915776</v>
      </c>
      <c r="HY38" s="119">
        <f t="shared" si="54"/>
        <v>6307.4327981525093</v>
      </c>
      <c r="HZ38" s="119">
        <f t="shared" si="54"/>
        <v>0</v>
      </c>
      <c r="IA38" s="119">
        <f t="shared" si="54"/>
        <v>928.30263069466514</v>
      </c>
      <c r="IB38" s="119">
        <f t="shared" si="54"/>
        <v>6252.6250139124249</v>
      </c>
      <c r="IC38" s="119">
        <f t="shared" si="54"/>
        <v>1717.3747994737528</v>
      </c>
      <c r="ID38" s="119">
        <f t="shared" si="54"/>
        <v>401.51591207137585</v>
      </c>
      <c r="IE38" s="119">
        <f t="shared" si="54"/>
        <v>0</v>
      </c>
      <c r="IF38" s="119">
        <f t="shared" si="54"/>
        <v>2379.7214288093373</v>
      </c>
      <c r="IG38" s="119">
        <f t="shared" si="54"/>
        <v>0</v>
      </c>
      <c r="IH38" s="98">
        <f t="shared" si="46"/>
        <v>19653.894163029843</v>
      </c>
      <c r="II38" s="96">
        <f t="shared" si="47"/>
        <v>39315.169217260642</v>
      </c>
    </row>
    <row r="39" spans="2:243" x14ac:dyDescent="0.2">
      <c r="B39" s="101" t="s">
        <v>337</v>
      </c>
      <c r="C39" s="89" t="s">
        <v>338</v>
      </c>
      <c r="D39" s="89" t="str">
        <f>_xlfn.IFNA(INDEX('4. WIP Report (Oct-25)'!D:D,MATCH('7. POC Lookback Summary'!$B39,'4. WIP Report (Oct-25)'!$B:$B,0)),INDEX('5. Completed Jobs'!D:D,MATCH('7. POC Lookback Summary'!$B39,'5. Completed Jobs'!$B:$B,0)))</f>
        <v>Commercial Development Corp</v>
      </c>
      <c r="E39" s="89" t="str">
        <f>_xlfn.IFNA(INDEX('4. WIP Report (Oct-25)'!E:E,MATCH('7. POC Lookback Summary'!$B39,'4. WIP Report (Oct-25)'!$B:$B,0)),INDEX('5. Completed Jobs'!E:E,MATCH('7. POC Lookback Summary'!$B39,'5. Completed Jobs'!$B:$B,0)))</f>
        <v>Sprinkler Installation</v>
      </c>
      <c r="F39" s="89" t="str">
        <f>_xlfn.IFNA(INDEX('4. WIP Report (Oct-25)'!F:F,MATCH('7. POC Lookback Summary'!$B39,'4. WIP Report (Oct-25)'!$B:$B,0)),INDEX('5. Completed Jobs'!F:F,MATCH('7. POC Lookback Summary'!$B39,'5. Completed Jobs'!$B:$B,0)))</f>
        <v>Hospitality</v>
      </c>
      <c r="G39" s="89" t="str">
        <f>_xlfn.IFNA(INDEX('4. WIP Report (Oct-25)'!G:G,MATCH('7. POC Lookback Summary'!$B39,'4. WIP Report (Oct-25)'!$B:$B,0)),INDEX('5. Completed Jobs'!G:G,MATCH('7. POC Lookback Summary'!$B39,'5. Completed Jobs'!$B:$B,0)))</f>
        <v>Direct</v>
      </c>
      <c r="H39" s="89" t="str">
        <f>_xlfn.IFNA(INDEX('4. WIP Report (Oct-25)'!H:H,MATCH('7. POC Lookback Summary'!$B39,'4. WIP Report (Oct-25)'!$B:$B,0)),INDEX('5. Completed Jobs'!H:H,MATCH('7. POC Lookback Summary'!$B39,'5. Completed Jobs'!$B:$B,0)))</f>
        <v>New Construction</v>
      </c>
      <c r="J39" s="95"/>
      <c r="K39" s="119">
        <v>6556.1358585278149</v>
      </c>
      <c r="L39" s="119">
        <v>0</v>
      </c>
      <c r="M39" s="119">
        <v>1152.8420528206966</v>
      </c>
      <c r="N39" s="119">
        <v>4545.6951215429417</v>
      </c>
      <c r="O39" s="119">
        <v>7064.5622700978729</v>
      </c>
      <c r="P39" s="119">
        <v>229.64476635305343</v>
      </c>
      <c r="Q39" s="119">
        <v>0</v>
      </c>
      <c r="R39" s="119">
        <v>3121.5201671430291</v>
      </c>
      <c r="S39" s="119">
        <v>15563.181494488461</v>
      </c>
      <c r="T39" s="119">
        <v>7844.0484626470961</v>
      </c>
      <c r="U39" s="119">
        <v>27458.725767456617</v>
      </c>
      <c r="V39" s="119">
        <v>102607.08916833374</v>
      </c>
      <c r="W39" s="98">
        <f t="shared" si="25"/>
        <v>176143.44512941132</v>
      </c>
      <c r="X39" s="119">
        <v>0</v>
      </c>
      <c r="Y39" s="119">
        <v>0</v>
      </c>
      <c r="Z39" s="119">
        <v>707.75479131730856</v>
      </c>
      <c r="AA39" s="119">
        <v>7972.6882652717231</v>
      </c>
      <c r="AB39" s="119">
        <v>0</v>
      </c>
      <c r="AC39" s="119">
        <v>15820.560416319553</v>
      </c>
      <c r="AD39" s="119">
        <v>16544.925905949131</v>
      </c>
      <c r="AE39" s="119">
        <v>13920.435572610342</v>
      </c>
      <c r="AF39" s="119">
        <v>25596.068104245493</v>
      </c>
      <c r="AG39" s="119">
        <v>0</v>
      </c>
      <c r="AH39" s="119">
        <v>0</v>
      </c>
      <c r="AI39" s="119">
        <v>13993.45808940614</v>
      </c>
      <c r="AJ39" s="98">
        <f t="shared" si="26"/>
        <v>94555.891145119691</v>
      </c>
      <c r="AK39" s="119">
        <v>4123.3265281348113</v>
      </c>
      <c r="AL39" s="119">
        <v>528.19041135566067</v>
      </c>
      <c r="AM39" s="119">
        <v>774.32173029368846</v>
      </c>
      <c r="AN39" s="119">
        <v>0</v>
      </c>
      <c r="AO39" s="119">
        <v>2250.041990667105</v>
      </c>
      <c r="AP39" s="119">
        <v>14932.620516404111</v>
      </c>
      <c r="AQ39" s="119">
        <v>0</v>
      </c>
      <c r="AR39" s="119">
        <v>0</v>
      </c>
      <c r="AS39" s="119">
        <v>3107.9882828677114</v>
      </c>
      <c r="AT39" s="119">
        <v>111693.4142657459</v>
      </c>
      <c r="AU39" s="98">
        <f t="shared" si="27"/>
        <v>137409.90372546899</v>
      </c>
      <c r="AV39" s="96">
        <f t="shared" si="28"/>
        <v>151403.36181487513</v>
      </c>
      <c r="AW39" s="95"/>
      <c r="AX39" s="119">
        <v>2640.5</v>
      </c>
      <c r="AY39" s="119">
        <v>0</v>
      </c>
      <c r="AZ39" s="119">
        <v>464.31</v>
      </c>
      <c r="BA39" s="119">
        <v>1830.79</v>
      </c>
      <c r="BB39" s="119">
        <v>2845.27</v>
      </c>
      <c r="BC39" s="119">
        <v>92.49</v>
      </c>
      <c r="BD39" s="119">
        <v>0</v>
      </c>
      <c r="BE39" s="119">
        <v>1257.2</v>
      </c>
      <c r="BF39" s="119">
        <v>6268.11</v>
      </c>
      <c r="BG39" s="119">
        <v>3159.21</v>
      </c>
      <c r="BH39" s="119">
        <v>11059.07</v>
      </c>
      <c r="BI39" s="119">
        <v>41325.260000000009</v>
      </c>
      <c r="BJ39" s="98">
        <f t="shared" si="29"/>
        <v>70942.210000000006</v>
      </c>
      <c r="BK39" s="119">
        <v>0</v>
      </c>
      <c r="BL39" s="119">
        <v>0</v>
      </c>
      <c r="BM39" s="119">
        <v>285.04999999999995</v>
      </c>
      <c r="BN39" s="119">
        <v>3211.0200000000004</v>
      </c>
      <c r="BO39" s="119">
        <v>0</v>
      </c>
      <c r="BP39" s="119">
        <v>6371.77</v>
      </c>
      <c r="BQ39" s="119">
        <v>6663.51</v>
      </c>
      <c r="BR39" s="119">
        <v>5606.49</v>
      </c>
      <c r="BS39" s="119">
        <v>10308.880000000001</v>
      </c>
      <c r="BT39" s="119">
        <v>0</v>
      </c>
      <c r="BU39" s="119">
        <v>0</v>
      </c>
      <c r="BV39" s="119">
        <v>5635.9</v>
      </c>
      <c r="BW39" s="98">
        <f t="shared" si="30"/>
        <v>38082.619999999995</v>
      </c>
      <c r="BX39" s="119">
        <v>1660.6799999999998</v>
      </c>
      <c r="BY39" s="119">
        <v>212.73000000000002</v>
      </c>
      <c r="BZ39" s="119">
        <v>311.86</v>
      </c>
      <c r="CA39" s="119">
        <v>0</v>
      </c>
      <c r="CB39" s="119">
        <v>906.21</v>
      </c>
      <c r="CC39" s="119">
        <v>6014.15</v>
      </c>
      <c r="CD39" s="119">
        <v>0</v>
      </c>
      <c r="CE39" s="119">
        <v>0</v>
      </c>
      <c r="CF39" s="119">
        <v>1251.75</v>
      </c>
      <c r="CG39" s="119">
        <v>44984.800000000003</v>
      </c>
      <c r="CH39" s="98">
        <f t="shared" si="31"/>
        <v>55342.18</v>
      </c>
      <c r="CI39" s="96">
        <f t="shared" si="32"/>
        <v>60978.080000000002</v>
      </c>
      <c r="CJ39" s="95"/>
      <c r="CK39" s="119">
        <f t="shared" si="33"/>
        <v>3915.6358585278149</v>
      </c>
      <c r="CL39" s="119">
        <f t="shared" si="33"/>
        <v>0</v>
      </c>
      <c r="CM39" s="119">
        <f t="shared" si="33"/>
        <v>688.53205282069666</v>
      </c>
      <c r="CN39" s="119">
        <f t="shared" si="33"/>
        <v>2714.9051215429417</v>
      </c>
      <c r="CO39" s="119">
        <f t="shared" si="33"/>
        <v>4219.2922700978725</v>
      </c>
      <c r="CP39" s="119">
        <f t="shared" si="33"/>
        <v>137.15476635305345</v>
      </c>
      <c r="CQ39" s="119">
        <f t="shared" si="33"/>
        <v>0</v>
      </c>
      <c r="CR39" s="119">
        <f t="shared" si="33"/>
        <v>1864.320167143029</v>
      </c>
      <c r="CS39" s="119">
        <f t="shared" si="33"/>
        <v>9295.0714944884603</v>
      </c>
      <c r="CT39" s="119">
        <f t="shared" si="33"/>
        <v>4684.8384626470961</v>
      </c>
      <c r="CU39" s="119">
        <f t="shared" si="33"/>
        <v>16399.655767456617</v>
      </c>
      <c r="CV39" s="119">
        <f t="shared" si="33"/>
        <v>61281.82916833373</v>
      </c>
      <c r="CW39" s="98">
        <f t="shared" si="34"/>
        <v>105201.2351294113</v>
      </c>
      <c r="CX39" s="119">
        <f t="shared" si="51"/>
        <v>0</v>
      </c>
      <c r="CY39" s="119">
        <f t="shared" si="51"/>
        <v>0</v>
      </c>
      <c r="CZ39" s="119">
        <f t="shared" si="51"/>
        <v>422.7047913173086</v>
      </c>
      <c r="DA39" s="119">
        <f t="shared" si="51"/>
        <v>4761.6682652717227</v>
      </c>
      <c r="DB39" s="119">
        <f t="shared" si="51"/>
        <v>0</v>
      </c>
      <c r="DC39" s="119">
        <f t="shared" si="51"/>
        <v>9448.7904163195526</v>
      </c>
      <c r="DD39" s="119">
        <f t="shared" si="51"/>
        <v>9881.4159059491303</v>
      </c>
      <c r="DE39" s="119">
        <f t="shared" si="51"/>
        <v>8313.9455726103424</v>
      </c>
      <c r="DF39" s="119">
        <f t="shared" si="51"/>
        <v>15287.188104245492</v>
      </c>
      <c r="DG39" s="119">
        <f t="shared" si="51"/>
        <v>0</v>
      </c>
      <c r="DH39" s="119">
        <f t="shared" si="51"/>
        <v>0</v>
      </c>
      <c r="DI39" s="119">
        <f t="shared" si="51"/>
        <v>8357.5580894061404</v>
      </c>
      <c r="DJ39" s="98">
        <f t="shared" si="35"/>
        <v>56473.271145119688</v>
      </c>
      <c r="DK39" s="119">
        <f t="shared" si="52"/>
        <v>2462.6465281348114</v>
      </c>
      <c r="DL39" s="119">
        <f t="shared" si="52"/>
        <v>315.46041135566065</v>
      </c>
      <c r="DM39" s="119">
        <f t="shared" si="52"/>
        <v>462.46173029368845</v>
      </c>
      <c r="DN39" s="119">
        <f t="shared" si="52"/>
        <v>0</v>
      </c>
      <c r="DO39" s="119">
        <f t="shared" si="52"/>
        <v>1343.8319906671049</v>
      </c>
      <c r="DP39" s="119">
        <f t="shared" si="52"/>
        <v>8918.4705164041115</v>
      </c>
      <c r="DQ39" s="119">
        <f t="shared" si="52"/>
        <v>0</v>
      </c>
      <c r="DR39" s="119">
        <f t="shared" si="52"/>
        <v>0</v>
      </c>
      <c r="DS39" s="119">
        <f t="shared" si="52"/>
        <v>1856.2382828677114</v>
      </c>
      <c r="DT39" s="119">
        <f t="shared" si="52"/>
        <v>66708.614265745899</v>
      </c>
      <c r="DU39" s="98">
        <f t="shared" si="36"/>
        <v>82067.723725468983</v>
      </c>
      <c r="DV39" s="96">
        <f t="shared" si="37"/>
        <v>90425.281814875125</v>
      </c>
      <c r="DW39" s="95"/>
      <c r="DX39" s="162">
        <f t="shared" si="57"/>
        <v>0.59724751637576245</v>
      </c>
      <c r="DY39" s="162">
        <f t="shared" si="57"/>
        <v>0</v>
      </c>
      <c r="DZ39" s="162">
        <f t="shared" si="57"/>
        <v>0.59724751637576245</v>
      </c>
      <c r="EA39" s="162">
        <f t="shared" si="57"/>
        <v>0.59724751637576245</v>
      </c>
      <c r="EB39" s="162">
        <f t="shared" si="57"/>
        <v>0.59724751637576234</v>
      </c>
      <c r="EC39" s="162">
        <f t="shared" si="57"/>
        <v>0.59724751637576257</v>
      </c>
      <c r="ED39" s="162">
        <f t="shared" si="57"/>
        <v>0</v>
      </c>
      <c r="EE39" s="162">
        <f t="shared" si="57"/>
        <v>0.59724751637576245</v>
      </c>
      <c r="EF39" s="162">
        <f t="shared" si="57"/>
        <v>0.59724751637576245</v>
      </c>
      <c r="EG39" s="162">
        <f t="shared" si="55"/>
        <v>0.59724751637576245</v>
      </c>
      <c r="EH39" s="162">
        <f t="shared" si="55"/>
        <v>0.59724751637576245</v>
      </c>
      <c r="EI39" s="162">
        <f t="shared" si="55"/>
        <v>0.59724751637576257</v>
      </c>
      <c r="EJ39" s="163">
        <f t="shared" si="55"/>
        <v>0.59724751637576245</v>
      </c>
      <c r="EK39" s="162">
        <f t="shared" si="55"/>
        <v>0</v>
      </c>
      <c r="EL39" s="162">
        <f t="shared" si="55"/>
        <v>0</v>
      </c>
      <c r="EM39" s="162">
        <f t="shared" si="55"/>
        <v>0.59724751637576245</v>
      </c>
      <c r="EN39" s="162">
        <f t="shared" si="55"/>
        <v>0.59724751637576245</v>
      </c>
      <c r="EO39" s="162">
        <f t="shared" si="55"/>
        <v>0</v>
      </c>
      <c r="EP39" s="162">
        <f t="shared" si="55"/>
        <v>0.59724751637576257</v>
      </c>
      <c r="EQ39" s="162">
        <f t="shared" si="55"/>
        <v>0.59724751637576245</v>
      </c>
      <c r="ER39" s="162">
        <f t="shared" si="55"/>
        <v>0.59724751637576257</v>
      </c>
      <c r="ES39" s="162">
        <f t="shared" si="55"/>
        <v>0.59724751637576245</v>
      </c>
      <c r="ET39" s="162">
        <f t="shared" si="55"/>
        <v>0</v>
      </c>
      <c r="EU39" s="162">
        <f t="shared" si="55"/>
        <v>0</v>
      </c>
      <c r="EV39" s="162">
        <f t="shared" si="55"/>
        <v>0.59724751637576257</v>
      </c>
      <c r="EW39" s="163">
        <f t="shared" si="58"/>
        <v>0.59724751637576245</v>
      </c>
      <c r="EX39" s="162">
        <f t="shared" si="58"/>
        <v>0.59724751637576245</v>
      </c>
      <c r="EY39" s="162">
        <f t="shared" si="58"/>
        <v>0.59724751637576245</v>
      </c>
      <c r="EZ39" s="162">
        <f t="shared" si="58"/>
        <v>0.59724751637576245</v>
      </c>
      <c r="FA39" s="162">
        <f t="shared" si="58"/>
        <v>0</v>
      </c>
      <c r="FB39" s="162">
        <f t="shared" si="58"/>
        <v>0.59724751637576245</v>
      </c>
      <c r="FC39" s="162">
        <f t="shared" si="56"/>
        <v>0.59724751637576245</v>
      </c>
      <c r="FD39" s="162">
        <f t="shared" si="50"/>
        <v>0</v>
      </c>
      <c r="FE39" s="162">
        <f t="shared" si="50"/>
        <v>0</v>
      </c>
      <c r="FF39" s="162">
        <f t="shared" si="48"/>
        <v>0.59724751637576245</v>
      </c>
      <c r="FG39" s="162">
        <f t="shared" si="48"/>
        <v>0.59724751637576245</v>
      </c>
      <c r="FH39" s="163">
        <f t="shared" si="48"/>
        <v>0.59724751637576245</v>
      </c>
      <c r="FI39" s="164">
        <f t="shared" si="48"/>
        <v>0.59724751637576245</v>
      </c>
      <c r="FJ39" s="95"/>
      <c r="FK39" s="119">
        <v>0</v>
      </c>
      <c r="FL39" s="119">
        <v>0</v>
      </c>
      <c r="FM39" s="119">
        <v>0</v>
      </c>
      <c r="FN39" s="119">
        <v>0</v>
      </c>
      <c r="FO39" s="119">
        <v>0</v>
      </c>
      <c r="FP39" s="119">
        <v>58187.8</v>
      </c>
      <c r="FQ39" s="119">
        <v>0</v>
      </c>
      <c r="FR39" s="119">
        <v>0</v>
      </c>
      <c r="FS39" s="119">
        <v>0</v>
      </c>
      <c r="FT39" s="119">
        <v>0</v>
      </c>
      <c r="FU39" s="119">
        <v>0</v>
      </c>
      <c r="FV39" s="119">
        <v>86558.12</v>
      </c>
      <c r="FW39" s="98">
        <f t="shared" si="39"/>
        <v>144745.91999999998</v>
      </c>
      <c r="FX39" s="119">
        <v>0</v>
      </c>
      <c r="FY39" s="119">
        <v>0</v>
      </c>
      <c r="FZ39" s="119">
        <v>0</v>
      </c>
      <c r="GA39" s="119">
        <v>0</v>
      </c>
      <c r="GB39" s="119">
        <v>179571.91</v>
      </c>
      <c r="GC39" s="119">
        <v>0</v>
      </c>
      <c r="GD39" s="119">
        <v>0</v>
      </c>
      <c r="GE39" s="119">
        <v>0</v>
      </c>
      <c r="GF39" s="119">
        <v>0</v>
      </c>
      <c r="GG39" s="119">
        <v>0</v>
      </c>
      <c r="GH39" s="119">
        <v>0</v>
      </c>
      <c r="GI39" s="119">
        <v>0</v>
      </c>
      <c r="GJ39" s="98">
        <f t="shared" si="40"/>
        <v>179571.91</v>
      </c>
      <c r="GK39" s="119">
        <v>0</v>
      </c>
      <c r="GL39" s="119">
        <v>0</v>
      </c>
      <c r="GM39" s="119">
        <v>0</v>
      </c>
      <c r="GN39" s="119">
        <v>0</v>
      </c>
      <c r="GO39" s="119">
        <v>0</v>
      </c>
      <c r="GP39" s="119">
        <v>0</v>
      </c>
      <c r="GQ39" s="119">
        <v>0</v>
      </c>
      <c r="GR39" s="119">
        <v>0</v>
      </c>
      <c r="GS39" s="119">
        <v>20820.509999999998</v>
      </c>
      <c r="GT39" s="119">
        <v>62970.9</v>
      </c>
      <c r="GU39" s="98">
        <f t="shared" si="41"/>
        <v>83791.41</v>
      </c>
      <c r="GV39" s="96">
        <f t="shared" si="42"/>
        <v>83791.41</v>
      </c>
      <c r="GW39" s="95"/>
      <c r="GX39" s="119">
        <f t="shared" si="43"/>
        <v>6556.1358585278149</v>
      </c>
      <c r="GY39" s="119">
        <f t="shared" si="43"/>
        <v>0</v>
      </c>
      <c r="GZ39" s="119">
        <f t="shared" si="43"/>
        <v>1152.8420528206966</v>
      </c>
      <c r="HA39" s="119">
        <f t="shared" si="43"/>
        <v>4545.6951215429417</v>
      </c>
      <c r="HB39" s="119">
        <f t="shared" si="43"/>
        <v>7064.5622700978729</v>
      </c>
      <c r="HC39" s="119">
        <f t="shared" si="43"/>
        <v>-57958.155233646947</v>
      </c>
      <c r="HD39" s="119">
        <f t="shared" si="43"/>
        <v>0</v>
      </c>
      <c r="HE39" s="119">
        <f t="shared" si="43"/>
        <v>3121.5201671430291</v>
      </c>
      <c r="HF39" s="119">
        <f t="shared" si="43"/>
        <v>15563.181494488461</v>
      </c>
      <c r="HG39" s="119">
        <f t="shared" si="43"/>
        <v>7844.0484626470961</v>
      </c>
      <c r="HH39" s="119">
        <f t="shared" si="43"/>
        <v>27458.725767456617</v>
      </c>
      <c r="HI39" s="119">
        <f t="shared" si="43"/>
        <v>16048.969168333744</v>
      </c>
      <c r="HJ39" s="98">
        <f t="shared" si="44"/>
        <v>31397.525129411326</v>
      </c>
      <c r="HK39" s="119">
        <f t="shared" si="53"/>
        <v>0</v>
      </c>
      <c r="HL39" s="119">
        <f t="shared" si="53"/>
        <v>0</v>
      </c>
      <c r="HM39" s="119">
        <f t="shared" si="53"/>
        <v>707.75479131730856</v>
      </c>
      <c r="HN39" s="119">
        <f t="shared" si="53"/>
        <v>7972.6882652717231</v>
      </c>
      <c r="HO39" s="119">
        <f t="shared" si="53"/>
        <v>-179571.91</v>
      </c>
      <c r="HP39" s="119">
        <f t="shared" si="53"/>
        <v>15820.560416319553</v>
      </c>
      <c r="HQ39" s="119">
        <f t="shared" si="53"/>
        <v>16544.925905949131</v>
      </c>
      <c r="HR39" s="119">
        <f t="shared" si="53"/>
        <v>13920.435572610342</v>
      </c>
      <c r="HS39" s="119">
        <f t="shared" si="53"/>
        <v>25596.068104245493</v>
      </c>
      <c r="HT39" s="119">
        <f t="shared" si="53"/>
        <v>0</v>
      </c>
      <c r="HU39" s="119">
        <f t="shared" si="53"/>
        <v>0</v>
      </c>
      <c r="HV39" s="119">
        <f t="shared" si="53"/>
        <v>13993.45808940614</v>
      </c>
      <c r="HW39" s="98">
        <f t="shared" si="45"/>
        <v>-85016.018854880342</v>
      </c>
      <c r="HX39" s="119">
        <f t="shared" si="54"/>
        <v>4123.3265281348113</v>
      </c>
      <c r="HY39" s="119">
        <f t="shared" si="54"/>
        <v>528.19041135566067</v>
      </c>
      <c r="HZ39" s="119">
        <f t="shared" si="54"/>
        <v>774.32173029368846</v>
      </c>
      <c r="IA39" s="119">
        <f t="shared" si="54"/>
        <v>0</v>
      </c>
      <c r="IB39" s="119">
        <f t="shared" si="54"/>
        <v>2250.041990667105</v>
      </c>
      <c r="IC39" s="119">
        <f t="shared" si="54"/>
        <v>14932.620516404111</v>
      </c>
      <c r="ID39" s="119">
        <f t="shared" si="54"/>
        <v>0</v>
      </c>
      <c r="IE39" s="119">
        <f t="shared" si="54"/>
        <v>0</v>
      </c>
      <c r="IF39" s="119">
        <f t="shared" si="54"/>
        <v>-17712.521717132287</v>
      </c>
      <c r="IG39" s="119">
        <f t="shared" si="54"/>
        <v>48722.5142657459</v>
      </c>
      <c r="IH39" s="98">
        <f t="shared" si="46"/>
        <v>53618.493725468987</v>
      </c>
      <c r="II39" s="96">
        <f t="shared" si="47"/>
        <v>67611.951814875123</v>
      </c>
    </row>
    <row r="40" spans="2:243" x14ac:dyDescent="0.2">
      <c r="B40" s="101" t="s">
        <v>339</v>
      </c>
      <c r="C40" s="89" t="s">
        <v>340</v>
      </c>
      <c r="D40" s="89" t="str">
        <f>_xlfn.IFNA(INDEX('4. WIP Report (Oct-25)'!D:D,MATCH('7. POC Lookback Summary'!$B40,'4. WIP Report (Oct-25)'!$B:$B,0)),INDEX('5. Completed Jobs'!D:D,MATCH('7. POC Lookback Summary'!$B40,'5. Completed Jobs'!$B:$B,0)))</f>
        <v>Summit Properties LLC</v>
      </c>
      <c r="E40" s="89" t="str">
        <f>_xlfn.IFNA(INDEX('4. WIP Report (Oct-25)'!E:E,MATCH('7. POC Lookback Summary'!$B40,'4. WIP Report (Oct-25)'!$B:$B,0)),INDEX('5. Completed Jobs'!E:E,MATCH('7. POC Lookback Summary'!$B40,'5. Completed Jobs'!$B:$B,0)))</f>
        <v>Sprinkler Installation</v>
      </c>
      <c r="F40" s="89" t="str">
        <f>_xlfn.IFNA(INDEX('4. WIP Report (Oct-25)'!F:F,MATCH('7. POC Lookback Summary'!$B40,'4. WIP Report (Oct-25)'!$B:$B,0)),INDEX('5. Completed Jobs'!F:F,MATCH('7. POC Lookback Summary'!$B40,'5. Completed Jobs'!$B:$B,0)))</f>
        <v>K-12</v>
      </c>
      <c r="G40" s="89" t="str">
        <f>_xlfn.IFNA(INDEX('4. WIP Report (Oct-25)'!G:G,MATCH('7. POC Lookback Summary'!$B40,'4. WIP Report (Oct-25)'!$B:$B,0)),INDEX('5. Completed Jobs'!G:G,MATCH('7. POC Lookback Summary'!$B40,'5. Completed Jobs'!$B:$B,0)))</f>
        <v>Direct</v>
      </c>
      <c r="H40" s="89" t="str">
        <f>_xlfn.IFNA(INDEX('4. WIP Report (Oct-25)'!H:H,MATCH('7. POC Lookback Summary'!$B40,'4. WIP Report (Oct-25)'!$B:$B,0)),INDEX('5. Completed Jobs'!H:H,MATCH('7. POC Lookback Summary'!$B40,'5. Completed Jobs'!$B:$B,0)))</f>
        <v>New Construction</v>
      </c>
      <c r="J40" s="95"/>
      <c r="K40" s="119">
        <v>14779.082062450063</v>
      </c>
      <c r="L40" s="119">
        <v>1314.1528856688522</v>
      </c>
      <c r="M40" s="119">
        <v>0</v>
      </c>
      <c r="N40" s="119">
        <v>0</v>
      </c>
      <c r="O40" s="119">
        <v>0</v>
      </c>
      <c r="P40" s="119">
        <v>573.9145096541987</v>
      </c>
      <c r="Q40" s="119">
        <v>1318.4607871734172</v>
      </c>
      <c r="R40" s="119">
        <v>5045.9859298272204</v>
      </c>
      <c r="S40" s="119">
        <v>0</v>
      </c>
      <c r="T40" s="119">
        <v>0</v>
      </c>
      <c r="U40" s="119">
        <v>0</v>
      </c>
      <c r="V40" s="119">
        <v>923.12175097818204</v>
      </c>
      <c r="W40" s="98">
        <f t="shared" si="25"/>
        <v>23954.717925751935</v>
      </c>
      <c r="X40" s="119">
        <v>15689.531133250341</v>
      </c>
      <c r="Y40" s="119">
        <v>0</v>
      </c>
      <c r="Z40" s="119">
        <v>84713.968063075998</v>
      </c>
      <c r="AA40" s="119">
        <v>15270.790150911891</v>
      </c>
      <c r="AB40" s="119">
        <v>10045.912942816163</v>
      </c>
      <c r="AC40" s="119">
        <v>7604.2640090380892</v>
      </c>
      <c r="AD40" s="119">
        <v>0</v>
      </c>
      <c r="AE40" s="119">
        <v>2033.9530222144801</v>
      </c>
      <c r="AF40" s="119">
        <v>0</v>
      </c>
      <c r="AG40" s="119">
        <v>655.82132115546449</v>
      </c>
      <c r="AH40" s="119">
        <v>0</v>
      </c>
      <c r="AI40" s="119">
        <v>7254.6842799900242</v>
      </c>
      <c r="AJ40" s="98">
        <f t="shared" si="26"/>
        <v>143268.92492245245</v>
      </c>
      <c r="AK40" s="119">
        <v>0</v>
      </c>
      <c r="AL40" s="119">
        <v>986.59042013754151</v>
      </c>
      <c r="AM40" s="119">
        <v>2796.7916860096607</v>
      </c>
      <c r="AN40" s="119">
        <v>140.74367678729632</v>
      </c>
      <c r="AO40" s="119">
        <v>0</v>
      </c>
      <c r="AP40" s="119">
        <v>4716.9820987549092</v>
      </c>
      <c r="AQ40" s="119">
        <v>0</v>
      </c>
      <c r="AR40" s="119">
        <v>2174.4132844291075</v>
      </c>
      <c r="AS40" s="119">
        <v>3591.5509282465609</v>
      </c>
      <c r="AT40" s="119">
        <v>1871.6050574306066</v>
      </c>
      <c r="AU40" s="98">
        <f t="shared" si="27"/>
        <v>16278.677151795682</v>
      </c>
      <c r="AV40" s="96">
        <f t="shared" si="28"/>
        <v>23533.361431785706</v>
      </c>
      <c r="AW40" s="95"/>
      <c r="AX40" s="119">
        <v>18251.28</v>
      </c>
      <c r="AY40" s="119">
        <v>1622.9</v>
      </c>
      <c r="AZ40" s="119">
        <v>0</v>
      </c>
      <c r="BA40" s="119">
        <v>0</v>
      </c>
      <c r="BB40" s="119">
        <v>0</v>
      </c>
      <c r="BC40" s="119">
        <v>708.75</v>
      </c>
      <c r="BD40" s="119">
        <v>1628.22</v>
      </c>
      <c r="BE40" s="119">
        <v>6231.49</v>
      </c>
      <c r="BF40" s="119">
        <v>0</v>
      </c>
      <c r="BG40" s="119">
        <v>0</v>
      </c>
      <c r="BH40" s="119">
        <v>0</v>
      </c>
      <c r="BI40" s="119">
        <v>1140</v>
      </c>
      <c r="BJ40" s="98">
        <f t="shared" si="29"/>
        <v>29582.639999999999</v>
      </c>
      <c r="BK40" s="119">
        <v>19375.629999999997</v>
      </c>
      <c r="BL40" s="119">
        <v>0</v>
      </c>
      <c r="BM40" s="119">
        <v>104616.67</v>
      </c>
      <c r="BN40" s="119">
        <v>18858.510000000002</v>
      </c>
      <c r="BO40" s="119">
        <v>12406.100000000002</v>
      </c>
      <c r="BP40" s="119">
        <v>9390.8100000000013</v>
      </c>
      <c r="BQ40" s="119">
        <v>0</v>
      </c>
      <c r="BR40" s="119">
        <v>2511.81</v>
      </c>
      <c r="BS40" s="119">
        <v>0</v>
      </c>
      <c r="BT40" s="119">
        <v>809.9</v>
      </c>
      <c r="BU40" s="119">
        <v>0</v>
      </c>
      <c r="BV40" s="119">
        <v>8959.0999999999985</v>
      </c>
      <c r="BW40" s="98">
        <f t="shared" si="30"/>
        <v>176928.53</v>
      </c>
      <c r="BX40" s="119">
        <v>0</v>
      </c>
      <c r="BY40" s="119">
        <v>1218.3800000000001</v>
      </c>
      <c r="BZ40" s="119">
        <v>3453.87</v>
      </c>
      <c r="CA40" s="119">
        <v>173.81</v>
      </c>
      <c r="CB40" s="119">
        <v>0</v>
      </c>
      <c r="CC40" s="119">
        <v>5825.1900000000005</v>
      </c>
      <c r="CD40" s="119">
        <v>0</v>
      </c>
      <c r="CE40" s="119">
        <v>2685.27</v>
      </c>
      <c r="CF40" s="119">
        <v>4435.3500000000004</v>
      </c>
      <c r="CG40" s="119">
        <v>2311.3200000000002</v>
      </c>
      <c r="CH40" s="98">
        <f t="shared" si="31"/>
        <v>20103.190000000002</v>
      </c>
      <c r="CI40" s="96">
        <f t="shared" si="32"/>
        <v>29062.29</v>
      </c>
      <c r="CJ40" s="95"/>
      <c r="CK40" s="119">
        <f t="shared" si="33"/>
        <v>-3472.1979375499359</v>
      </c>
      <c r="CL40" s="119">
        <f t="shared" si="33"/>
        <v>-308.74711433114794</v>
      </c>
      <c r="CM40" s="119">
        <f t="shared" si="33"/>
        <v>0</v>
      </c>
      <c r="CN40" s="119">
        <f t="shared" si="33"/>
        <v>0</v>
      </c>
      <c r="CO40" s="119">
        <f t="shared" si="33"/>
        <v>0</v>
      </c>
      <c r="CP40" s="119">
        <f t="shared" si="33"/>
        <v>-134.8354903458013</v>
      </c>
      <c r="CQ40" s="119">
        <f t="shared" si="33"/>
        <v>-309.75921282658283</v>
      </c>
      <c r="CR40" s="119">
        <f t="shared" si="33"/>
        <v>-1185.5040701727794</v>
      </c>
      <c r="CS40" s="119">
        <f t="shared" si="33"/>
        <v>0</v>
      </c>
      <c r="CT40" s="119">
        <f t="shared" si="33"/>
        <v>0</v>
      </c>
      <c r="CU40" s="119">
        <f t="shared" si="33"/>
        <v>0</v>
      </c>
      <c r="CV40" s="119">
        <f t="shared" si="33"/>
        <v>-216.87824902181796</v>
      </c>
      <c r="CW40" s="98">
        <f t="shared" si="34"/>
        <v>-5627.9220742480647</v>
      </c>
      <c r="CX40" s="119">
        <f t="shared" si="51"/>
        <v>-3686.0988667496567</v>
      </c>
      <c r="CY40" s="119">
        <f t="shared" si="51"/>
        <v>0</v>
      </c>
      <c r="CZ40" s="119">
        <f t="shared" si="51"/>
        <v>-19902.701936924001</v>
      </c>
      <c r="DA40" s="119">
        <f t="shared" si="51"/>
        <v>-3587.719849088111</v>
      </c>
      <c r="DB40" s="119">
        <f t="shared" si="51"/>
        <v>-2360.187057183839</v>
      </c>
      <c r="DC40" s="119">
        <f t="shared" si="51"/>
        <v>-1786.5459909619121</v>
      </c>
      <c r="DD40" s="119">
        <f t="shared" si="51"/>
        <v>0</v>
      </c>
      <c r="DE40" s="119">
        <f t="shared" si="51"/>
        <v>-477.8569777855198</v>
      </c>
      <c r="DF40" s="119">
        <f t="shared" si="51"/>
        <v>0</v>
      </c>
      <c r="DG40" s="119">
        <f t="shared" si="51"/>
        <v>-154.07867884453549</v>
      </c>
      <c r="DH40" s="119">
        <f t="shared" si="51"/>
        <v>0</v>
      </c>
      <c r="DI40" s="119">
        <f t="shared" si="51"/>
        <v>-1704.4157200099744</v>
      </c>
      <c r="DJ40" s="98">
        <f t="shared" si="35"/>
        <v>-33659.605077547552</v>
      </c>
      <c r="DK40" s="119">
        <f t="shared" si="52"/>
        <v>0</v>
      </c>
      <c r="DL40" s="119">
        <f t="shared" si="52"/>
        <v>-231.7895798624586</v>
      </c>
      <c r="DM40" s="119">
        <f t="shared" si="52"/>
        <v>-657.07831399033921</v>
      </c>
      <c r="DN40" s="119">
        <f t="shared" si="52"/>
        <v>-33.066323212703679</v>
      </c>
      <c r="DO40" s="119">
        <f t="shared" si="52"/>
        <v>0</v>
      </c>
      <c r="DP40" s="119">
        <f t="shared" si="52"/>
        <v>-1108.2079012450913</v>
      </c>
      <c r="DQ40" s="119">
        <f t="shared" si="52"/>
        <v>0</v>
      </c>
      <c r="DR40" s="119">
        <f t="shared" si="52"/>
        <v>-510.85671557089245</v>
      </c>
      <c r="DS40" s="119">
        <f t="shared" si="52"/>
        <v>-843.79907175343942</v>
      </c>
      <c r="DT40" s="119">
        <f t="shared" si="52"/>
        <v>-439.71494256939354</v>
      </c>
      <c r="DU40" s="98">
        <f t="shared" si="36"/>
        <v>-3824.5128482043183</v>
      </c>
      <c r="DV40" s="96">
        <f t="shared" si="37"/>
        <v>-5528.9285682142927</v>
      </c>
      <c r="DW40" s="95"/>
      <c r="DX40" s="162">
        <f t="shared" si="57"/>
        <v>-0.23494002691628049</v>
      </c>
      <c r="DY40" s="162">
        <f t="shared" si="57"/>
        <v>-0.2349400269162806</v>
      </c>
      <c r="DZ40" s="162">
        <f t="shared" si="57"/>
        <v>0</v>
      </c>
      <c r="EA40" s="162">
        <f t="shared" si="57"/>
        <v>0</v>
      </c>
      <c r="EB40" s="162">
        <f t="shared" si="57"/>
        <v>0</v>
      </c>
      <c r="EC40" s="162">
        <f t="shared" si="57"/>
        <v>-0.23494002691628038</v>
      </c>
      <c r="ED40" s="162">
        <f t="shared" si="57"/>
        <v>-0.23494002691628035</v>
      </c>
      <c r="EE40" s="162">
        <f t="shared" si="57"/>
        <v>-0.23494002691628041</v>
      </c>
      <c r="EF40" s="162">
        <f t="shared" si="57"/>
        <v>0</v>
      </c>
      <c r="EG40" s="162">
        <f t="shared" si="55"/>
        <v>0</v>
      </c>
      <c r="EH40" s="162">
        <f t="shared" si="55"/>
        <v>0</v>
      </c>
      <c r="EI40" s="162">
        <f t="shared" si="55"/>
        <v>-0.23494002691628038</v>
      </c>
      <c r="EJ40" s="163">
        <f t="shared" si="55"/>
        <v>-0.23494002691628044</v>
      </c>
      <c r="EK40" s="162">
        <f t="shared" si="55"/>
        <v>-0.23494002691628055</v>
      </c>
      <c r="EL40" s="162">
        <f t="shared" si="55"/>
        <v>0</v>
      </c>
      <c r="EM40" s="162">
        <f t="shared" si="55"/>
        <v>-0.23494002691628049</v>
      </c>
      <c r="EN40" s="162">
        <f t="shared" si="55"/>
        <v>-0.23494002691628052</v>
      </c>
      <c r="EO40" s="162">
        <f t="shared" si="55"/>
        <v>-0.23494002691628041</v>
      </c>
      <c r="EP40" s="162">
        <f t="shared" si="55"/>
        <v>-0.23494002691628055</v>
      </c>
      <c r="EQ40" s="162">
        <f t="shared" si="55"/>
        <v>0</v>
      </c>
      <c r="ER40" s="162">
        <f t="shared" si="55"/>
        <v>-0.23494002691628038</v>
      </c>
      <c r="ES40" s="162">
        <f t="shared" si="55"/>
        <v>0</v>
      </c>
      <c r="ET40" s="162">
        <f t="shared" si="55"/>
        <v>-0.23494002691628055</v>
      </c>
      <c r="EU40" s="162">
        <f t="shared" si="55"/>
        <v>0</v>
      </c>
      <c r="EV40" s="162">
        <f t="shared" si="55"/>
        <v>-0.23494002691628066</v>
      </c>
      <c r="EW40" s="163">
        <f t="shared" si="58"/>
        <v>-0.23494002691628052</v>
      </c>
      <c r="EX40" s="162">
        <f t="shared" si="58"/>
        <v>0</v>
      </c>
      <c r="EY40" s="162">
        <f t="shared" si="58"/>
        <v>-0.2349400269162806</v>
      </c>
      <c r="EZ40" s="162">
        <f t="shared" si="58"/>
        <v>-0.23494002691628049</v>
      </c>
      <c r="FA40" s="162">
        <f t="shared" si="58"/>
        <v>-0.23494002691628049</v>
      </c>
      <c r="FB40" s="162">
        <f t="shared" si="58"/>
        <v>0</v>
      </c>
      <c r="FC40" s="162">
        <f t="shared" si="56"/>
        <v>-0.23494002691628044</v>
      </c>
      <c r="FD40" s="162">
        <f t="shared" si="50"/>
        <v>0</v>
      </c>
      <c r="FE40" s="162">
        <f t="shared" si="50"/>
        <v>-0.23494002691628052</v>
      </c>
      <c r="FF40" s="162">
        <f t="shared" si="48"/>
        <v>-0.23494002691628055</v>
      </c>
      <c r="FG40" s="162">
        <f t="shared" si="48"/>
        <v>-0.23494002691628055</v>
      </c>
      <c r="FH40" s="163">
        <f t="shared" si="48"/>
        <v>-0.23494002691628052</v>
      </c>
      <c r="FI40" s="164">
        <f t="shared" si="48"/>
        <v>-0.23494002691628055</v>
      </c>
      <c r="FJ40" s="95"/>
      <c r="FK40" s="119">
        <v>0</v>
      </c>
      <c r="FL40" s="119">
        <v>63981.04</v>
      </c>
      <c r="FM40" s="119">
        <v>0</v>
      </c>
      <c r="FN40" s="119">
        <v>0</v>
      </c>
      <c r="FO40" s="119">
        <v>0</v>
      </c>
      <c r="FP40" s="119">
        <v>0</v>
      </c>
      <c r="FQ40" s="119">
        <v>0</v>
      </c>
      <c r="FR40" s="119">
        <v>0</v>
      </c>
      <c r="FS40" s="119">
        <v>0</v>
      </c>
      <c r="FT40" s="119">
        <v>0</v>
      </c>
      <c r="FU40" s="119">
        <v>0</v>
      </c>
      <c r="FV40" s="119">
        <v>0</v>
      </c>
      <c r="FW40" s="98">
        <f t="shared" si="39"/>
        <v>63981.04</v>
      </c>
      <c r="FX40" s="119">
        <v>0</v>
      </c>
      <c r="FY40" s="119">
        <v>0</v>
      </c>
      <c r="FZ40" s="119">
        <v>17222.66</v>
      </c>
      <c r="GA40" s="119">
        <v>0</v>
      </c>
      <c r="GB40" s="119">
        <v>0</v>
      </c>
      <c r="GC40" s="119">
        <v>0</v>
      </c>
      <c r="GD40" s="119">
        <v>0</v>
      </c>
      <c r="GE40" s="119">
        <v>0</v>
      </c>
      <c r="GF40" s="119">
        <v>0</v>
      </c>
      <c r="GG40" s="119">
        <v>93461.33</v>
      </c>
      <c r="GH40" s="119">
        <v>0</v>
      </c>
      <c r="GI40" s="119">
        <v>0</v>
      </c>
      <c r="GJ40" s="98">
        <f t="shared" si="40"/>
        <v>110683.99</v>
      </c>
      <c r="GK40" s="119">
        <v>0</v>
      </c>
      <c r="GL40" s="119">
        <v>0</v>
      </c>
      <c r="GM40" s="119">
        <v>0</v>
      </c>
      <c r="GN40" s="119">
        <v>0</v>
      </c>
      <c r="GO40" s="119">
        <v>0</v>
      </c>
      <c r="GP40" s="119">
        <v>0</v>
      </c>
      <c r="GQ40" s="119">
        <v>8837.2900000000009</v>
      </c>
      <c r="GR40" s="119">
        <v>0</v>
      </c>
      <c r="GS40" s="119">
        <v>0</v>
      </c>
      <c r="GT40" s="119">
        <v>0</v>
      </c>
      <c r="GU40" s="98">
        <f t="shared" si="41"/>
        <v>8837.2900000000009</v>
      </c>
      <c r="GV40" s="96">
        <f t="shared" si="42"/>
        <v>8837.2900000000009</v>
      </c>
      <c r="GW40" s="95"/>
      <c r="GX40" s="119">
        <f t="shared" si="43"/>
        <v>14779.082062450063</v>
      </c>
      <c r="GY40" s="119">
        <f t="shared" si="43"/>
        <v>-62666.887114331148</v>
      </c>
      <c r="GZ40" s="119">
        <f t="shared" si="43"/>
        <v>0</v>
      </c>
      <c r="HA40" s="119">
        <f t="shared" si="43"/>
        <v>0</v>
      </c>
      <c r="HB40" s="119">
        <f t="shared" si="43"/>
        <v>0</v>
      </c>
      <c r="HC40" s="119">
        <f t="shared" si="43"/>
        <v>573.9145096541987</v>
      </c>
      <c r="HD40" s="119">
        <f t="shared" si="43"/>
        <v>1318.4607871734172</v>
      </c>
      <c r="HE40" s="119">
        <f t="shared" si="43"/>
        <v>5045.9859298272204</v>
      </c>
      <c r="HF40" s="119">
        <f t="shared" si="43"/>
        <v>0</v>
      </c>
      <c r="HG40" s="119">
        <f t="shared" si="43"/>
        <v>0</v>
      </c>
      <c r="HH40" s="119">
        <f t="shared" si="43"/>
        <v>0</v>
      </c>
      <c r="HI40" s="119">
        <f t="shared" si="43"/>
        <v>923.12175097818204</v>
      </c>
      <c r="HJ40" s="98">
        <f t="shared" si="44"/>
        <v>-40026.322074248063</v>
      </c>
      <c r="HK40" s="119">
        <f t="shared" si="53"/>
        <v>15689.531133250341</v>
      </c>
      <c r="HL40" s="119">
        <f t="shared" si="53"/>
        <v>0</v>
      </c>
      <c r="HM40" s="119">
        <f t="shared" si="53"/>
        <v>67491.308063075994</v>
      </c>
      <c r="HN40" s="119">
        <f t="shared" si="53"/>
        <v>15270.790150911891</v>
      </c>
      <c r="HO40" s="119">
        <f t="shared" si="53"/>
        <v>10045.912942816163</v>
      </c>
      <c r="HP40" s="119">
        <f t="shared" si="53"/>
        <v>7604.2640090380892</v>
      </c>
      <c r="HQ40" s="119">
        <f t="shared" si="53"/>
        <v>0</v>
      </c>
      <c r="HR40" s="119">
        <f t="shared" si="53"/>
        <v>2033.9530222144801</v>
      </c>
      <c r="HS40" s="119">
        <f t="shared" si="53"/>
        <v>0</v>
      </c>
      <c r="HT40" s="119">
        <f t="shared" si="53"/>
        <v>-92805.508678844533</v>
      </c>
      <c r="HU40" s="119">
        <f t="shared" si="53"/>
        <v>0</v>
      </c>
      <c r="HV40" s="119">
        <f t="shared" si="53"/>
        <v>7254.6842799900242</v>
      </c>
      <c r="HW40" s="98">
        <f t="shared" si="45"/>
        <v>32584.934922452456</v>
      </c>
      <c r="HX40" s="119">
        <f t="shared" si="54"/>
        <v>0</v>
      </c>
      <c r="HY40" s="119">
        <f t="shared" si="54"/>
        <v>986.59042013754151</v>
      </c>
      <c r="HZ40" s="119">
        <f t="shared" si="54"/>
        <v>2796.7916860096607</v>
      </c>
      <c r="IA40" s="119">
        <f t="shared" si="54"/>
        <v>140.74367678729632</v>
      </c>
      <c r="IB40" s="119">
        <f t="shared" si="54"/>
        <v>0</v>
      </c>
      <c r="IC40" s="119">
        <f t="shared" si="54"/>
        <v>4716.9820987549092</v>
      </c>
      <c r="ID40" s="119">
        <f t="shared" si="54"/>
        <v>-8837.2900000000009</v>
      </c>
      <c r="IE40" s="119">
        <f t="shared" si="54"/>
        <v>2174.4132844291075</v>
      </c>
      <c r="IF40" s="119">
        <f t="shared" si="54"/>
        <v>3591.5509282465609</v>
      </c>
      <c r="IG40" s="119">
        <f t="shared" si="54"/>
        <v>1871.6050574306066</v>
      </c>
      <c r="IH40" s="98">
        <f t="shared" si="46"/>
        <v>7441.3871517956813</v>
      </c>
      <c r="II40" s="96">
        <f t="shared" si="47"/>
        <v>14696.071431785705</v>
      </c>
    </row>
    <row r="41" spans="2:243" x14ac:dyDescent="0.2">
      <c r="B41" s="101" t="s">
        <v>341</v>
      </c>
      <c r="C41" s="89" t="s">
        <v>342</v>
      </c>
      <c r="D41" s="89" t="str">
        <f>_xlfn.IFNA(INDEX('4. WIP Report (Oct-25)'!D:D,MATCH('7. POC Lookback Summary'!$B41,'4. WIP Report (Oct-25)'!$B:$B,0)),INDEX('5. Completed Jobs'!D:D,MATCH('7. POC Lookback Summary'!$B41,'5. Completed Jobs'!$B:$B,0)))</f>
        <v>Coastal Contractors Inc</v>
      </c>
      <c r="E41" s="89" t="str">
        <f>_xlfn.IFNA(INDEX('4. WIP Report (Oct-25)'!E:E,MATCH('7. POC Lookback Summary'!$B41,'4. WIP Report (Oct-25)'!$B:$B,0)),INDEX('5. Completed Jobs'!E:E,MATCH('7. POC Lookback Summary'!$B41,'5. Completed Jobs'!$B:$B,0)))</f>
        <v>Sprinkler Installation</v>
      </c>
      <c r="F41" s="89" t="str">
        <f>_xlfn.IFNA(INDEX('4. WIP Report (Oct-25)'!F:F,MATCH('7. POC Lookback Summary'!$B41,'4. WIP Report (Oct-25)'!$B:$B,0)),INDEX('5. Completed Jobs'!F:F,MATCH('7. POC Lookback Summary'!$B41,'5. Completed Jobs'!$B:$B,0)))</f>
        <v>Industrial</v>
      </c>
      <c r="G41" s="89" t="str">
        <f>_xlfn.IFNA(INDEX('4. WIP Report (Oct-25)'!G:G,MATCH('7. POC Lookback Summary'!$B41,'4. WIP Report (Oct-25)'!$B:$B,0)),INDEX('5. Completed Jobs'!G:G,MATCH('7. POC Lookback Summary'!$B41,'5. Completed Jobs'!$B:$B,0)))</f>
        <v>General Contractor</v>
      </c>
      <c r="H41" s="89" t="str">
        <f>_xlfn.IFNA(INDEX('4. WIP Report (Oct-25)'!H:H,MATCH('7. POC Lookback Summary'!$B41,'4. WIP Report (Oct-25)'!$B:$B,0)),INDEX('5. Completed Jobs'!H:H,MATCH('7. POC Lookback Summary'!$B41,'5. Completed Jobs'!$B:$B,0)))</f>
        <v>New Construction</v>
      </c>
      <c r="J41" s="95"/>
      <c r="K41" s="119">
        <v>5258.9707747601569</v>
      </c>
      <c r="L41" s="119">
        <v>11435.985503029984</v>
      </c>
      <c r="M41" s="119">
        <v>2116.8337016819096</v>
      </c>
      <c r="N41" s="119">
        <v>718.92932991810278</v>
      </c>
      <c r="O41" s="119">
        <v>7138.3590175502713</v>
      </c>
      <c r="P41" s="119">
        <v>18316.500563497651</v>
      </c>
      <c r="Q41" s="119">
        <v>0</v>
      </c>
      <c r="R41" s="119">
        <v>822.85509287564958</v>
      </c>
      <c r="S41" s="119">
        <v>7443.4566037954228</v>
      </c>
      <c r="T41" s="119">
        <v>0</v>
      </c>
      <c r="U41" s="119">
        <v>0</v>
      </c>
      <c r="V41" s="119">
        <v>1418.1293711850706</v>
      </c>
      <c r="W41" s="98">
        <f t="shared" si="25"/>
        <v>54670.019958294222</v>
      </c>
      <c r="X41" s="119">
        <v>5850.9485764482188</v>
      </c>
      <c r="Y41" s="119">
        <v>4029.781563609758</v>
      </c>
      <c r="Z41" s="119">
        <v>17559.413897048871</v>
      </c>
      <c r="AA41" s="119">
        <v>0</v>
      </c>
      <c r="AB41" s="119">
        <v>0</v>
      </c>
      <c r="AC41" s="119">
        <v>269.15855541079901</v>
      </c>
      <c r="AD41" s="119">
        <v>43634.568757528468</v>
      </c>
      <c r="AE41" s="119">
        <v>25168.016543912774</v>
      </c>
      <c r="AF41" s="119">
        <v>578.0731145859445</v>
      </c>
      <c r="AG41" s="119">
        <v>18687.676395401002</v>
      </c>
      <c r="AH41" s="119">
        <v>0</v>
      </c>
      <c r="AI41" s="119">
        <v>0</v>
      </c>
      <c r="AJ41" s="98">
        <f t="shared" si="26"/>
        <v>115777.63740394585</v>
      </c>
      <c r="AK41" s="119">
        <v>15231.816368677357</v>
      </c>
      <c r="AL41" s="119">
        <v>57102.54706393279</v>
      </c>
      <c r="AM41" s="119">
        <v>0</v>
      </c>
      <c r="AN41" s="119">
        <v>133335.91116622344</v>
      </c>
      <c r="AO41" s="119">
        <v>6119.0785320110017</v>
      </c>
      <c r="AP41" s="119">
        <v>6825.7266275991569</v>
      </c>
      <c r="AQ41" s="119">
        <v>0</v>
      </c>
      <c r="AR41" s="119">
        <v>5480.9128793161681</v>
      </c>
      <c r="AS41" s="119">
        <v>0</v>
      </c>
      <c r="AT41" s="119">
        <v>0</v>
      </c>
      <c r="AU41" s="98">
        <f t="shared" si="27"/>
        <v>224095.99263775992</v>
      </c>
      <c r="AV41" s="96">
        <f t="shared" si="28"/>
        <v>224095.99263775992</v>
      </c>
      <c r="AW41" s="95"/>
      <c r="AX41" s="119">
        <v>4243.58</v>
      </c>
      <c r="AY41" s="119">
        <v>9227.9499999999989</v>
      </c>
      <c r="AZ41" s="119">
        <v>1708.12</v>
      </c>
      <c r="BA41" s="119">
        <v>580.12000000000012</v>
      </c>
      <c r="BB41" s="119">
        <v>5760.1</v>
      </c>
      <c r="BC41" s="119">
        <v>14779.99</v>
      </c>
      <c r="BD41" s="119">
        <v>0</v>
      </c>
      <c r="BE41" s="119">
        <v>663.98</v>
      </c>
      <c r="BF41" s="119">
        <v>6006.29</v>
      </c>
      <c r="BG41" s="119">
        <v>0</v>
      </c>
      <c r="BH41" s="119">
        <v>0</v>
      </c>
      <c r="BI41" s="119">
        <v>1144.32</v>
      </c>
      <c r="BJ41" s="98">
        <f t="shared" si="29"/>
        <v>44114.450000000004</v>
      </c>
      <c r="BK41" s="119">
        <v>4721.2599999999993</v>
      </c>
      <c r="BL41" s="119">
        <v>3251.7200000000003</v>
      </c>
      <c r="BM41" s="119">
        <v>14169.080000000002</v>
      </c>
      <c r="BN41" s="119">
        <v>0</v>
      </c>
      <c r="BO41" s="119">
        <v>0</v>
      </c>
      <c r="BP41" s="119">
        <v>217.19</v>
      </c>
      <c r="BQ41" s="119">
        <v>35209.699999999997</v>
      </c>
      <c r="BR41" s="119">
        <v>20308.63</v>
      </c>
      <c r="BS41" s="119">
        <v>466.46</v>
      </c>
      <c r="BT41" s="119">
        <v>15079.5</v>
      </c>
      <c r="BU41" s="119">
        <v>0</v>
      </c>
      <c r="BV41" s="119">
        <v>0</v>
      </c>
      <c r="BW41" s="98">
        <f t="shared" si="30"/>
        <v>93423.540000000008</v>
      </c>
      <c r="BX41" s="119">
        <v>12290.89</v>
      </c>
      <c r="BY41" s="119">
        <v>46077.31</v>
      </c>
      <c r="BZ41" s="119">
        <v>0</v>
      </c>
      <c r="CA41" s="119">
        <v>107591.70000000003</v>
      </c>
      <c r="CB41" s="119">
        <v>4937.62</v>
      </c>
      <c r="CC41" s="119">
        <v>5507.83</v>
      </c>
      <c r="CD41" s="119">
        <v>0</v>
      </c>
      <c r="CE41" s="119">
        <v>4422.67</v>
      </c>
      <c r="CF41" s="119">
        <v>0</v>
      </c>
      <c r="CG41" s="119">
        <v>0</v>
      </c>
      <c r="CH41" s="98">
        <f t="shared" si="31"/>
        <v>180828.02000000002</v>
      </c>
      <c r="CI41" s="96">
        <f t="shared" si="32"/>
        <v>180828.02000000002</v>
      </c>
      <c r="CJ41" s="95"/>
      <c r="CK41" s="119">
        <f t="shared" si="33"/>
        <v>1015.390774760157</v>
      </c>
      <c r="CL41" s="119">
        <f t="shared" si="33"/>
        <v>2208.0355030299852</v>
      </c>
      <c r="CM41" s="119">
        <f t="shared" si="33"/>
        <v>408.7137016819097</v>
      </c>
      <c r="CN41" s="119">
        <f t="shared" si="33"/>
        <v>138.80932991810266</v>
      </c>
      <c r="CO41" s="119">
        <f t="shared" si="33"/>
        <v>1378.259017550271</v>
      </c>
      <c r="CP41" s="119">
        <f t="shared" si="33"/>
        <v>3536.5105634976517</v>
      </c>
      <c r="CQ41" s="119">
        <f t="shared" si="33"/>
        <v>0</v>
      </c>
      <c r="CR41" s="119">
        <f t="shared" si="33"/>
        <v>158.87509287564956</v>
      </c>
      <c r="CS41" s="119">
        <f t="shared" si="33"/>
        <v>1437.1666037954228</v>
      </c>
      <c r="CT41" s="119">
        <f t="shared" si="33"/>
        <v>0</v>
      </c>
      <c r="CU41" s="119">
        <f t="shared" si="33"/>
        <v>0</v>
      </c>
      <c r="CV41" s="119">
        <f t="shared" si="33"/>
        <v>273.80937118507063</v>
      </c>
      <c r="CW41" s="98">
        <f t="shared" si="34"/>
        <v>10555.569958294222</v>
      </c>
      <c r="CX41" s="119">
        <f t="shared" si="51"/>
        <v>1129.6885764482195</v>
      </c>
      <c r="CY41" s="119">
        <f t="shared" si="51"/>
        <v>778.06156360975774</v>
      </c>
      <c r="CZ41" s="119">
        <f t="shared" si="51"/>
        <v>3390.3338970488694</v>
      </c>
      <c r="DA41" s="119">
        <f t="shared" si="51"/>
        <v>0</v>
      </c>
      <c r="DB41" s="119">
        <f t="shared" si="51"/>
        <v>0</v>
      </c>
      <c r="DC41" s="119">
        <f t="shared" si="51"/>
        <v>51.968555410799013</v>
      </c>
      <c r="DD41" s="119">
        <f t="shared" si="51"/>
        <v>8424.8687575284712</v>
      </c>
      <c r="DE41" s="119">
        <f t="shared" si="51"/>
        <v>4859.386543912773</v>
      </c>
      <c r="DF41" s="119">
        <f t="shared" si="51"/>
        <v>111.61311458594452</v>
      </c>
      <c r="DG41" s="119">
        <f t="shared" si="51"/>
        <v>3608.1763954010021</v>
      </c>
      <c r="DH41" s="119">
        <f t="shared" si="51"/>
        <v>0</v>
      </c>
      <c r="DI41" s="119">
        <f t="shared" si="51"/>
        <v>0</v>
      </c>
      <c r="DJ41" s="98">
        <f t="shared" si="35"/>
        <v>22354.097403945834</v>
      </c>
      <c r="DK41" s="119">
        <f t="shared" si="52"/>
        <v>2940.9263686773575</v>
      </c>
      <c r="DL41" s="119">
        <f t="shared" si="52"/>
        <v>11025.237063932793</v>
      </c>
      <c r="DM41" s="119">
        <f t="shared" si="52"/>
        <v>0</v>
      </c>
      <c r="DN41" s="119">
        <f t="shared" si="52"/>
        <v>25744.211166223409</v>
      </c>
      <c r="DO41" s="119">
        <f t="shared" si="52"/>
        <v>1181.4585320110018</v>
      </c>
      <c r="DP41" s="119">
        <f t="shared" si="52"/>
        <v>1317.896627599157</v>
      </c>
      <c r="DQ41" s="119">
        <f t="shared" si="52"/>
        <v>0</v>
      </c>
      <c r="DR41" s="119">
        <f t="shared" si="52"/>
        <v>1058.242879316168</v>
      </c>
      <c r="DS41" s="119">
        <f t="shared" si="52"/>
        <v>0</v>
      </c>
      <c r="DT41" s="119">
        <f t="shared" si="52"/>
        <v>0</v>
      </c>
      <c r="DU41" s="98">
        <f t="shared" si="36"/>
        <v>43267.972637759885</v>
      </c>
      <c r="DV41" s="96">
        <f t="shared" si="37"/>
        <v>43267.972637759885</v>
      </c>
      <c r="DW41" s="95"/>
      <c r="DX41" s="162">
        <f t="shared" si="57"/>
        <v>0.19307785082841905</v>
      </c>
      <c r="DY41" s="162">
        <f t="shared" si="57"/>
        <v>0.19307785082841897</v>
      </c>
      <c r="DZ41" s="162">
        <f t="shared" si="57"/>
        <v>0.19307785082841897</v>
      </c>
      <c r="EA41" s="162">
        <f t="shared" si="57"/>
        <v>0.19307785082841897</v>
      </c>
      <c r="EB41" s="162">
        <f t="shared" si="57"/>
        <v>0.19307785082841902</v>
      </c>
      <c r="EC41" s="162">
        <f t="shared" si="57"/>
        <v>0.19307785082841897</v>
      </c>
      <c r="ED41" s="162">
        <f t="shared" si="57"/>
        <v>0</v>
      </c>
      <c r="EE41" s="162">
        <f t="shared" si="57"/>
        <v>0.19307785082841902</v>
      </c>
      <c r="EF41" s="162">
        <f t="shared" si="57"/>
        <v>0.193077850828419</v>
      </c>
      <c r="EG41" s="162">
        <f t="shared" si="55"/>
        <v>0</v>
      </c>
      <c r="EH41" s="162">
        <f t="shared" si="55"/>
        <v>0</v>
      </c>
      <c r="EI41" s="162">
        <f t="shared" si="55"/>
        <v>0.19307785082841897</v>
      </c>
      <c r="EJ41" s="163">
        <f t="shared" si="55"/>
        <v>0.193077850828419</v>
      </c>
      <c r="EK41" s="162">
        <f t="shared" si="55"/>
        <v>0.19307785082841897</v>
      </c>
      <c r="EL41" s="162">
        <f t="shared" si="55"/>
        <v>0.19307785082841897</v>
      </c>
      <c r="EM41" s="162">
        <f t="shared" si="55"/>
        <v>0.193077850828419</v>
      </c>
      <c r="EN41" s="162">
        <f t="shared" si="55"/>
        <v>0</v>
      </c>
      <c r="EO41" s="162">
        <f t="shared" si="55"/>
        <v>0</v>
      </c>
      <c r="EP41" s="162">
        <f t="shared" si="55"/>
        <v>0.19307785082841905</v>
      </c>
      <c r="EQ41" s="162">
        <f t="shared" si="55"/>
        <v>0.19307785082841894</v>
      </c>
      <c r="ER41" s="162">
        <f t="shared" si="55"/>
        <v>0.19307785082841905</v>
      </c>
      <c r="ES41" s="162">
        <f t="shared" si="55"/>
        <v>0.19307785082841894</v>
      </c>
      <c r="ET41" s="162">
        <f t="shared" si="55"/>
        <v>0.19307785082841902</v>
      </c>
      <c r="EU41" s="162">
        <f t="shared" si="55"/>
        <v>0</v>
      </c>
      <c r="EV41" s="162">
        <f t="shared" si="55"/>
        <v>0</v>
      </c>
      <c r="EW41" s="163">
        <f t="shared" si="58"/>
        <v>0.19307785082841894</v>
      </c>
      <c r="EX41" s="162">
        <f t="shared" si="58"/>
        <v>0.193077850828419</v>
      </c>
      <c r="EY41" s="162">
        <f t="shared" si="58"/>
        <v>0.19307785082841905</v>
      </c>
      <c r="EZ41" s="162">
        <f t="shared" si="58"/>
        <v>0</v>
      </c>
      <c r="FA41" s="162">
        <f t="shared" si="58"/>
        <v>0.19307785082841894</v>
      </c>
      <c r="FB41" s="162">
        <f t="shared" si="58"/>
        <v>0.19307785082841908</v>
      </c>
      <c r="FC41" s="162">
        <f t="shared" si="56"/>
        <v>0.19307785082841891</v>
      </c>
      <c r="FD41" s="162">
        <f t="shared" si="50"/>
        <v>0</v>
      </c>
      <c r="FE41" s="162">
        <f t="shared" si="50"/>
        <v>0.19307785082841908</v>
      </c>
      <c r="FF41" s="162">
        <f t="shared" si="48"/>
        <v>0</v>
      </c>
      <c r="FG41" s="162">
        <f t="shared" si="48"/>
        <v>0</v>
      </c>
      <c r="FH41" s="163">
        <f t="shared" si="48"/>
        <v>0.19307785082841897</v>
      </c>
      <c r="FI41" s="164">
        <f t="shared" si="48"/>
        <v>0.19307785082841897</v>
      </c>
      <c r="FJ41" s="95"/>
      <c r="FK41" s="119">
        <v>0</v>
      </c>
      <c r="FL41" s="119">
        <v>0</v>
      </c>
      <c r="FM41" s="119">
        <v>0</v>
      </c>
      <c r="FN41" s="119">
        <v>0</v>
      </c>
      <c r="FO41" s="119">
        <v>0</v>
      </c>
      <c r="FP41" s="119">
        <v>0</v>
      </c>
      <c r="FQ41" s="119">
        <v>0</v>
      </c>
      <c r="FR41" s="119">
        <v>0</v>
      </c>
      <c r="FS41" s="119">
        <v>0</v>
      </c>
      <c r="FT41" s="119">
        <v>0</v>
      </c>
      <c r="FU41" s="119">
        <v>0</v>
      </c>
      <c r="FV41" s="119">
        <v>0</v>
      </c>
      <c r="FW41" s="98">
        <f t="shared" si="39"/>
        <v>0</v>
      </c>
      <c r="FX41" s="119">
        <v>0</v>
      </c>
      <c r="FY41" s="119">
        <v>0</v>
      </c>
      <c r="FZ41" s="119">
        <v>0</v>
      </c>
      <c r="GA41" s="119">
        <v>0</v>
      </c>
      <c r="GB41" s="119">
        <v>0</v>
      </c>
      <c r="GC41" s="119">
        <v>0</v>
      </c>
      <c r="GD41" s="119">
        <v>0</v>
      </c>
      <c r="GE41" s="119">
        <v>29701.379999999997</v>
      </c>
      <c r="GF41" s="119">
        <v>172581.97</v>
      </c>
      <c r="GG41" s="119">
        <v>0</v>
      </c>
      <c r="GH41" s="119">
        <v>0</v>
      </c>
      <c r="GI41" s="119">
        <v>97381.72</v>
      </c>
      <c r="GJ41" s="98">
        <f t="shared" si="40"/>
        <v>299665.07</v>
      </c>
      <c r="GK41" s="119">
        <v>0</v>
      </c>
      <c r="GL41" s="119">
        <v>94878.58</v>
      </c>
      <c r="GM41" s="119">
        <v>0</v>
      </c>
      <c r="GN41" s="119">
        <v>0</v>
      </c>
      <c r="GO41" s="119">
        <v>0</v>
      </c>
      <c r="GP41" s="119">
        <v>0</v>
      </c>
      <c r="GQ41" s="119">
        <v>0</v>
      </c>
      <c r="GR41" s="119">
        <v>0</v>
      </c>
      <c r="GS41" s="119">
        <v>0</v>
      </c>
      <c r="GT41" s="119">
        <v>0</v>
      </c>
      <c r="GU41" s="98">
        <f t="shared" si="41"/>
        <v>94878.58</v>
      </c>
      <c r="GV41" s="96">
        <f t="shared" si="42"/>
        <v>192260.3</v>
      </c>
      <c r="GW41" s="95"/>
      <c r="GX41" s="119">
        <f t="shared" si="43"/>
        <v>5258.9707747601569</v>
      </c>
      <c r="GY41" s="119">
        <f t="shared" si="43"/>
        <v>11435.985503029984</v>
      </c>
      <c r="GZ41" s="119">
        <f t="shared" si="43"/>
        <v>2116.8337016819096</v>
      </c>
      <c r="HA41" s="119">
        <f t="shared" si="43"/>
        <v>718.92932991810278</v>
      </c>
      <c r="HB41" s="119">
        <f t="shared" si="43"/>
        <v>7138.3590175502713</v>
      </c>
      <c r="HC41" s="119">
        <f t="shared" si="43"/>
        <v>18316.500563497651</v>
      </c>
      <c r="HD41" s="119">
        <f t="shared" si="43"/>
        <v>0</v>
      </c>
      <c r="HE41" s="119">
        <f t="shared" si="43"/>
        <v>822.85509287564958</v>
      </c>
      <c r="HF41" s="119">
        <f t="shared" si="43"/>
        <v>7443.4566037954228</v>
      </c>
      <c r="HG41" s="119">
        <f t="shared" si="43"/>
        <v>0</v>
      </c>
      <c r="HH41" s="119">
        <f t="shared" si="43"/>
        <v>0</v>
      </c>
      <c r="HI41" s="119">
        <f t="shared" si="43"/>
        <v>1418.1293711850706</v>
      </c>
      <c r="HJ41" s="98">
        <f t="shared" si="44"/>
        <v>54670.019958294222</v>
      </c>
      <c r="HK41" s="119">
        <f t="shared" si="53"/>
        <v>5850.9485764482188</v>
      </c>
      <c r="HL41" s="119">
        <f t="shared" si="53"/>
        <v>4029.781563609758</v>
      </c>
      <c r="HM41" s="119">
        <f t="shared" si="53"/>
        <v>17559.413897048871</v>
      </c>
      <c r="HN41" s="119">
        <f t="shared" si="53"/>
        <v>0</v>
      </c>
      <c r="HO41" s="119">
        <f t="shared" si="53"/>
        <v>0</v>
      </c>
      <c r="HP41" s="119">
        <f t="shared" si="53"/>
        <v>269.15855541079901</v>
      </c>
      <c r="HQ41" s="119">
        <f t="shared" si="53"/>
        <v>43634.568757528468</v>
      </c>
      <c r="HR41" s="119">
        <f t="shared" si="53"/>
        <v>-4533.3634560872233</v>
      </c>
      <c r="HS41" s="119">
        <f t="shared" si="53"/>
        <v>-172003.89688541405</v>
      </c>
      <c r="HT41" s="119">
        <f t="shared" si="53"/>
        <v>18687.676395401002</v>
      </c>
      <c r="HU41" s="119">
        <f t="shared" si="53"/>
        <v>0</v>
      </c>
      <c r="HV41" s="119">
        <f t="shared" si="53"/>
        <v>-97381.72</v>
      </c>
      <c r="HW41" s="98">
        <f t="shared" si="45"/>
        <v>-183887.43259605416</v>
      </c>
      <c r="HX41" s="119">
        <f t="shared" si="54"/>
        <v>15231.816368677357</v>
      </c>
      <c r="HY41" s="119">
        <f t="shared" si="54"/>
        <v>-37776.032936067211</v>
      </c>
      <c r="HZ41" s="119">
        <f t="shared" si="54"/>
        <v>0</v>
      </c>
      <c r="IA41" s="119">
        <f t="shared" si="54"/>
        <v>133335.91116622344</v>
      </c>
      <c r="IB41" s="119">
        <f t="shared" si="54"/>
        <v>6119.0785320110017</v>
      </c>
      <c r="IC41" s="119">
        <f t="shared" si="54"/>
        <v>6825.7266275991569</v>
      </c>
      <c r="ID41" s="119">
        <f t="shared" si="54"/>
        <v>0</v>
      </c>
      <c r="IE41" s="119">
        <f t="shared" si="54"/>
        <v>5480.9128793161681</v>
      </c>
      <c r="IF41" s="119">
        <f t="shared" si="54"/>
        <v>0</v>
      </c>
      <c r="IG41" s="119">
        <f t="shared" si="54"/>
        <v>0</v>
      </c>
      <c r="IH41" s="98">
        <f t="shared" si="46"/>
        <v>129217.4126377599</v>
      </c>
      <c r="II41" s="96">
        <f t="shared" si="47"/>
        <v>31835.692637759901</v>
      </c>
    </row>
    <row r="42" spans="2:243" x14ac:dyDescent="0.2">
      <c r="B42" s="101" t="s">
        <v>343</v>
      </c>
      <c r="C42" s="89" t="s">
        <v>344</v>
      </c>
      <c r="D42" s="89" t="str">
        <f>_xlfn.IFNA(INDEX('4. WIP Report (Oct-25)'!D:D,MATCH('7. POC Lookback Summary'!$B42,'4. WIP Report (Oct-25)'!$B:$B,0)),INDEX('5. Completed Jobs'!D:D,MATCH('7. POC Lookback Summary'!$B42,'5. Completed Jobs'!$B:$B,0)))</f>
        <v>Metro Development Partners</v>
      </c>
      <c r="E42" s="89" t="str">
        <f>_xlfn.IFNA(INDEX('4. WIP Report (Oct-25)'!E:E,MATCH('7. POC Lookback Summary'!$B42,'4. WIP Report (Oct-25)'!$B:$B,0)),INDEX('5. Completed Jobs'!E:E,MATCH('7. POC Lookback Summary'!$B42,'5. Completed Jobs'!$B:$B,0)))</f>
        <v>Sprinkler Installation</v>
      </c>
      <c r="F42" s="89" t="str">
        <f>_xlfn.IFNA(INDEX('4. WIP Report (Oct-25)'!F:F,MATCH('7. POC Lookback Summary'!$B42,'4. WIP Report (Oct-25)'!$B:$B,0)),INDEX('5. Completed Jobs'!F:F,MATCH('7. POC Lookback Summary'!$B42,'5. Completed Jobs'!$B:$B,0)))</f>
        <v>Government</v>
      </c>
      <c r="G42" s="89" t="str">
        <f>_xlfn.IFNA(INDEX('4. WIP Report (Oct-25)'!G:G,MATCH('7. POC Lookback Summary'!$B42,'4. WIP Report (Oct-25)'!$B:$B,0)),INDEX('5. Completed Jobs'!G:G,MATCH('7. POC Lookback Summary'!$B42,'5. Completed Jobs'!$B:$B,0)))</f>
        <v>Direct</v>
      </c>
      <c r="H42" s="89" t="str">
        <f>_xlfn.IFNA(INDEX('4. WIP Report (Oct-25)'!H:H,MATCH('7. POC Lookback Summary'!$B42,'4. WIP Report (Oct-25)'!$B:$B,0)),INDEX('5. Completed Jobs'!H:H,MATCH('7. POC Lookback Summary'!$B42,'5. Completed Jobs'!$B:$B,0)))</f>
        <v>Retrofit</v>
      </c>
      <c r="J42" s="95"/>
      <c r="K42" s="119">
        <v>736.88619496500962</v>
      </c>
      <c r="L42" s="119">
        <v>33131.661401468235</v>
      </c>
      <c r="M42" s="119">
        <v>0</v>
      </c>
      <c r="N42" s="119">
        <v>0</v>
      </c>
      <c r="O42" s="119">
        <v>1411.2228552585402</v>
      </c>
      <c r="P42" s="119">
        <v>1854.6144963784288</v>
      </c>
      <c r="Q42" s="119">
        <v>0</v>
      </c>
      <c r="R42" s="119">
        <v>10610.25554075428</v>
      </c>
      <c r="S42" s="119">
        <v>13355.08037464567</v>
      </c>
      <c r="T42" s="119">
        <v>0</v>
      </c>
      <c r="U42" s="119">
        <v>0</v>
      </c>
      <c r="V42" s="119">
        <v>0</v>
      </c>
      <c r="W42" s="98">
        <f t="shared" si="25"/>
        <v>61099.720863470167</v>
      </c>
      <c r="X42" s="119">
        <v>14867.797974725125</v>
      </c>
      <c r="Y42" s="119">
        <v>1887.6682519571029</v>
      </c>
      <c r="Z42" s="119">
        <v>23186.716658580135</v>
      </c>
      <c r="AA42" s="119">
        <v>0</v>
      </c>
      <c r="AB42" s="119">
        <v>13054.2927391293</v>
      </c>
      <c r="AC42" s="119">
        <v>2501.7041419381876</v>
      </c>
      <c r="AD42" s="119">
        <v>113587.05159298361</v>
      </c>
      <c r="AE42" s="119">
        <v>0</v>
      </c>
      <c r="AF42" s="119">
        <v>0</v>
      </c>
      <c r="AG42" s="119">
        <v>12148.595192280665</v>
      </c>
      <c r="AH42" s="119">
        <v>6040.6200394894622</v>
      </c>
      <c r="AI42" s="119">
        <v>6684.4520572277415</v>
      </c>
      <c r="AJ42" s="98">
        <f t="shared" si="26"/>
        <v>193958.89864831133</v>
      </c>
      <c r="AK42" s="119">
        <v>2747.0504945070111</v>
      </c>
      <c r="AL42" s="119">
        <v>0</v>
      </c>
      <c r="AM42" s="119">
        <v>0</v>
      </c>
      <c r="AN42" s="119">
        <v>3761.3510379004888</v>
      </c>
      <c r="AO42" s="119">
        <v>0</v>
      </c>
      <c r="AP42" s="119">
        <v>0</v>
      </c>
      <c r="AQ42" s="119">
        <v>135.79610254397824</v>
      </c>
      <c r="AR42" s="119">
        <v>36383.328457144176</v>
      </c>
      <c r="AS42" s="119">
        <v>24156.704222104163</v>
      </c>
      <c r="AT42" s="119">
        <v>19268.930174018507</v>
      </c>
      <c r="AU42" s="98">
        <f t="shared" si="27"/>
        <v>86453.160488218316</v>
      </c>
      <c r="AV42" s="96">
        <f t="shared" si="28"/>
        <v>99178.232584935511</v>
      </c>
      <c r="AW42" s="95"/>
      <c r="AX42" s="119">
        <v>956.84</v>
      </c>
      <c r="AY42" s="119">
        <v>43021.159999999996</v>
      </c>
      <c r="AZ42" s="119">
        <v>0</v>
      </c>
      <c r="BA42" s="119">
        <v>0</v>
      </c>
      <c r="BB42" s="119">
        <v>1832.46</v>
      </c>
      <c r="BC42" s="119">
        <v>2408.1999999999998</v>
      </c>
      <c r="BD42" s="119">
        <v>0</v>
      </c>
      <c r="BE42" s="119">
        <v>13777.32</v>
      </c>
      <c r="BF42" s="119">
        <v>17341.449999999997</v>
      </c>
      <c r="BG42" s="119">
        <v>0</v>
      </c>
      <c r="BH42" s="119">
        <v>0</v>
      </c>
      <c r="BI42" s="119">
        <v>0</v>
      </c>
      <c r="BJ42" s="98">
        <f t="shared" si="29"/>
        <v>79337.429999999993</v>
      </c>
      <c r="BK42" s="119">
        <v>19305.700000000004</v>
      </c>
      <c r="BL42" s="119">
        <v>2451.12</v>
      </c>
      <c r="BM42" s="119">
        <v>30107.739999999998</v>
      </c>
      <c r="BN42" s="119">
        <v>0</v>
      </c>
      <c r="BO42" s="119">
        <v>16950.879999999997</v>
      </c>
      <c r="BP42" s="119">
        <v>3248.44</v>
      </c>
      <c r="BQ42" s="119">
        <v>147491.75</v>
      </c>
      <c r="BR42" s="119">
        <v>0</v>
      </c>
      <c r="BS42" s="119">
        <v>0</v>
      </c>
      <c r="BT42" s="119">
        <v>15774.84</v>
      </c>
      <c r="BU42" s="119">
        <v>7843.6900000000014</v>
      </c>
      <c r="BV42" s="119">
        <v>8679.6999999999989</v>
      </c>
      <c r="BW42" s="98">
        <f t="shared" si="30"/>
        <v>251853.86000000002</v>
      </c>
      <c r="BX42" s="119">
        <v>3567.02</v>
      </c>
      <c r="BY42" s="119">
        <v>0</v>
      </c>
      <c r="BZ42" s="119">
        <v>0</v>
      </c>
      <c r="CA42" s="119">
        <v>4884.08</v>
      </c>
      <c r="CB42" s="119">
        <v>0</v>
      </c>
      <c r="CC42" s="119">
        <v>0</v>
      </c>
      <c r="CD42" s="119">
        <v>176.32999999999998</v>
      </c>
      <c r="CE42" s="119">
        <v>47243.42</v>
      </c>
      <c r="CF42" s="119">
        <v>31367.260000000002</v>
      </c>
      <c r="CG42" s="119">
        <v>25020.53</v>
      </c>
      <c r="CH42" s="98">
        <f t="shared" si="31"/>
        <v>112258.64</v>
      </c>
      <c r="CI42" s="96">
        <f t="shared" si="32"/>
        <v>128782.03</v>
      </c>
      <c r="CJ42" s="95"/>
      <c r="CK42" s="119">
        <f t="shared" si="33"/>
        <v>-219.95380503499041</v>
      </c>
      <c r="CL42" s="119">
        <f t="shared" si="33"/>
        <v>-9889.4985985317617</v>
      </c>
      <c r="CM42" s="119">
        <f t="shared" si="33"/>
        <v>0</v>
      </c>
      <c r="CN42" s="119">
        <f t="shared" si="33"/>
        <v>0</v>
      </c>
      <c r="CO42" s="119">
        <f t="shared" si="33"/>
        <v>-421.23714474145982</v>
      </c>
      <c r="CP42" s="119">
        <f t="shared" si="33"/>
        <v>-553.58550362157098</v>
      </c>
      <c r="CQ42" s="119">
        <f t="shared" si="33"/>
        <v>0</v>
      </c>
      <c r="CR42" s="119">
        <f t="shared" si="33"/>
        <v>-3167.0644592457193</v>
      </c>
      <c r="CS42" s="119">
        <f t="shared" si="33"/>
        <v>-3986.3696253543276</v>
      </c>
      <c r="CT42" s="119">
        <f t="shared" si="33"/>
        <v>0</v>
      </c>
      <c r="CU42" s="119">
        <f t="shared" si="33"/>
        <v>0</v>
      </c>
      <c r="CV42" s="119">
        <f t="shared" si="33"/>
        <v>0</v>
      </c>
      <c r="CW42" s="98">
        <f t="shared" si="34"/>
        <v>-18237.709136529829</v>
      </c>
      <c r="CX42" s="119">
        <f t="shared" si="51"/>
        <v>-4437.9020252748796</v>
      </c>
      <c r="CY42" s="119">
        <f t="shared" si="51"/>
        <v>-563.45174804289695</v>
      </c>
      <c r="CZ42" s="119">
        <f t="shared" si="51"/>
        <v>-6921.0233414198628</v>
      </c>
      <c r="DA42" s="119">
        <f t="shared" si="51"/>
        <v>0</v>
      </c>
      <c r="DB42" s="119">
        <f t="shared" si="51"/>
        <v>-3896.5872608706977</v>
      </c>
      <c r="DC42" s="119">
        <f t="shared" si="51"/>
        <v>-746.73585806181245</v>
      </c>
      <c r="DD42" s="119">
        <f t="shared" si="51"/>
        <v>-33904.698407016389</v>
      </c>
      <c r="DE42" s="119">
        <f t="shared" si="51"/>
        <v>0</v>
      </c>
      <c r="DF42" s="119">
        <f t="shared" si="51"/>
        <v>0</v>
      </c>
      <c r="DG42" s="119">
        <f t="shared" si="51"/>
        <v>-3626.2448077193349</v>
      </c>
      <c r="DH42" s="119">
        <f t="shared" si="51"/>
        <v>-1803.0699605105392</v>
      </c>
      <c r="DI42" s="119">
        <f t="shared" si="51"/>
        <v>-1995.2479427722574</v>
      </c>
      <c r="DJ42" s="98">
        <f t="shared" si="35"/>
        <v>-57894.961351688667</v>
      </c>
      <c r="DK42" s="119">
        <f t="shared" si="52"/>
        <v>-819.9695054929889</v>
      </c>
      <c r="DL42" s="119">
        <f t="shared" si="52"/>
        <v>0</v>
      </c>
      <c r="DM42" s="119">
        <f t="shared" si="52"/>
        <v>0</v>
      </c>
      <c r="DN42" s="119">
        <f t="shared" si="52"/>
        <v>-1122.7289620995111</v>
      </c>
      <c r="DO42" s="119">
        <f t="shared" si="52"/>
        <v>0</v>
      </c>
      <c r="DP42" s="119">
        <f t="shared" si="52"/>
        <v>0</v>
      </c>
      <c r="DQ42" s="119">
        <f t="shared" si="52"/>
        <v>-40.533897456021748</v>
      </c>
      <c r="DR42" s="119">
        <f t="shared" si="52"/>
        <v>-10860.091542855822</v>
      </c>
      <c r="DS42" s="119">
        <f t="shared" si="52"/>
        <v>-7210.5557778958391</v>
      </c>
      <c r="DT42" s="119">
        <f t="shared" si="52"/>
        <v>-5751.5998259814914</v>
      </c>
      <c r="DU42" s="98">
        <f t="shared" si="36"/>
        <v>-25805.479511781672</v>
      </c>
      <c r="DV42" s="96">
        <f t="shared" si="37"/>
        <v>-29603.79741506447</v>
      </c>
      <c r="DW42" s="95"/>
      <c r="DX42" s="162">
        <f t="shared" si="57"/>
        <v>-0.2984908748974931</v>
      </c>
      <c r="DY42" s="162">
        <f t="shared" si="57"/>
        <v>-0.29849087489749326</v>
      </c>
      <c r="DZ42" s="162">
        <f t="shared" si="57"/>
        <v>0</v>
      </c>
      <c r="EA42" s="162">
        <f t="shared" si="57"/>
        <v>0</v>
      </c>
      <c r="EB42" s="162">
        <f t="shared" si="57"/>
        <v>-0.29849087489749299</v>
      </c>
      <c r="EC42" s="162">
        <f t="shared" si="57"/>
        <v>-0.29849087489749321</v>
      </c>
      <c r="ED42" s="162">
        <f t="shared" si="57"/>
        <v>0</v>
      </c>
      <c r="EE42" s="162">
        <f t="shared" si="57"/>
        <v>-0.29849087489749315</v>
      </c>
      <c r="EF42" s="162">
        <f t="shared" si="57"/>
        <v>-0.29849087489749321</v>
      </c>
      <c r="EG42" s="162">
        <f t="shared" si="55"/>
        <v>0</v>
      </c>
      <c r="EH42" s="162">
        <f t="shared" si="55"/>
        <v>0</v>
      </c>
      <c r="EI42" s="162">
        <f t="shared" si="55"/>
        <v>0</v>
      </c>
      <c r="EJ42" s="163">
        <f t="shared" si="55"/>
        <v>-0.29849087489749321</v>
      </c>
      <c r="EK42" s="162">
        <f t="shared" si="55"/>
        <v>-0.29849087489749315</v>
      </c>
      <c r="EL42" s="162">
        <f t="shared" si="55"/>
        <v>-0.29849087489749304</v>
      </c>
      <c r="EM42" s="162">
        <f t="shared" si="55"/>
        <v>-0.2984908748974931</v>
      </c>
      <c r="EN42" s="162">
        <f t="shared" si="55"/>
        <v>0</v>
      </c>
      <c r="EO42" s="162">
        <f t="shared" si="55"/>
        <v>-0.29849087489749321</v>
      </c>
      <c r="EP42" s="162">
        <f t="shared" si="55"/>
        <v>-0.29849087489749332</v>
      </c>
      <c r="EQ42" s="162">
        <f t="shared" si="55"/>
        <v>-0.29849087489749332</v>
      </c>
      <c r="ER42" s="162">
        <f t="shared" si="55"/>
        <v>0</v>
      </c>
      <c r="ES42" s="162">
        <f t="shared" si="55"/>
        <v>0</v>
      </c>
      <c r="ET42" s="162">
        <f t="shared" si="55"/>
        <v>-0.29849087489749315</v>
      </c>
      <c r="EU42" s="162">
        <f t="shared" si="55"/>
        <v>-0.29849087489749315</v>
      </c>
      <c r="EV42" s="162">
        <f t="shared" si="55"/>
        <v>-0.29849087489749326</v>
      </c>
      <c r="EW42" s="163">
        <f t="shared" si="58"/>
        <v>-0.29849087489749326</v>
      </c>
      <c r="EX42" s="162">
        <f t="shared" si="58"/>
        <v>-0.29849087489749315</v>
      </c>
      <c r="EY42" s="162">
        <f t="shared" si="58"/>
        <v>0</v>
      </c>
      <c r="EZ42" s="162">
        <f t="shared" si="58"/>
        <v>0</v>
      </c>
      <c r="FA42" s="162">
        <f t="shared" si="58"/>
        <v>-0.29849087489749321</v>
      </c>
      <c r="FB42" s="162">
        <f t="shared" si="58"/>
        <v>0</v>
      </c>
      <c r="FC42" s="162">
        <f t="shared" si="56"/>
        <v>0</v>
      </c>
      <c r="FD42" s="162">
        <f t="shared" si="50"/>
        <v>-0.29849087489749304</v>
      </c>
      <c r="FE42" s="162">
        <f t="shared" si="50"/>
        <v>-0.2984908748974931</v>
      </c>
      <c r="FF42" s="162">
        <f t="shared" si="48"/>
        <v>-0.29849087489749321</v>
      </c>
      <c r="FG42" s="162">
        <f t="shared" si="48"/>
        <v>-0.29849087489749326</v>
      </c>
      <c r="FH42" s="163">
        <f t="shared" si="48"/>
        <v>-0.29849087489749315</v>
      </c>
      <c r="FI42" s="164">
        <f t="shared" si="48"/>
        <v>-0.29849087489749321</v>
      </c>
      <c r="FJ42" s="95"/>
      <c r="FK42" s="119">
        <v>-25000</v>
      </c>
      <c r="FL42" s="119">
        <v>0</v>
      </c>
      <c r="FM42" s="119">
        <v>0</v>
      </c>
      <c r="FN42" s="119">
        <v>0</v>
      </c>
      <c r="FO42" s="119">
        <v>0</v>
      </c>
      <c r="FP42" s="119">
        <v>0</v>
      </c>
      <c r="FQ42" s="119">
        <v>0</v>
      </c>
      <c r="FR42" s="119">
        <v>0</v>
      </c>
      <c r="FS42" s="119">
        <v>0</v>
      </c>
      <c r="FT42" s="119">
        <v>0</v>
      </c>
      <c r="FU42" s="119">
        <v>0</v>
      </c>
      <c r="FV42" s="119">
        <v>0</v>
      </c>
      <c r="FW42" s="98">
        <f t="shared" si="39"/>
        <v>-25000</v>
      </c>
      <c r="FX42" s="119">
        <v>0</v>
      </c>
      <c r="FY42" s="119">
        <v>0</v>
      </c>
      <c r="FZ42" s="119">
        <v>0</v>
      </c>
      <c r="GA42" s="119">
        <v>0</v>
      </c>
      <c r="GB42" s="119">
        <v>0</v>
      </c>
      <c r="GC42" s="119">
        <v>120320.75</v>
      </c>
      <c r="GD42" s="119">
        <v>0</v>
      </c>
      <c r="GE42" s="119">
        <v>0</v>
      </c>
      <c r="GF42" s="119">
        <v>0</v>
      </c>
      <c r="GG42" s="119">
        <v>0</v>
      </c>
      <c r="GH42" s="119">
        <v>31976.510000000002</v>
      </c>
      <c r="GI42" s="119">
        <v>0</v>
      </c>
      <c r="GJ42" s="98">
        <f t="shared" si="40"/>
        <v>152297.26</v>
      </c>
      <c r="GK42" s="119">
        <v>0</v>
      </c>
      <c r="GL42" s="119">
        <v>33832.379999999997</v>
      </c>
      <c r="GM42" s="119">
        <v>0</v>
      </c>
      <c r="GN42" s="119">
        <v>180382.14</v>
      </c>
      <c r="GO42" s="119">
        <v>0</v>
      </c>
      <c r="GP42" s="119">
        <v>0</v>
      </c>
      <c r="GQ42" s="119">
        <v>0</v>
      </c>
      <c r="GR42" s="119">
        <v>0</v>
      </c>
      <c r="GS42" s="119">
        <v>0</v>
      </c>
      <c r="GT42" s="119">
        <v>0</v>
      </c>
      <c r="GU42" s="98">
        <f t="shared" si="41"/>
        <v>214214.52000000002</v>
      </c>
      <c r="GV42" s="96">
        <f t="shared" si="42"/>
        <v>246191.03000000003</v>
      </c>
      <c r="GW42" s="95"/>
      <c r="GX42" s="119">
        <f t="shared" si="43"/>
        <v>25736.886194965009</v>
      </c>
      <c r="GY42" s="119">
        <f t="shared" si="43"/>
        <v>33131.661401468235</v>
      </c>
      <c r="GZ42" s="119">
        <f t="shared" si="43"/>
        <v>0</v>
      </c>
      <c r="HA42" s="119">
        <f t="shared" si="43"/>
        <v>0</v>
      </c>
      <c r="HB42" s="119">
        <f t="shared" si="43"/>
        <v>1411.2228552585402</v>
      </c>
      <c r="HC42" s="119">
        <f t="shared" si="43"/>
        <v>1854.6144963784288</v>
      </c>
      <c r="HD42" s="119">
        <f t="shared" si="43"/>
        <v>0</v>
      </c>
      <c r="HE42" s="119">
        <f t="shared" si="43"/>
        <v>10610.25554075428</v>
      </c>
      <c r="HF42" s="119">
        <f t="shared" si="43"/>
        <v>13355.08037464567</v>
      </c>
      <c r="HG42" s="119">
        <f t="shared" si="43"/>
        <v>0</v>
      </c>
      <c r="HH42" s="119">
        <f t="shared" si="43"/>
        <v>0</v>
      </c>
      <c r="HI42" s="119">
        <f t="shared" si="43"/>
        <v>0</v>
      </c>
      <c r="HJ42" s="98">
        <f t="shared" si="44"/>
        <v>86099.720863470167</v>
      </c>
      <c r="HK42" s="119">
        <f t="shared" si="53"/>
        <v>14867.797974725125</v>
      </c>
      <c r="HL42" s="119">
        <f t="shared" si="53"/>
        <v>1887.6682519571029</v>
      </c>
      <c r="HM42" s="119">
        <f t="shared" si="53"/>
        <v>23186.716658580135</v>
      </c>
      <c r="HN42" s="119">
        <f t="shared" si="53"/>
        <v>0</v>
      </c>
      <c r="HO42" s="119">
        <f t="shared" si="53"/>
        <v>13054.2927391293</v>
      </c>
      <c r="HP42" s="119">
        <f t="shared" si="53"/>
        <v>-117819.04585806181</v>
      </c>
      <c r="HQ42" s="119">
        <f t="shared" si="53"/>
        <v>113587.05159298361</v>
      </c>
      <c r="HR42" s="119">
        <f t="shared" si="53"/>
        <v>0</v>
      </c>
      <c r="HS42" s="119">
        <f t="shared" si="53"/>
        <v>0</v>
      </c>
      <c r="HT42" s="119">
        <f t="shared" si="53"/>
        <v>12148.595192280665</v>
      </c>
      <c r="HU42" s="119">
        <f t="shared" si="53"/>
        <v>-25935.88996051054</v>
      </c>
      <c r="HV42" s="119">
        <f t="shared" si="53"/>
        <v>6684.4520572277415</v>
      </c>
      <c r="HW42" s="98">
        <f t="shared" si="45"/>
        <v>41661.638648311317</v>
      </c>
      <c r="HX42" s="119">
        <f t="shared" si="54"/>
        <v>2747.0504945070111</v>
      </c>
      <c r="HY42" s="119">
        <f t="shared" si="54"/>
        <v>-33832.379999999997</v>
      </c>
      <c r="HZ42" s="119">
        <f t="shared" si="54"/>
        <v>0</v>
      </c>
      <c r="IA42" s="119">
        <f t="shared" si="54"/>
        <v>-176620.78896209953</v>
      </c>
      <c r="IB42" s="119">
        <f t="shared" si="54"/>
        <v>0</v>
      </c>
      <c r="IC42" s="119">
        <f t="shared" si="54"/>
        <v>0</v>
      </c>
      <c r="ID42" s="119">
        <f t="shared" si="54"/>
        <v>135.79610254397824</v>
      </c>
      <c r="IE42" s="119">
        <f t="shared" si="54"/>
        <v>36383.328457144176</v>
      </c>
      <c r="IF42" s="119">
        <f t="shared" si="54"/>
        <v>24156.704222104163</v>
      </c>
      <c r="IG42" s="119">
        <f t="shared" si="54"/>
        <v>19268.930174018507</v>
      </c>
      <c r="IH42" s="98">
        <f t="shared" si="46"/>
        <v>-127761.3595117817</v>
      </c>
      <c r="II42" s="96">
        <f t="shared" si="47"/>
        <v>-147012.7974150645</v>
      </c>
    </row>
    <row r="43" spans="2:243" x14ac:dyDescent="0.2">
      <c r="B43" s="101" t="s">
        <v>227</v>
      </c>
      <c r="C43" s="89" t="s">
        <v>228</v>
      </c>
      <c r="D43" s="89" t="str">
        <f>_xlfn.IFNA(INDEX('4. WIP Report (Oct-25)'!D:D,MATCH('7. POC Lookback Summary'!$B43,'4. WIP Report (Oct-25)'!$B:$B,0)),INDEX('5. Completed Jobs'!D:D,MATCH('7. POC Lookback Summary'!$B43,'5. Completed Jobs'!$B:$B,0)))</f>
        <v>Industrial Real Estate Trust</v>
      </c>
      <c r="E43" s="89" t="str">
        <f>_xlfn.IFNA(INDEX('4. WIP Report (Oct-25)'!E:E,MATCH('7. POC Lookback Summary'!$B43,'4. WIP Report (Oct-25)'!$B:$B,0)),INDEX('5. Completed Jobs'!E:E,MATCH('7. POC Lookback Summary'!$B43,'5. Completed Jobs'!$B:$B,0)))</f>
        <v>Sprinkler Installation</v>
      </c>
      <c r="F43" s="89" t="str">
        <f>_xlfn.IFNA(INDEX('4. WIP Report (Oct-25)'!F:F,MATCH('7. POC Lookback Summary'!$B43,'4. WIP Report (Oct-25)'!$B:$B,0)),INDEX('5. Completed Jobs'!F:F,MATCH('7. POC Lookback Summary'!$B43,'5. Completed Jobs'!$B:$B,0)))</f>
        <v>Commercial</v>
      </c>
      <c r="G43" s="89" t="str">
        <f>_xlfn.IFNA(INDEX('4. WIP Report (Oct-25)'!G:G,MATCH('7. POC Lookback Summary'!$B43,'4. WIP Report (Oct-25)'!$B:$B,0)),INDEX('5. Completed Jobs'!G:G,MATCH('7. POC Lookback Summary'!$B43,'5. Completed Jobs'!$B:$B,0)))</f>
        <v>Direct</v>
      </c>
      <c r="H43" s="89" t="str">
        <f>_xlfn.IFNA(INDEX('4. WIP Report (Oct-25)'!H:H,MATCH('7. POC Lookback Summary'!$B43,'4. WIP Report (Oct-25)'!$B:$B,0)),INDEX('5. Completed Jobs'!H:H,MATCH('7. POC Lookback Summary'!$B43,'5. Completed Jobs'!$B:$B,0)))</f>
        <v>New Construction</v>
      </c>
      <c r="J43" s="95"/>
      <c r="K43" s="119">
        <v>0</v>
      </c>
      <c r="L43" s="119">
        <v>0</v>
      </c>
      <c r="M43" s="119">
        <v>0</v>
      </c>
      <c r="N43" s="119">
        <v>0</v>
      </c>
      <c r="O43" s="119">
        <v>322.22500000000002</v>
      </c>
      <c r="P43" s="119">
        <v>5021.1750000000002</v>
      </c>
      <c r="Q43" s="119">
        <v>0</v>
      </c>
      <c r="R43" s="119">
        <v>718.875</v>
      </c>
      <c r="S43" s="119">
        <v>3431.8</v>
      </c>
      <c r="T43" s="119">
        <v>1351.5875000000001</v>
      </c>
      <c r="U43" s="119">
        <v>18025.025000000001</v>
      </c>
      <c r="V43" s="119">
        <v>0</v>
      </c>
      <c r="W43" s="98">
        <f t="shared" si="25"/>
        <v>28870.6875</v>
      </c>
      <c r="X43" s="119">
        <v>38967.837500000001</v>
      </c>
      <c r="Y43" s="119">
        <v>333.33750000000003</v>
      </c>
      <c r="Z43" s="119">
        <v>2017.2750000000001</v>
      </c>
      <c r="AA43" s="119">
        <v>0</v>
      </c>
      <c r="AB43" s="119">
        <v>6955.0624999999991</v>
      </c>
      <c r="AC43" s="119">
        <v>5468.6374999999998</v>
      </c>
      <c r="AD43" s="119">
        <v>0</v>
      </c>
      <c r="AE43" s="119">
        <v>8099.8750000000009</v>
      </c>
      <c r="AF43" s="119">
        <v>0</v>
      </c>
      <c r="AG43" s="119">
        <v>3702.6624999999999</v>
      </c>
      <c r="AH43" s="119">
        <v>412.72499999999997</v>
      </c>
      <c r="AI43" s="119">
        <v>17123.449999999997</v>
      </c>
      <c r="AJ43" s="98">
        <f t="shared" si="26"/>
        <v>83080.862500000003</v>
      </c>
      <c r="AK43" s="119">
        <v>695.08749999999986</v>
      </c>
      <c r="AL43" s="119">
        <v>0</v>
      </c>
      <c r="AM43" s="119">
        <v>21205.100000000002</v>
      </c>
      <c r="AN43" s="119">
        <v>1905.2875000000001</v>
      </c>
      <c r="AO43" s="119">
        <v>0</v>
      </c>
      <c r="AP43" s="119">
        <v>0</v>
      </c>
      <c r="AQ43" s="119">
        <v>40504.375</v>
      </c>
      <c r="AR43" s="119">
        <v>20616.1875</v>
      </c>
      <c r="AS43" s="119">
        <v>0</v>
      </c>
      <c r="AT43" s="119">
        <v>220.56249999999997</v>
      </c>
      <c r="AU43" s="98">
        <f t="shared" si="27"/>
        <v>85146.6</v>
      </c>
      <c r="AV43" s="96">
        <f t="shared" si="28"/>
        <v>102682.77500000001</v>
      </c>
      <c r="AW43" s="95"/>
      <c r="AX43" s="119">
        <v>0</v>
      </c>
      <c r="AY43" s="119">
        <v>0</v>
      </c>
      <c r="AZ43" s="119">
        <v>0</v>
      </c>
      <c r="BA43" s="119">
        <v>0</v>
      </c>
      <c r="BB43" s="119">
        <v>257.78000000000003</v>
      </c>
      <c r="BC43" s="119">
        <v>4016.94</v>
      </c>
      <c r="BD43" s="119">
        <v>0</v>
      </c>
      <c r="BE43" s="119">
        <v>575.1</v>
      </c>
      <c r="BF43" s="119">
        <v>2745.44</v>
      </c>
      <c r="BG43" s="119">
        <v>1081.27</v>
      </c>
      <c r="BH43" s="119">
        <v>14420.02</v>
      </c>
      <c r="BI43" s="119">
        <v>0</v>
      </c>
      <c r="BJ43" s="98">
        <f t="shared" si="29"/>
        <v>23096.550000000003</v>
      </c>
      <c r="BK43" s="119">
        <v>31174.27</v>
      </c>
      <c r="BL43" s="119">
        <v>266.67</v>
      </c>
      <c r="BM43" s="119">
        <v>1613.82</v>
      </c>
      <c r="BN43" s="119">
        <v>0</v>
      </c>
      <c r="BO43" s="119">
        <v>5564.0499999999993</v>
      </c>
      <c r="BP43" s="119">
        <v>4374.91</v>
      </c>
      <c r="BQ43" s="119">
        <v>0</v>
      </c>
      <c r="BR43" s="119">
        <v>6479.9000000000005</v>
      </c>
      <c r="BS43" s="119">
        <v>0</v>
      </c>
      <c r="BT43" s="119">
        <v>2962.13</v>
      </c>
      <c r="BU43" s="119">
        <v>330.17999999999995</v>
      </c>
      <c r="BV43" s="119">
        <v>13698.759999999998</v>
      </c>
      <c r="BW43" s="98">
        <f t="shared" si="30"/>
        <v>66464.69</v>
      </c>
      <c r="BX43" s="119">
        <v>556.06999999999994</v>
      </c>
      <c r="BY43" s="119">
        <v>0</v>
      </c>
      <c r="BZ43" s="119">
        <v>16964.080000000002</v>
      </c>
      <c r="CA43" s="119">
        <v>1524.23</v>
      </c>
      <c r="CB43" s="119">
        <v>0</v>
      </c>
      <c r="CC43" s="119">
        <v>0</v>
      </c>
      <c r="CD43" s="119">
        <v>32403.5</v>
      </c>
      <c r="CE43" s="119">
        <v>16492.95</v>
      </c>
      <c r="CF43" s="119">
        <v>0</v>
      </c>
      <c r="CG43" s="119">
        <v>176.45</v>
      </c>
      <c r="CH43" s="98">
        <f t="shared" si="31"/>
        <v>68117.279999999999</v>
      </c>
      <c r="CI43" s="96">
        <f t="shared" si="32"/>
        <v>82146.219999999987</v>
      </c>
      <c r="CJ43" s="95"/>
      <c r="CK43" s="119">
        <f t="shared" si="33"/>
        <v>0</v>
      </c>
      <c r="CL43" s="119">
        <f t="shared" si="33"/>
        <v>0</v>
      </c>
      <c r="CM43" s="119">
        <f t="shared" si="33"/>
        <v>0</v>
      </c>
      <c r="CN43" s="119">
        <f t="shared" si="33"/>
        <v>0</v>
      </c>
      <c r="CO43" s="119">
        <f t="shared" si="33"/>
        <v>64.444999999999993</v>
      </c>
      <c r="CP43" s="119">
        <f t="shared" si="33"/>
        <v>1004.2350000000001</v>
      </c>
      <c r="CQ43" s="119">
        <f t="shared" si="33"/>
        <v>0</v>
      </c>
      <c r="CR43" s="119">
        <f t="shared" si="33"/>
        <v>143.77499999999998</v>
      </c>
      <c r="CS43" s="119">
        <f t="shared" si="33"/>
        <v>686.36000000000013</v>
      </c>
      <c r="CT43" s="119">
        <f t="shared" si="33"/>
        <v>270.31750000000011</v>
      </c>
      <c r="CU43" s="119">
        <f t="shared" si="33"/>
        <v>3605.005000000001</v>
      </c>
      <c r="CV43" s="119">
        <f t="shared" si="33"/>
        <v>0</v>
      </c>
      <c r="CW43" s="98">
        <f t="shared" si="34"/>
        <v>5774.1375000000007</v>
      </c>
      <c r="CX43" s="119">
        <f t="shared" si="51"/>
        <v>7793.567500000001</v>
      </c>
      <c r="CY43" s="119">
        <f t="shared" si="51"/>
        <v>66.667500000000018</v>
      </c>
      <c r="CZ43" s="119">
        <f t="shared" si="51"/>
        <v>403.45500000000015</v>
      </c>
      <c r="DA43" s="119">
        <f t="shared" si="51"/>
        <v>0</v>
      </c>
      <c r="DB43" s="119">
        <f t="shared" si="51"/>
        <v>1391.0124999999998</v>
      </c>
      <c r="DC43" s="119">
        <f t="shared" si="51"/>
        <v>1093.7275</v>
      </c>
      <c r="DD43" s="119">
        <f t="shared" si="51"/>
        <v>0</v>
      </c>
      <c r="DE43" s="119">
        <f t="shared" si="51"/>
        <v>1619.9750000000004</v>
      </c>
      <c r="DF43" s="119">
        <f t="shared" si="51"/>
        <v>0</v>
      </c>
      <c r="DG43" s="119">
        <f t="shared" si="51"/>
        <v>740.5324999999998</v>
      </c>
      <c r="DH43" s="119">
        <f t="shared" si="51"/>
        <v>82.545000000000016</v>
      </c>
      <c r="DI43" s="119">
        <f t="shared" si="51"/>
        <v>3424.6899999999987</v>
      </c>
      <c r="DJ43" s="98">
        <f t="shared" si="35"/>
        <v>16616.172500000001</v>
      </c>
      <c r="DK43" s="119">
        <f t="shared" si="52"/>
        <v>139.01749999999993</v>
      </c>
      <c r="DL43" s="119">
        <f t="shared" si="52"/>
        <v>0</v>
      </c>
      <c r="DM43" s="119">
        <f t="shared" si="52"/>
        <v>4241.0200000000004</v>
      </c>
      <c r="DN43" s="119">
        <f t="shared" si="52"/>
        <v>381.05750000000012</v>
      </c>
      <c r="DO43" s="119">
        <f t="shared" si="52"/>
        <v>0</v>
      </c>
      <c r="DP43" s="119">
        <f t="shared" si="52"/>
        <v>0</v>
      </c>
      <c r="DQ43" s="119">
        <f t="shared" si="52"/>
        <v>8100.875</v>
      </c>
      <c r="DR43" s="119">
        <f t="shared" si="52"/>
        <v>4123.2374999999993</v>
      </c>
      <c r="DS43" s="119">
        <f t="shared" si="52"/>
        <v>0</v>
      </c>
      <c r="DT43" s="119">
        <f t="shared" si="52"/>
        <v>44.112499999999983</v>
      </c>
      <c r="DU43" s="98">
        <f t="shared" si="36"/>
        <v>17029.32</v>
      </c>
      <c r="DV43" s="96">
        <f t="shared" si="37"/>
        <v>20536.554999999997</v>
      </c>
      <c r="DW43" s="95"/>
      <c r="DX43" s="162">
        <f t="shared" si="57"/>
        <v>0</v>
      </c>
      <c r="DY43" s="162">
        <f t="shared" si="57"/>
        <v>0</v>
      </c>
      <c r="DZ43" s="162">
        <f t="shared" si="57"/>
        <v>0</v>
      </c>
      <c r="EA43" s="162">
        <f t="shared" si="57"/>
        <v>0</v>
      </c>
      <c r="EB43" s="162">
        <f t="shared" si="57"/>
        <v>0.19999999999999996</v>
      </c>
      <c r="EC43" s="162">
        <f t="shared" si="57"/>
        <v>0.2</v>
      </c>
      <c r="ED43" s="162">
        <f t="shared" si="57"/>
        <v>0</v>
      </c>
      <c r="EE43" s="162">
        <f t="shared" si="57"/>
        <v>0.19999999999999996</v>
      </c>
      <c r="EF43" s="162">
        <f t="shared" si="57"/>
        <v>0.20000000000000004</v>
      </c>
      <c r="EG43" s="162">
        <f t="shared" si="55"/>
        <v>0.20000000000000007</v>
      </c>
      <c r="EH43" s="162">
        <f t="shared" si="55"/>
        <v>0.20000000000000004</v>
      </c>
      <c r="EI43" s="162">
        <f t="shared" si="55"/>
        <v>0</v>
      </c>
      <c r="EJ43" s="163">
        <f t="shared" si="55"/>
        <v>0.20000000000000004</v>
      </c>
      <c r="EK43" s="162">
        <f t="shared" si="55"/>
        <v>0.2</v>
      </c>
      <c r="EL43" s="162">
        <f t="shared" si="55"/>
        <v>0.20000000000000004</v>
      </c>
      <c r="EM43" s="162">
        <f t="shared" si="55"/>
        <v>0.20000000000000007</v>
      </c>
      <c r="EN43" s="162">
        <f t="shared" si="55"/>
        <v>0</v>
      </c>
      <c r="EO43" s="162">
        <f t="shared" si="55"/>
        <v>0.2</v>
      </c>
      <c r="EP43" s="162">
        <f t="shared" si="55"/>
        <v>0.2</v>
      </c>
      <c r="EQ43" s="162">
        <f t="shared" si="55"/>
        <v>0</v>
      </c>
      <c r="ER43" s="162">
        <f t="shared" si="55"/>
        <v>0.2</v>
      </c>
      <c r="ES43" s="162">
        <f t="shared" si="55"/>
        <v>0</v>
      </c>
      <c r="ET43" s="162">
        <f t="shared" si="55"/>
        <v>0.19999999999999996</v>
      </c>
      <c r="EU43" s="162">
        <f t="shared" si="55"/>
        <v>0.20000000000000007</v>
      </c>
      <c r="EV43" s="162">
        <f t="shared" si="55"/>
        <v>0.19999999999999996</v>
      </c>
      <c r="EW43" s="163">
        <f t="shared" si="58"/>
        <v>0.2</v>
      </c>
      <c r="EX43" s="162">
        <f t="shared" si="58"/>
        <v>0.19999999999999993</v>
      </c>
      <c r="EY43" s="162">
        <f t="shared" si="58"/>
        <v>0</v>
      </c>
      <c r="EZ43" s="162">
        <f t="shared" si="58"/>
        <v>0.2</v>
      </c>
      <c r="FA43" s="162">
        <f t="shared" si="58"/>
        <v>0.20000000000000004</v>
      </c>
      <c r="FB43" s="162">
        <f t="shared" si="58"/>
        <v>0</v>
      </c>
      <c r="FC43" s="162">
        <f t="shared" si="56"/>
        <v>0</v>
      </c>
      <c r="FD43" s="162">
        <f t="shared" si="50"/>
        <v>0.2</v>
      </c>
      <c r="FE43" s="162">
        <f t="shared" si="50"/>
        <v>0.19999999999999996</v>
      </c>
      <c r="FF43" s="162">
        <f t="shared" si="48"/>
        <v>0</v>
      </c>
      <c r="FG43" s="162">
        <f t="shared" si="48"/>
        <v>0.19999999999999996</v>
      </c>
      <c r="FH43" s="163">
        <f t="shared" si="48"/>
        <v>0.19999999999999998</v>
      </c>
      <c r="FI43" s="164">
        <f t="shared" si="48"/>
        <v>0.19999999999999996</v>
      </c>
      <c r="FJ43" s="95"/>
      <c r="FK43" s="119">
        <v>0</v>
      </c>
      <c r="FL43" s="119">
        <v>0</v>
      </c>
      <c r="FM43" s="119">
        <v>109051.63</v>
      </c>
      <c r="FN43" s="119">
        <v>0</v>
      </c>
      <c r="FO43" s="119">
        <v>0</v>
      </c>
      <c r="FP43" s="119">
        <v>0</v>
      </c>
      <c r="FQ43" s="119">
        <v>0</v>
      </c>
      <c r="FR43" s="119">
        <v>121314.38</v>
      </c>
      <c r="FS43" s="119">
        <v>0</v>
      </c>
      <c r="FT43" s="119">
        <v>91424.09</v>
      </c>
      <c r="FU43" s="119">
        <v>0</v>
      </c>
      <c r="FV43" s="119">
        <v>0</v>
      </c>
      <c r="FW43" s="98">
        <f t="shared" si="39"/>
        <v>321790.09999999998</v>
      </c>
      <c r="FX43" s="119">
        <v>0</v>
      </c>
      <c r="FY43" s="119">
        <v>0</v>
      </c>
      <c r="FZ43" s="119">
        <v>122061.74999999999</v>
      </c>
      <c r="GA43" s="119">
        <v>0</v>
      </c>
      <c r="GB43" s="119">
        <v>0</v>
      </c>
      <c r="GC43" s="119">
        <v>0</v>
      </c>
      <c r="GD43" s="119">
        <v>0</v>
      </c>
      <c r="GE43" s="119">
        <v>0</v>
      </c>
      <c r="GF43" s="119">
        <v>0</v>
      </c>
      <c r="GG43" s="119">
        <v>0</v>
      </c>
      <c r="GH43" s="119">
        <v>0</v>
      </c>
      <c r="GI43" s="119">
        <v>0</v>
      </c>
      <c r="GJ43" s="98">
        <f t="shared" si="40"/>
        <v>122061.74999999999</v>
      </c>
      <c r="GK43" s="119">
        <v>0</v>
      </c>
      <c r="GL43" s="119">
        <v>0</v>
      </c>
      <c r="GM43" s="119">
        <v>0</v>
      </c>
      <c r="GN43" s="119">
        <v>0</v>
      </c>
      <c r="GO43" s="119">
        <v>0</v>
      </c>
      <c r="GP43" s="119">
        <v>0</v>
      </c>
      <c r="GQ43" s="119">
        <v>118569.76000000001</v>
      </c>
      <c r="GR43" s="119">
        <v>0</v>
      </c>
      <c r="GS43" s="119">
        <v>7230.04</v>
      </c>
      <c r="GT43" s="119">
        <v>0</v>
      </c>
      <c r="GU43" s="98">
        <f t="shared" si="41"/>
        <v>125799.8</v>
      </c>
      <c r="GV43" s="96">
        <f t="shared" si="42"/>
        <v>125799.8</v>
      </c>
      <c r="GW43" s="95"/>
      <c r="GX43" s="119">
        <f t="shared" si="43"/>
        <v>0</v>
      </c>
      <c r="GY43" s="119">
        <f t="shared" si="43"/>
        <v>0</v>
      </c>
      <c r="GZ43" s="119">
        <f t="shared" si="43"/>
        <v>-109051.63</v>
      </c>
      <c r="HA43" s="119">
        <f t="shared" si="43"/>
        <v>0</v>
      </c>
      <c r="HB43" s="119">
        <f t="shared" si="43"/>
        <v>322.22500000000002</v>
      </c>
      <c r="HC43" s="119">
        <f t="shared" si="43"/>
        <v>5021.1750000000002</v>
      </c>
      <c r="HD43" s="119">
        <f t="shared" si="43"/>
        <v>0</v>
      </c>
      <c r="HE43" s="119">
        <f t="shared" si="43"/>
        <v>-120595.505</v>
      </c>
      <c r="HF43" s="119">
        <f t="shared" si="43"/>
        <v>3431.8</v>
      </c>
      <c r="HG43" s="119">
        <f t="shared" si="43"/>
        <v>-90072.502500000002</v>
      </c>
      <c r="HH43" s="119">
        <f t="shared" si="43"/>
        <v>18025.025000000001</v>
      </c>
      <c r="HI43" s="119">
        <f t="shared" si="43"/>
        <v>0</v>
      </c>
      <c r="HJ43" s="98">
        <f t="shared" si="44"/>
        <v>-292919.41249999998</v>
      </c>
      <c r="HK43" s="119">
        <f t="shared" si="53"/>
        <v>38967.837500000001</v>
      </c>
      <c r="HL43" s="119">
        <f t="shared" si="53"/>
        <v>333.33750000000003</v>
      </c>
      <c r="HM43" s="119">
        <f t="shared" si="53"/>
        <v>-120044.47499999999</v>
      </c>
      <c r="HN43" s="119">
        <f t="shared" si="53"/>
        <v>0</v>
      </c>
      <c r="HO43" s="119">
        <f t="shared" si="53"/>
        <v>6955.0624999999991</v>
      </c>
      <c r="HP43" s="119">
        <f t="shared" si="53"/>
        <v>5468.6374999999998</v>
      </c>
      <c r="HQ43" s="119">
        <f t="shared" si="53"/>
        <v>0</v>
      </c>
      <c r="HR43" s="119">
        <f t="shared" si="53"/>
        <v>8099.8750000000009</v>
      </c>
      <c r="HS43" s="119">
        <f t="shared" si="53"/>
        <v>0</v>
      </c>
      <c r="HT43" s="119">
        <f t="shared" si="53"/>
        <v>3702.6624999999999</v>
      </c>
      <c r="HU43" s="119">
        <f t="shared" si="53"/>
        <v>412.72499999999997</v>
      </c>
      <c r="HV43" s="119">
        <f t="shared" si="53"/>
        <v>17123.449999999997</v>
      </c>
      <c r="HW43" s="98">
        <f t="shared" si="45"/>
        <v>-38980.887499999997</v>
      </c>
      <c r="HX43" s="119">
        <f t="shared" si="54"/>
        <v>695.08749999999986</v>
      </c>
      <c r="HY43" s="119">
        <f t="shared" si="54"/>
        <v>0</v>
      </c>
      <c r="HZ43" s="119">
        <f t="shared" si="54"/>
        <v>21205.100000000002</v>
      </c>
      <c r="IA43" s="119">
        <f t="shared" si="54"/>
        <v>1905.2875000000001</v>
      </c>
      <c r="IB43" s="119">
        <f t="shared" si="54"/>
        <v>0</v>
      </c>
      <c r="IC43" s="119">
        <f t="shared" si="54"/>
        <v>0</v>
      </c>
      <c r="ID43" s="119">
        <f t="shared" si="54"/>
        <v>-78065.385000000009</v>
      </c>
      <c r="IE43" s="119">
        <f t="shared" si="54"/>
        <v>20616.1875</v>
      </c>
      <c r="IF43" s="119">
        <f t="shared" si="54"/>
        <v>-7230.04</v>
      </c>
      <c r="IG43" s="119">
        <f t="shared" si="54"/>
        <v>220.56249999999997</v>
      </c>
      <c r="IH43" s="98">
        <f t="shared" si="46"/>
        <v>-40653.200000000004</v>
      </c>
      <c r="II43" s="96">
        <f t="shared" si="47"/>
        <v>-23117.025000000009</v>
      </c>
    </row>
    <row r="44" spans="2:243" x14ac:dyDescent="0.2">
      <c r="B44" s="101" t="s">
        <v>345</v>
      </c>
      <c r="C44" s="89" t="s">
        <v>346</v>
      </c>
      <c r="D44" s="89" t="str">
        <f>_xlfn.IFNA(INDEX('4. WIP Report (Oct-25)'!D:D,MATCH('7. POC Lookback Summary'!$B44,'4. WIP Report (Oct-25)'!$B:$B,0)),INDEX('5. Completed Jobs'!D:D,MATCH('7. POC Lookback Summary'!$B44,'5. Completed Jobs'!$B:$B,0)))</f>
        <v>Premier Builders Inc</v>
      </c>
      <c r="E44" s="89" t="str">
        <f>_xlfn.IFNA(INDEX('4. WIP Report (Oct-25)'!E:E,MATCH('7. POC Lookback Summary'!$B44,'4. WIP Report (Oct-25)'!$B:$B,0)),INDEX('5. Completed Jobs'!E:E,MATCH('7. POC Lookback Summary'!$B44,'5. Completed Jobs'!$B:$B,0)))</f>
        <v>Sprinkler Installation</v>
      </c>
      <c r="F44" s="89" t="str">
        <f>_xlfn.IFNA(INDEX('4. WIP Report (Oct-25)'!F:F,MATCH('7. POC Lookback Summary'!$B44,'4. WIP Report (Oct-25)'!$B:$B,0)),INDEX('5. Completed Jobs'!F:F,MATCH('7. POC Lookback Summary'!$B44,'5. Completed Jobs'!$B:$B,0)))</f>
        <v>Commercial</v>
      </c>
      <c r="G44" s="89" t="str">
        <f>_xlfn.IFNA(INDEX('4. WIP Report (Oct-25)'!G:G,MATCH('7. POC Lookback Summary'!$B44,'4. WIP Report (Oct-25)'!$B:$B,0)),INDEX('5. Completed Jobs'!G:G,MATCH('7. POC Lookback Summary'!$B44,'5. Completed Jobs'!$B:$B,0)))</f>
        <v>General Contractor</v>
      </c>
      <c r="H44" s="89" t="str">
        <f>_xlfn.IFNA(INDEX('4. WIP Report (Oct-25)'!H:H,MATCH('7. POC Lookback Summary'!$B44,'4. WIP Report (Oct-25)'!$B:$B,0)),INDEX('5. Completed Jobs'!H:H,MATCH('7. POC Lookback Summary'!$B44,'5. Completed Jobs'!$B:$B,0)))</f>
        <v>New Construction</v>
      </c>
      <c r="J44" s="95"/>
      <c r="K44" s="119">
        <v>146530.79336319317</v>
      </c>
      <c r="L44" s="119">
        <v>4563.7607843085807</v>
      </c>
      <c r="M44" s="119">
        <v>2472.1126890751411</v>
      </c>
      <c r="N44" s="119">
        <v>996.53442893834017</v>
      </c>
      <c r="O44" s="119">
        <v>3520.4566558471975</v>
      </c>
      <c r="P44" s="119">
        <v>31318.736024639034</v>
      </c>
      <c r="Q44" s="119">
        <v>176.30794364536365</v>
      </c>
      <c r="R44" s="119">
        <v>2101.2669866378092</v>
      </c>
      <c r="S44" s="119">
        <v>48841.101867805766</v>
      </c>
      <c r="T44" s="119">
        <v>0</v>
      </c>
      <c r="U44" s="119">
        <v>12587.442566584165</v>
      </c>
      <c r="V44" s="119">
        <v>0</v>
      </c>
      <c r="W44" s="98">
        <f t="shared" si="25"/>
        <v>253108.51331067458</v>
      </c>
      <c r="X44" s="119">
        <v>55933.968712714195</v>
      </c>
      <c r="Y44" s="119">
        <v>1036.9971308040272</v>
      </c>
      <c r="Z44" s="119">
        <v>5327.7426740544479</v>
      </c>
      <c r="AA44" s="119">
        <v>0</v>
      </c>
      <c r="AB44" s="119">
        <v>21884.907483037212</v>
      </c>
      <c r="AC44" s="119">
        <v>0</v>
      </c>
      <c r="AD44" s="119">
        <v>0</v>
      </c>
      <c r="AE44" s="119">
        <v>675.42473085833285</v>
      </c>
      <c r="AF44" s="119">
        <v>0</v>
      </c>
      <c r="AG44" s="119">
        <v>7017.7300554652993</v>
      </c>
      <c r="AH44" s="119">
        <v>15580.933728667418</v>
      </c>
      <c r="AI44" s="119">
        <v>49502.271056013924</v>
      </c>
      <c r="AJ44" s="98">
        <f t="shared" si="26"/>
        <v>156959.97557161486</v>
      </c>
      <c r="AK44" s="119">
        <v>6037.0063192844418</v>
      </c>
      <c r="AL44" s="119">
        <v>0</v>
      </c>
      <c r="AM44" s="119">
        <v>2042.776063157944</v>
      </c>
      <c r="AN44" s="119">
        <v>0</v>
      </c>
      <c r="AO44" s="119">
        <v>323.24082970852027</v>
      </c>
      <c r="AP44" s="119">
        <v>15285.685600890174</v>
      </c>
      <c r="AQ44" s="119">
        <v>31436.092259587553</v>
      </c>
      <c r="AR44" s="119">
        <v>0</v>
      </c>
      <c r="AS44" s="119">
        <v>0</v>
      </c>
      <c r="AT44" s="119">
        <v>210.55004508187741</v>
      </c>
      <c r="AU44" s="98">
        <f t="shared" si="27"/>
        <v>55335.35111771051</v>
      </c>
      <c r="AV44" s="96">
        <f t="shared" si="28"/>
        <v>120418.55590239185</v>
      </c>
      <c r="AW44" s="95"/>
      <c r="AX44" s="119">
        <v>50880.38</v>
      </c>
      <c r="AY44" s="119">
        <v>1584.69</v>
      </c>
      <c r="AZ44" s="119">
        <v>858.4</v>
      </c>
      <c r="BA44" s="119">
        <v>346.03000000000003</v>
      </c>
      <c r="BB44" s="119">
        <v>1222.42</v>
      </c>
      <c r="BC44" s="119">
        <v>10874.910000000002</v>
      </c>
      <c r="BD44" s="119">
        <v>61.22</v>
      </c>
      <c r="BE44" s="119">
        <v>729.63</v>
      </c>
      <c r="BF44" s="119">
        <v>16959.259999999998</v>
      </c>
      <c r="BG44" s="119">
        <v>0</v>
      </c>
      <c r="BH44" s="119">
        <v>4370.7800000000007</v>
      </c>
      <c r="BI44" s="119">
        <v>0</v>
      </c>
      <c r="BJ44" s="98">
        <f t="shared" si="29"/>
        <v>87887.72</v>
      </c>
      <c r="BK44" s="119">
        <v>19422.140000000003</v>
      </c>
      <c r="BL44" s="119">
        <v>360.08000000000004</v>
      </c>
      <c r="BM44" s="119">
        <v>1849.9699999999998</v>
      </c>
      <c r="BN44" s="119">
        <v>0</v>
      </c>
      <c r="BO44" s="119">
        <v>7599.17</v>
      </c>
      <c r="BP44" s="119">
        <v>0</v>
      </c>
      <c r="BQ44" s="119">
        <v>0</v>
      </c>
      <c r="BR44" s="119">
        <v>234.53000000000003</v>
      </c>
      <c r="BS44" s="119">
        <v>0</v>
      </c>
      <c r="BT44" s="119">
        <v>2436.79</v>
      </c>
      <c r="BU44" s="119">
        <v>5410.22</v>
      </c>
      <c r="BV44" s="119">
        <v>17188.84</v>
      </c>
      <c r="BW44" s="98">
        <f t="shared" si="30"/>
        <v>54501.740000000005</v>
      </c>
      <c r="BX44" s="119">
        <v>2096.25</v>
      </c>
      <c r="BY44" s="119">
        <v>0</v>
      </c>
      <c r="BZ44" s="119">
        <v>709.32</v>
      </c>
      <c r="CA44" s="119">
        <v>0</v>
      </c>
      <c r="CB44" s="119">
        <v>112.24</v>
      </c>
      <c r="CC44" s="119">
        <v>5307.7</v>
      </c>
      <c r="CD44" s="119">
        <v>10915.66</v>
      </c>
      <c r="CE44" s="119">
        <v>0</v>
      </c>
      <c r="CF44" s="119">
        <v>0</v>
      </c>
      <c r="CG44" s="119">
        <v>73.11</v>
      </c>
      <c r="CH44" s="98">
        <f t="shared" si="31"/>
        <v>19214.28</v>
      </c>
      <c r="CI44" s="96">
        <f t="shared" si="32"/>
        <v>41813.339999999997</v>
      </c>
      <c r="CJ44" s="95"/>
      <c r="CK44" s="119">
        <f t="shared" ref="CK44:CV82" si="59">+K44-AX44</f>
        <v>95650.413363193162</v>
      </c>
      <c r="CL44" s="119">
        <f t="shared" si="59"/>
        <v>2979.0707843085806</v>
      </c>
      <c r="CM44" s="119">
        <f t="shared" si="59"/>
        <v>1613.712689075141</v>
      </c>
      <c r="CN44" s="119">
        <f t="shared" si="59"/>
        <v>650.5044289383402</v>
      </c>
      <c r="CO44" s="119">
        <f t="shared" si="59"/>
        <v>2298.0366558471974</v>
      </c>
      <c r="CP44" s="119">
        <f t="shared" si="59"/>
        <v>20443.826024639035</v>
      </c>
      <c r="CQ44" s="119">
        <f t="shared" si="59"/>
        <v>115.08794364536365</v>
      </c>
      <c r="CR44" s="119">
        <f t="shared" si="59"/>
        <v>1371.6369866378091</v>
      </c>
      <c r="CS44" s="119">
        <f t="shared" si="59"/>
        <v>31881.841867805768</v>
      </c>
      <c r="CT44" s="119">
        <f t="shared" si="59"/>
        <v>0</v>
      </c>
      <c r="CU44" s="119">
        <f t="shared" si="59"/>
        <v>8216.6625665841639</v>
      </c>
      <c r="CV44" s="119">
        <f t="shared" si="59"/>
        <v>0</v>
      </c>
      <c r="CW44" s="98">
        <f t="shared" si="34"/>
        <v>165220.79331067458</v>
      </c>
      <c r="CX44" s="119">
        <f t="shared" si="51"/>
        <v>36511.828712714196</v>
      </c>
      <c r="CY44" s="119">
        <f t="shared" si="51"/>
        <v>676.91713080402712</v>
      </c>
      <c r="CZ44" s="119">
        <f t="shared" si="51"/>
        <v>3477.7726740544481</v>
      </c>
      <c r="DA44" s="119">
        <f t="shared" si="51"/>
        <v>0</v>
      </c>
      <c r="DB44" s="119">
        <f t="shared" si="51"/>
        <v>14285.737483037212</v>
      </c>
      <c r="DC44" s="119">
        <f t="shared" si="51"/>
        <v>0</v>
      </c>
      <c r="DD44" s="119">
        <f t="shared" si="51"/>
        <v>0</v>
      </c>
      <c r="DE44" s="119">
        <f t="shared" si="51"/>
        <v>440.89473085833282</v>
      </c>
      <c r="DF44" s="119">
        <f t="shared" si="51"/>
        <v>0</v>
      </c>
      <c r="DG44" s="119">
        <f t="shared" si="51"/>
        <v>4580.9400554652993</v>
      </c>
      <c r="DH44" s="119">
        <f t="shared" si="51"/>
        <v>10170.713728667419</v>
      </c>
      <c r="DI44" s="119">
        <f t="shared" si="51"/>
        <v>32313.431056013924</v>
      </c>
      <c r="DJ44" s="98">
        <f t="shared" si="35"/>
        <v>102458.23557161486</v>
      </c>
      <c r="DK44" s="119">
        <f t="shared" si="52"/>
        <v>3940.7563192844418</v>
      </c>
      <c r="DL44" s="119">
        <f t="shared" si="52"/>
        <v>0</v>
      </c>
      <c r="DM44" s="119">
        <f t="shared" si="52"/>
        <v>1333.4560631579438</v>
      </c>
      <c r="DN44" s="119">
        <f t="shared" si="52"/>
        <v>0</v>
      </c>
      <c r="DO44" s="119">
        <f t="shared" si="52"/>
        <v>211.00082970852026</v>
      </c>
      <c r="DP44" s="119">
        <f t="shared" si="52"/>
        <v>9977.9856008901734</v>
      </c>
      <c r="DQ44" s="119">
        <f t="shared" si="52"/>
        <v>20520.432259587553</v>
      </c>
      <c r="DR44" s="119">
        <f t="shared" si="52"/>
        <v>0</v>
      </c>
      <c r="DS44" s="119">
        <f t="shared" si="52"/>
        <v>0</v>
      </c>
      <c r="DT44" s="119">
        <f t="shared" si="52"/>
        <v>137.44004508187743</v>
      </c>
      <c r="DU44" s="98">
        <f t="shared" si="36"/>
        <v>36121.071117710511</v>
      </c>
      <c r="DV44" s="96">
        <f t="shared" si="37"/>
        <v>78605.21590239185</v>
      </c>
      <c r="DW44" s="95"/>
      <c r="DX44" s="162">
        <f t="shared" si="57"/>
        <v>0.65276663810938895</v>
      </c>
      <c r="DY44" s="162">
        <f t="shared" si="57"/>
        <v>0.65276663810938906</v>
      </c>
      <c r="DZ44" s="162">
        <f t="shared" si="57"/>
        <v>0.65276663810938895</v>
      </c>
      <c r="EA44" s="162">
        <f t="shared" si="57"/>
        <v>0.65276663810938906</v>
      </c>
      <c r="EB44" s="162">
        <f t="shared" si="57"/>
        <v>0.65276663810938895</v>
      </c>
      <c r="EC44" s="162">
        <f t="shared" si="57"/>
        <v>0.65276663810938906</v>
      </c>
      <c r="ED44" s="162">
        <f t="shared" si="57"/>
        <v>0.65276663810938906</v>
      </c>
      <c r="EE44" s="162">
        <f t="shared" si="57"/>
        <v>0.65276663810938895</v>
      </c>
      <c r="EF44" s="162">
        <f t="shared" si="57"/>
        <v>0.65276663810938895</v>
      </c>
      <c r="EG44" s="162">
        <f t="shared" si="55"/>
        <v>0</v>
      </c>
      <c r="EH44" s="162">
        <f t="shared" si="55"/>
        <v>0.65276663810938895</v>
      </c>
      <c r="EI44" s="162">
        <f t="shared" si="55"/>
        <v>0</v>
      </c>
      <c r="EJ44" s="163">
        <f t="shared" si="55"/>
        <v>0.65276663810938895</v>
      </c>
      <c r="EK44" s="162">
        <f t="shared" si="55"/>
        <v>0.65276663810938906</v>
      </c>
      <c r="EL44" s="162">
        <f t="shared" si="55"/>
        <v>0.65276663810938895</v>
      </c>
      <c r="EM44" s="162">
        <f t="shared" si="55"/>
        <v>0.65276663810938895</v>
      </c>
      <c r="EN44" s="162">
        <f t="shared" si="55"/>
        <v>0</v>
      </c>
      <c r="EO44" s="162">
        <f t="shared" si="55"/>
        <v>0.65276663810938906</v>
      </c>
      <c r="EP44" s="162">
        <f t="shared" si="55"/>
        <v>0</v>
      </c>
      <c r="EQ44" s="162">
        <f t="shared" si="55"/>
        <v>0</v>
      </c>
      <c r="ER44" s="162">
        <f t="shared" si="55"/>
        <v>0.65276663810938895</v>
      </c>
      <c r="ES44" s="162">
        <f t="shared" si="55"/>
        <v>0</v>
      </c>
      <c r="ET44" s="162">
        <f t="shared" si="55"/>
        <v>0.65276663810938895</v>
      </c>
      <c r="EU44" s="162">
        <f t="shared" si="55"/>
        <v>0.65276663810938906</v>
      </c>
      <c r="EV44" s="162">
        <f t="shared" si="55"/>
        <v>0.65276663810938906</v>
      </c>
      <c r="EW44" s="163">
        <f t="shared" si="58"/>
        <v>0.65276663810938895</v>
      </c>
      <c r="EX44" s="162">
        <f t="shared" si="58"/>
        <v>0.65276663810938906</v>
      </c>
      <c r="EY44" s="162">
        <f t="shared" si="58"/>
        <v>0</v>
      </c>
      <c r="EZ44" s="162">
        <f t="shared" si="58"/>
        <v>0.65276663810938895</v>
      </c>
      <c r="FA44" s="162">
        <f t="shared" si="58"/>
        <v>0</v>
      </c>
      <c r="FB44" s="162">
        <f t="shared" si="58"/>
        <v>0.65276663810938895</v>
      </c>
      <c r="FC44" s="162">
        <f t="shared" si="56"/>
        <v>0.65276663810938895</v>
      </c>
      <c r="FD44" s="162">
        <f t="shared" si="50"/>
        <v>0.65276663810938895</v>
      </c>
      <c r="FE44" s="162">
        <f t="shared" si="50"/>
        <v>0</v>
      </c>
      <c r="FF44" s="162">
        <f t="shared" si="48"/>
        <v>0</v>
      </c>
      <c r="FG44" s="162">
        <f t="shared" si="48"/>
        <v>0.65276663810938906</v>
      </c>
      <c r="FH44" s="163">
        <f t="shared" si="48"/>
        <v>0.65276663810938906</v>
      </c>
      <c r="FI44" s="164">
        <f t="shared" si="48"/>
        <v>0.65276663810938906</v>
      </c>
      <c r="FJ44" s="95"/>
      <c r="FK44" s="119">
        <v>0</v>
      </c>
      <c r="FL44" s="119">
        <v>0</v>
      </c>
      <c r="FM44" s="119">
        <v>0</v>
      </c>
      <c r="FN44" s="119">
        <v>0</v>
      </c>
      <c r="FO44" s="119">
        <v>0</v>
      </c>
      <c r="FP44" s="119">
        <v>29685.69</v>
      </c>
      <c r="FQ44" s="119">
        <v>0</v>
      </c>
      <c r="FR44" s="119">
        <v>0</v>
      </c>
      <c r="FS44" s="119">
        <v>0</v>
      </c>
      <c r="FT44" s="119">
        <v>0</v>
      </c>
      <c r="FU44" s="119">
        <v>0</v>
      </c>
      <c r="FV44" s="119">
        <v>0</v>
      </c>
      <c r="FW44" s="98">
        <f t="shared" si="39"/>
        <v>29685.69</v>
      </c>
      <c r="FX44" s="119">
        <v>0</v>
      </c>
      <c r="FY44" s="119">
        <v>0</v>
      </c>
      <c r="FZ44" s="119">
        <v>0</v>
      </c>
      <c r="GA44" s="119">
        <v>145134.53999999998</v>
      </c>
      <c r="GB44" s="119">
        <v>0</v>
      </c>
      <c r="GC44" s="119">
        <v>0</v>
      </c>
      <c r="GD44" s="119">
        <v>0</v>
      </c>
      <c r="GE44" s="119">
        <v>174466.12</v>
      </c>
      <c r="GF44" s="119">
        <v>0</v>
      </c>
      <c r="GG44" s="119">
        <v>0</v>
      </c>
      <c r="GH44" s="119">
        <v>0</v>
      </c>
      <c r="GI44" s="119">
        <v>0</v>
      </c>
      <c r="GJ44" s="98">
        <f t="shared" si="40"/>
        <v>319600.65999999997</v>
      </c>
      <c r="GK44" s="119">
        <v>0</v>
      </c>
      <c r="GL44" s="119">
        <v>0</v>
      </c>
      <c r="GM44" s="119">
        <v>0</v>
      </c>
      <c r="GN44" s="119">
        <v>0</v>
      </c>
      <c r="GO44" s="119">
        <v>116117.49</v>
      </c>
      <c r="GP44" s="119">
        <v>0</v>
      </c>
      <c r="GQ44" s="119">
        <v>0</v>
      </c>
      <c r="GR44" s="119">
        <v>0</v>
      </c>
      <c r="GS44" s="119">
        <v>0</v>
      </c>
      <c r="GT44" s="119">
        <v>0</v>
      </c>
      <c r="GU44" s="98">
        <f t="shared" si="41"/>
        <v>116117.49</v>
      </c>
      <c r="GV44" s="96">
        <f t="shared" si="42"/>
        <v>116117.49</v>
      </c>
      <c r="GW44" s="95"/>
      <c r="GX44" s="119">
        <f t="shared" ref="GX44:HI82" si="60">+K44-FK44</f>
        <v>146530.79336319317</v>
      </c>
      <c r="GY44" s="119">
        <f t="shared" si="60"/>
        <v>4563.7607843085807</v>
      </c>
      <c r="GZ44" s="119">
        <f t="shared" si="60"/>
        <v>2472.1126890751411</v>
      </c>
      <c r="HA44" s="119">
        <f t="shared" si="60"/>
        <v>996.53442893834017</v>
      </c>
      <c r="HB44" s="119">
        <f t="shared" si="60"/>
        <v>3520.4566558471975</v>
      </c>
      <c r="HC44" s="119">
        <f t="shared" si="60"/>
        <v>1633.0460246390357</v>
      </c>
      <c r="HD44" s="119">
        <f t="shared" si="60"/>
        <v>176.30794364536365</v>
      </c>
      <c r="HE44" s="119">
        <f t="shared" si="60"/>
        <v>2101.2669866378092</v>
      </c>
      <c r="HF44" s="119">
        <f t="shared" si="60"/>
        <v>48841.101867805766</v>
      </c>
      <c r="HG44" s="119">
        <f t="shared" si="60"/>
        <v>0</v>
      </c>
      <c r="HH44" s="119">
        <f t="shared" si="60"/>
        <v>12587.442566584165</v>
      </c>
      <c r="HI44" s="119">
        <f t="shared" si="60"/>
        <v>0</v>
      </c>
      <c r="HJ44" s="98">
        <f t="shared" si="44"/>
        <v>223422.82331067458</v>
      </c>
      <c r="HK44" s="119">
        <f t="shared" si="53"/>
        <v>55933.968712714195</v>
      </c>
      <c r="HL44" s="119">
        <f t="shared" si="53"/>
        <v>1036.9971308040272</v>
      </c>
      <c r="HM44" s="119">
        <f t="shared" si="53"/>
        <v>5327.7426740544479</v>
      </c>
      <c r="HN44" s="119">
        <f t="shared" si="53"/>
        <v>-145134.53999999998</v>
      </c>
      <c r="HO44" s="119">
        <f t="shared" si="53"/>
        <v>21884.907483037212</v>
      </c>
      <c r="HP44" s="119">
        <f t="shared" si="53"/>
        <v>0</v>
      </c>
      <c r="HQ44" s="119">
        <f t="shared" si="53"/>
        <v>0</v>
      </c>
      <c r="HR44" s="119">
        <f t="shared" si="53"/>
        <v>-173790.69526914167</v>
      </c>
      <c r="HS44" s="119">
        <f t="shared" si="53"/>
        <v>0</v>
      </c>
      <c r="HT44" s="119">
        <f t="shared" si="53"/>
        <v>7017.7300554652993</v>
      </c>
      <c r="HU44" s="119">
        <f t="shared" si="53"/>
        <v>15580.933728667418</v>
      </c>
      <c r="HV44" s="119">
        <f t="shared" si="53"/>
        <v>49502.271056013924</v>
      </c>
      <c r="HW44" s="98">
        <f t="shared" si="45"/>
        <v>-162640.68442838511</v>
      </c>
      <c r="HX44" s="119">
        <f t="shared" si="54"/>
        <v>6037.0063192844418</v>
      </c>
      <c r="HY44" s="119">
        <f t="shared" si="54"/>
        <v>0</v>
      </c>
      <c r="HZ44" s="119">
        <f t="shared" si="54"/>
        <v>2042.776063157944</v>
      </c>
      <c r="IA44" s="119">
        <f t="shared" si="54"/>
        <v>0</v>
      </c>
      <c r="IB44" s="119">
        <f t="shared" si="54"/>
        <v>-115794.24917029148</v>
      </c>
      <c r="IC44" s="119">
        <f t="shared" si="54"/>
        <v>15285.685600890174</v>
      </c>
      <c r="ID44" s="119">
        <f t="shared" si="54"/>
        <v>31436.092259587553</v>
      </c>
      <c r="IE44" s="119">
        <f t="shared" si="54"/>
        <v>0</v>
      </c>
      <c r="IF44" s="119">
        <f t="shared" si="54"/>
        <v>0</v>
      </c>
      <c r="IG44" s="119">
        <f t="shared" si="54"/>
        <v>210.55004508187741</v>
      </c>
      <c r="IH44" s="98">
        <f t="shared" si="46"/>
        <v>-60782.138882289488</v>
      </c>
      <c r="II44" s="96">
        <f t="shared" si="47"/>
        <v>4301.0659023918561</v>
      </c>
    </row>
    <row r="45" spans="2:243" x14ac:dyDescent="0.2">
      <c r="B45" s="101" t="s">
        <v>347</v>
      </c>
      <c r="C45" s="89" t="s">
        <v>348</v>
      </c>
      <c r="D45" s="89" t="str">
        <f>_xlfn.IFNA(INDEX('4. WIP Report (Oct-25)'!D:D,MATCH('7. POC Lookback Summary'!$B45,'4. WIP Report (Oct-25)'!$B:$B,0)),INDEX('5. Completed Jobs'!D:D,MATCH('7. POC Lookback Summary'!$B45,'5. Completed Jobs'!$B:$B,0)))</f>
        <v>Heritage Building Company</v>
      </c>
      <c r="E45" s="89" t="str">
        <f>_xlfn.IFNA(INDEX('4. WIP Report (Oct-25)'!E:E,MATCH('7. POC Lookback Summary'!$B45,'4. WIP Report (Oct-25)'!$B:$B,0)),INDEX('5. Completed Jobs'!E:E,MATCH('7. POC Lookback Summary'!$B45,'5. Completed Jobs'!$B:$B,0)))</f>
        <v>Sprinkler Installation</v>
      </c>
      <c r="F45" s="89" t="str">
        <f>_xlfn.IFNA(INDEX('4. WIP Report (Oct-25)'!F:F,MATCH('7. POC Lookback Summary'!$B45,'4. WIP Report (Oct-25)'!$B:$B,0)),INDEX('5. Completed Jobs'!F:F,MATCH('7. POC Lookback Summary'!$B45,'5. Completed Jobs'!$B:$B,0)))</f>
        <v>Healthcare</v>
      </c>
      <c r="G45" s="89" t="str">
        <f>_xlfn.IFNA(INDEX('4. WIP Report (Oct-25)'!G:G,MATCH('7. POC Lookback Summary'!$B45,'4. WIP Report (Oct-25)'!$B:$B,0)),INDEX('5. Completed Jobs'!G:G,MATCH('7. POC Lookback Summary'!$B45,'5. Completed Jobs'!$B:$B,0)))</f>
        <v>Direct</v>
      </c>
      <c r="H45" s="89" t="str">
        <f>_xlfn.IFNA(INDEX('4. WIP Report (Oct-25)'!H:H,MATCH('7. POC Lookback Summary'!$B45,'4. WIP Report (Oct-25)'!$B:$B,0)),INDEX('5. Completed Jobs'!H:H,MATCH('7. POC Lookback Summary'!$B45,'5. Completed Jobs'!$B:$B,0)))</f>
        <v>New Construction</v>
      </c>
      <c r="J45" s="95"/>
      <c r="K45" s="119">
        <v>4248.4056195972926</v>
      </c>
      <c r="L45" s="119">
        <v>0</v>
      </c>
      <c r="M45" s="119">
        <v>10589.337183142712</v>
      </c>
      <c r="N45" s="119">
        <v>4435.6876179795563</v>
      </c>
      <c r="O45" s="119">
        <v>3725.5879138851951</v>
      </c>
      <c r="P45" s="119">
        <v>0</v>
      </c>
      <c r="Q45" s="119">
        <v>0</v>
      </c>
      <c r="R45" s="119">
        <v>1527.3180172841805</v>
      </c>
      <c r="S45" s="119">
        <v>284.7929542975873</v>
      </c>
      <c r="T45" s="119">
        <v>8638.4755623685323</v>
      </c>
      <c r="U45" s="119">
        <v>5401.2044658705063</v>
      </c>
      <c r="V45" s="119">
        <v>4459.7739895602353</v>
      </c>
      <c r="W45" s="98">
        <f t="shared" si="25"/>
        <v>43310.583323985797</v>
      </c>
      <c r="X45" s="119">
        <v>2701.274619238684</v>
      </c>
      <c r="Y45" s="119">
        <v>0</v>
      </c>
      <c r="Z45" s="119">
        <v>7855.5340087358318</v>
      </c>
      <c r="AA45" s="119">
        <v>9919.9093794469882</v>
      </c>
      <c r="AB45" s="119">
        <v>0</v>
      </c>
      <c r="AC45" s="119">
        <v>0</v>
      </c>
      <c r="AD45" s="119">
        <v>0</v>
      </c>
      <c r="AE45" s="119">
        <v>0</v>
      </c>
      <c r="AF45" s="119">
        <v>26493.185824766915</v>
      </c>
      <c r="AG45" s="119">
        <v>3575.5411747951443</v>
      </c>
      <c r="AH45" s="119">
        <v>1513.1979049121333</v>
      </c>
      <c r="AI45" s="119">
        <v>13200.631573064498</v>
      </c>
      <c r="AJ45" s="98">
        <f t="shared" si="26"/>
        <v>65259.274484960195</v>
      </c>
      <c r="AK45" s="119">
        <v>7680.3848476510302</v>
      </c>
      <c r="AL45" s="119">
        <v>0</v>
      </c>
      <c r="AM45" s="119">
        <v>4308.2778844383438</v>
      </c>
      <c r="AN45" s="119">
        <v>0</v>
      </c>
      <c r="AO45" s="119">
        <v>20579.428750750023</v>
      </c>
      <c r="AP45" s="119">
        <v>0</v>
      </c>
      <c r="AQ45" s="119">
        <v>27028.92828942274</v>
      </c>
      <c r="AR45" s="119">
        <v>30846.737720302935</v>
      </c>
      <c r="AS45" s="119">
        <v>0</v>
      </c>
      <c r="AT45" s="119">
        <v>1026.5246984889059</v>
      </c>
      <c r="AU45" s="98">
        <f t="shared" si="27"/>
        <v>91470.282191053979</v>
      </c>
      <c r="AV45" s="96">
        <f t="shared" si="28"/>
        <v>106184.11166903061</v>
      </c>
      <c r="AW45" s="95"/>
      <c r="AX45" s="119">
        <v>2843.2799999999997</v>
      </c>
      <c r="AY45" s="119">
        <v>0</v>
      </c>
      <c r="AZ45" s="119">
        <v>7087</v>
      </c>
      <c r="BA45" s="119">
        <v>2968.6199999999994</v>
      </c>
      <c r="BB45" s="119">
        <v>2493.38</v>
      </c>
      <c r="BC45" s="119">
        <v>0</v>
      </c>
      <c r="BD45" s="119">
        <v>0</v>
      </c>
      <c r="BE45" s="119">
        <v>1022.17</v>
      </c>
      <c r="BF45" s="119">
        <v>190.6</v>
      </c>
      <c r="BG45" s="119">
        <v>5781.37</v>
      </c>
      <c r="BH45" s="119">
        <v>3614.7999999999997</v>
      </c>
      <c r="BI45" s="119">
        <v>2984.7400000000002</v>
      </c>
      <c r="BJ45" s="98">
        <f t="shared" si="29"/>
        <v>28985.959999999995</v>
      </c>
      <c r="BK45" s="119">
        <v>1807.85</v>
      </c>
      <c r="BL45" s="119">
        <v>0</v>
      </c>
      <c r="BM45" s="119">
        <v>5257.38</v>
      </c>
      <c r="BN45" s="119">
        <v>6638.98</v>
      </c>
      <c r="BO45" s="119">
        <v>0</v>
      </c>
      <c r="BP45" s="119">
        <v>0</v>
      </c>
      <c r="BQ45" s="119">
        <v>0</v>
      </c>
      <c r="BR45" s="119">
        <v>0</v>
      </c>
      <c r="BS45" s="119">
        <v>17730.78</v>
      </c>
      <c r="BT45" s="119">
        <v>2392.96</v>
      </c>
      <c r="BU45" s="119">
        <v>1012.72</v>
      </c>
      <c r="BV45" s="119">
        <v>8834.6299999999992</v>
      </c>
      <c r="BW45" s="98">
        <f t="shared" si="30"/>
        <v>43675.299999999996</v>
      </c>
      <c r="BX45" s="119">
        <v>5140.16</v>
      </c>
      <c r="BY45" s="119">
        <v>0</v>
      </c>
      <c r="BZ45" s="119">
        <v>2883.3500000000004</v>
      </c>
      <c r="CA45" s="119">
        <v>0</v>
      </c>
      <c r="CB45" s="119">
        <v>13772.949999999999</v>
      </c>
      <c r="CC45" s="119">
        <v>0</v>
      </c>
      <c r="CD45" s="119">
        <v>18089.329999999998</v>
      </c>
      <c r="CE45" s="119">
        <v>20644.43</v>
      </c>
      <c r="CF45" s="119">
        <v>0</v>
      </c>
      <c r="CG45" s="119">
        <v>687.01</v>
      </c>
      <c r="CH45" s="98">
        <f t="shared" si="31"/>
        <v>61217.229999999996</v>
      </c>
      <c r="CI45" s="96">
        <f t="shared" si="32"/>
        <v>71064.58</v>
      </c>
      <c r="CJ45" s="95"/>
      <c r="CK45" s="119">
        <f t="shared" si="59"/>
        <v>1405.1256195972928</v>
      </c>
      <c r="CL45" s="119">
        <f t="shared" si="59"/>
        <v>0</v>
      </c>
      <c r="CM45" s="119">
        <f t="shared" si="59"/>
        <v>3502.3371831427121</v>
      </c>
      <c r="CN45" s="119">
        <f t="shared" si="59"/>
        <v>1467.0676179795569</v>
      </c>
      <c r="CO45" s="119">
        <f t="shared" si="59"/>
        <v>1232.207913885195</v>
      </c>
      <c r="CP45" s="119">
        <f t="shared" si="59"/>
        <v>0</v>
      </c>
      <c r="CQ45" s="119">
        <f t="shared" si="59"/>
        <v>0</v>
      </c>
      <c r="CR45" s="119">
        <f t="shared" si="59"/>
        <v>505.14801728418058</v>
      </c>
      <c r="CS45" s="119">
        <f t="shared" si="59"/>
        <v>94.192954297587306</v>
      </c>
      <c r="CT45" s="119">
        <f t="shared" si="59"/>
        <v>2857.1055623685324</v>
      </c>
      <c r="CU45" s="119">
        <f t="shared" si="59"/>
        <v>1786.4044658705066</v>
      </c>
      <c r="CV45" s="119">
        <f t="shared" si="59"/>
        <v>1475.0339895602351</v>
      </c>
      <c r="CW45" s="98">
        <f t="shared" si="34"/>
        <v>14324.623323985799</v>
      </c>
      <c r="CX45" s="119">
        <f t="shared" si="51"/>
        <v>893.42461923868404</v>
      </c>
      <c r="CY45" s="119">
        <f t="shared" si="51"/>
        <v>0</v>
      </c>
      <c r="CZ45" s="119">
        <f t="shared" si="51"/>
        <v>2598.1540087358317</v>
      </c>
      <c r="DA45" s="119">
        <f t="shared" ref="DA45:DI83" si="61">+AA45-BN45</f>
        <v>3280.9293794469886</v>
      </c>
      <c r="DB45" s="119">
        <f t="shared" si="61"/>
        <v>0</v>
      </c>
      <c r="DC45" s="119">
        <f t="shared" si="61"/>
        <v>0</v>
      </c>
      <c r="DD45" s="119">
        <f t="shared" si="61"/>
        <v>0</v>
      </c>
      <c r="DE45" s="119">
        <f t="shared" si="61"/>
        <v>0</v>
      </c>
      <c r="DF45" s="119">
        <f t="shared" si="61"/>
        <v>8762.4058247669163</v>
      </c>
      <c r="DG45" s="119">
        <f t="shared" si="61"/>
        <v>1182.5811747951443</v>
      </c>
      <c r="DH45" s="119">
        <f t="shared" si="61"/>
        <v>500.47790491213323</v>
      </c>
      <c r="DI45" s="119">
        <f t="shared" si="61"/>
        <v>4366.0015730644991</v>
      </c>
      <c r="DJ45" s="98">
        <f t="shared" si="35"/>
        <v>21583.974484960196</v>
      </c>
      <c r="DK45" s="119">
        <f t="shared" si="52"/>
        <v>2540.2248476510304</v>
      </c>
      <c r="DL45" s="119">
        <f t="shared" si="52"/>
        <v>0</v>
      </c>
      <c r="DM45" s="119">
        <f t="shared" si="52"/>
        <v>1424.9278844383434</v>
      </c>
      <c r="DN45" s="119">
        <f t="shared" si="52"/>
        <v>0</v>
      </c>
      <c r="DO45" s="119">
        <f t="shared" si="52"/>
        <v>6806.4787507500241</v>
      </c>
      <c r="DP45" s="119">
        <f t="shared" si="52"/>
        <v>0</v>
      </c>
      <c r="DQ45" s="119">
        <f t="shared" si="52"/>
        <v>8939.5982894227418</v>
      </c>
      <c r="DR45" s="119">
        <f t="shared" si="52"/>
        <v>10202.307720302935</v>
      </c>
      <c r="DS45" s="119">
        <f t="shared" si="52"/>
        <v>0</v>
      </c>
      <c r="DT45" s="119">
        <f t="shared" si="52"/>
        <v>339.51469848890588</v>
      </c>
      <c r="DU45" s="98">
        <f t="shared" si="36"/>
        <v>30253.052191053983</v>
      </c>
      <c r="DV45" s="96">
        <f t="shared" si="37"/>
        <v>35119.531669030614</v>
      </c>
      <c r="DW45" s="95"/>
      <c r="DX45" s="162">
        <f t="shared" si="57"/>
        <v>0.33074187010666956</v>
      </c>
      <c r="DY45" s="162">
        <f t="shared" si="57"/>
        <v>0</v>
      </c>
      <c r="DZ45" s="162">
        <f t="shared" si="57"/>
        <v>0.3307418701066695</v>
      </c>
      <c r="EA45" s="162">
        <f t="shared" si="57"/>
        <v>0.33074187010666956</v>
      </c>
      <c r="EB45" s="162">
        <f t="shared" si="57"/>
        <v>0.3307418701066695</v>
      </c>
      <c r="EC45" s="162">
        <f t="shared" si="57"/>
        <v>0</v>
      </c>
      <c r="ED45" s="162">
        <f t="shared" si="57"/>
        <v>0</v>
      </c>
      <c r="EE45" s="162">
        <f t="shared" si="57"/>
        <v>0.33074187010666961</v>
      </c>
      <c r="EF45" s="162">
        <f t="shared" si="57"/>
        <v>0.33074187010666961</v>
      </c>
      <c r="EG45" s="162">
        <f t="shared" si="55"/>
        <v>0.33074187010666956</v>
      </c>
      <c r="EH45" s="162">
        <f t="shared" si="55"/>
        <v>0.33074187010666956</v>
      </c>
      <c r="EI45" s="162">
        <f t="shared" si="55"/>
        <v>0.33074187010666961</v>
      </c>
      <c r="EJ45" s="163">
        <f t="shared" si="55"/>
        <v>0.33074187010666956</v>
      </c>
      <c r="EK45" s="162">
        <f t="shared" si="55"/>
        <v>0.33074187010666956</v>
      </c>
      <c r="EL45" s="162">
        <f t="shared" si="55"/>
        <v>0</v>
      </c>
      <c r="EM45" s="162">
        <f t="shared" si="55"/>
        <v>0.33074187010666956</v>
      </c>
      <c r="EN45" s="162">
        <f t="shared" si="55"/>
        <v>0.33074187010666956</v>
      </c>
      <c r="EO45" s="162">
        <f t="shared" si="55"/>
        <v>0</v>
      </c>
      <c r="EP45" s="162">
        <f t="shared" si="55"/>
        <v>0</v>
      </c>
      <c r="EQ45" s="162">
        <f t="shared" si="55"/>
        <v>0</v>
      </c>
      <c r="ER45" s="162">
        <f t="shared" si="55"/>
        <v>0</v>
      </c>
      <c r="ES45" s="162">
        <f t="shared" si="55"/>
        <v>0.3307418701066695</v>
      </c>
      <c r="ET45" s="162">
        <f t="shared" si="55"/>
        <v>0.33074187010666956</v>
      </c>
      <c r="EU45" s="162">
        <f t="shared" si="55"/>
        <v>0.3307418701066695</v>
      </c>
      <c r="EV45" s="162">
        <f t="shared" si="55"/>
        <v>0.33074187010666956</v>
      </c>
      <c r="EW45" s="163">
        <f t="shared" si="58"/>
        <v>0.3307418701066695</v>
      </c>
      <c r="EX45" s="162">
        <f t="shared" si="58"/>
        <v>0.33074187010666961</v>
      </c>
      <c r="EY45" s="162">
        <f t="shared" si="58"/>
        <v>0</v>
      </c>
      <c r="EZ45" s="162">
        <f t="shared" si="58"/>
        <v>0.33074187010666944</v>
      </c>
      <c r="FA45" s="162">
        <f t="shared" si="58"/>
        <v>0</v>
      </c>
      <c r="FB45" s="162">
        <f t="shared" si="58"/>
        <v>0.3307418701066695</v>
      </c>
      <c r="FC45" s="162">
        <f t="shared" si="56"/>
        <v>0</v>
      </c>
      <c r="FD45" s="162">
        <f t="shared" si="50"/>
        <v>0.33074187010666956</v>
      </c>
      <c r="FE45" s="162">
        <f t="shared" si="50"/>
        <v>0.3307418701066695</v>
      </c>
      <c r="FF45" s="162">
        <f t="shared" si="48"/>
        <v>0</v>
      </c>
      <c r="FG45" s="162">
        <f t="shared" si="48"/>
        <v>0.33074187010666961</v>
      </c>
      <c r="FH45" s="163">
        <f t="shared" si="48"/>
        <v>0.33074187010666956</v>
      </c>
      <c r="FI45" s="164">
        <f t="shared" si="48"/>
        <v>0.33074187010666956</v>
      </c>
      <c r="FJ45" s="95"/>
      <c r="FK45" s="119">
        <v>0</v>
      </c>
      <c r="FL45" s="119">
        <v>0</v>
      </c>
      <c r="FM45" s="119">
        <v>0</v>
      </c>
      <c r="FN45" s="119">
        <v>0</v>
      </c>
      <c r="FO45" s="119">
        <v>4689.05</v>
      </c>
      <c r="FP45" s="119">
        <v>0</v>
      </c>
      <c r="FQ45" s="119">
        <v>0</v>
      </c>
      <c r="FR45" s="119">
        <v>0</v>
      </c>
      <c r="FS45" s="119">
        <v>85969.919999999998</v>
      </c>
      <c r="FT45" s="119">
        <v>0</v>
      </c>
      <c r="FU45" s="119">
        <v>0</v>
      </c>
      <c r="FV45" s="119">
        <v>0</v>
      </c>
      <c r="FW45" s="98">
        <f t="shared" si="39"/>
        <v>90658.97</v>
      </c>
      <c r="FX45" s="119">
        <v>0</v>
      </c>
      <c r="FY45" s="119">
        <v>23847.07</v>
      </c>
      <c r="FZ45" s="119">
        <v>0</v>
      </c>
      <c r="GA45" s="119">
        <v>0</v>
      </c>
      <c r="GB45" s="119">
        <v>0</v>
      </c>
      <c r="GC45" s="119">
        <v>0</v>
      </c>
      <c r="GD45" s="119">
        <v>0</v>
      </c>
      <c r="GE45" s="119">
        <v>0</v>
      </c>
      <c r="GF45" s="119">
        <v>0</v>
      </c>
      <c r="GG45" s="119">
        <v>0</v>
      </c>
      <c r="GH45" s="119">
        <v>0</v>
      </c>
      <c r="GI45" s="119">
        <v>0</v>
      </c>
      <c r="GJ45" s="98">
        <f t="shared" si="40"/>
        <v>23847.07</v>
      </c>
      <c r="GK45" s="119">
        <v>0</v>
      </c>
      <c r="GL45" s="119">
        <v>0</v>
      </c>
      <c r="GM45" s="119">
        <v>0</v>
      </c>
      <c r="GN45" s="119">
        <v>0</v>
      </c>
      <c r="GO45" s="119">
        <v>0</v>
      </c>
      <c r="GP45" s="119">
        <v>85534.1</v>
      </c>
      <c r="GQ45" s="119">
        <v>0</v>
      </c>
      <c r="GR45" s="119">
        <v>0</v>
      </c>
      <c r="GS45" s="119">
        <v>0</v>
      </c>
      <c r="GT45" s="119">
        <v>0</v>
      </c>
      <c r="GU45" s="98">
        <f t="shared" si="41"/>
        <v>85534.1</v>
      </c>
      <c r="GV45" s="96">
        <f t="shared" si="42"/>
        <v>85534.1</v>
      </c>
      <c r="GW45" s="95"/>
      <c r="GX45" s="119">
        <f t="shared" si="60"/>
        <v>4248.4056195972926</v>
      </c>
      <c r="GY45" s="119">
        <f t="shared" si="60"/>
        <v>0</v>
      </c>
      <c r="GZ45" s="119">
        <f t="shared" si="60"/>
        <v>10589.337183142712</v>
      </c>
      <c r="HA45" s="119">
        <f t="shared" si="60"/>
        <v>4435.6876179795563</v>
      </c>
      <c r="HB45" s="119">
        <f t="shared" si="60"/>
        <v>-963.46208611480506</v>
      </c>
      <c r="HC45" s="119">
        <f t="shared" si="60"/>
        <v>0</v>
      </c>
      <c r="HD45" s="119">
        <f t="shared" si="60"/>
        <v>0</v>
      </c>
      <c r="HE45" s="119">
        <f t="shared" si="60"/>
        <v>1527.3180172841805</v>
      </c>
      <c r="HF45" s="119">
        <f t="shared" si="60"/>
        <v>-85685.127045702407</v>
      </c>
      <c r="HG45" s="119">
        <f t="shared" si="60"/>
        <v>8638.4755623685323</v>
      </c>
      <c r="HH45" s="119">
        <f t="shared" si="60"/>
        <v>5401.2044658705063</v>
      </c>
      <c r="HI45" s="119">
        <f t="shared" si="60"/>
        <v>4459.7739895602353</v>
      </c>
      <c r="HJ45" s="98">
        <f t="shared" si="44"/>
        <v>-47348.386676014197</v>
      </c>
      <c r="HK45" s="119">
        <f t="shared" si="53"/>
        <v>2701.274619238684</v>
      </c>
      <c r="HL45" s="119">
        <f t="shared" si="53"/>
        <v>-23847.07</v>
      </c>
      <c r="HM45" s="119">
        <f t="shared" si="53"/>
        <v>7855.5340087358318</v>
      </c>
      <c r="HN45" s="119">
        <f t="shared" ref="HN45:HV83" si="62">+AA45-GA45</f>
        <v>9919.9093794469882</v>
      </c>
      <c r="HO45" s="119">
        <f t="shared" si="62"/>
        <v>0</v>
      </c>
      <c r="HP45" s="119">
        <f t="shared" si="62"/>
        <v>0</v>
      </c>
      <c r="HQ45" s="119">
        <f t="shared" si="62"/>
        <v>0</v>
      </c>
      <c r="HR45" s="119">
        <f t="shared" si="62"/>
        <v>0</v>
      </c>
      <c r="HS45" s="119">
        <f t="shared" si="62"/>
        <v>26493.185824766915</v>
      </c>
      <c r="HT45" s="119">
        <f t="shared" si="62"/>
        <v>3575.5411747951443</v>
      </c>
      <c r="HU45" s="119">
        <f t="shared" si="62"/>
        <v>1513.1979049121333</v>
      </c>
      <c r="HV45" s="119">
        <f t="shared" si="62"/>
        <v>13200.631573064498</v>
      </c>
      <c r="HW45" s="98">
        <f t="shared" si="45"/>
        <v>41412.204484960195</v>
      </c>
      <c r="HX45" s="119">
        <f t="shared" si="54"/>
        <v>7680.3848476510302</v>
      </c>
      <c r="HY45" s="119">
        <f t="shared" si="54"/>
        <v>0</v>
      </c>
      <c r="HZ45" s="119">
        <f t="shared" si="54"/>
        <v>4308.2778844383438</v>
      </c>
      <c r="IA45" s="119">
        <f t="shared" si="54"/>
        <v>0</v>
      </c>
      <c r="IB45" s="119">
        <f t="shared" si="54"/>
        <v>20579.428750750023</v>
      </c>
      <c r="IC45" s="119">
        <f t="shared" si="54"/>
        <v>-85534.1</v>
      </c>
      <c r="ID45" s="119">
        <f t="shared" si="54"/>
        <v>27028.92828942274</v>
      </c>
      <c r="IE45" s="119">
        <f t="shared" si="54"/>
        <v>30846.737720302935</v>
      </c>
      <c r="IF45" s="119">
        <f t="shared" si="54"/>
        <v>0</v>
      </c>
      <c r="IG45" s="119">
        <f t="shared" si="54"/>
        <v>1026.5246984889059</v>
      </c>
      <c r="IH45" s="98">
        <f t="shared" si="46"/>
        <v>5936.1821910539766</v>
      </c>
      <c r="II45" s="96">
        <f t="shared" si="47"/>
        <v>20650.011669030609</v>
      </c>
    </row>
    <row r="46" spans="2:243" x14ac:dyDescent="0.2">
      <c r="B46" s="101" t="s">
        <v>349</v>
      </c>
      <c r="C46" s="89" t="s">
        <v>350</v>
      </c>
      <c r="D46" s="89" t="str">
        <f>_xlfn.IFNA(INDEX('4. WIP Report (Oct-25)'!D:D,MATCH('7. POC Lookback Summary'!$B46,'4. WIP Report (Oct-25)'!$B:$B,0)),INDEX('5. Completed Jobs'!D:D,MATCH('7. POC Lookback Summary'!$B46,'5. Completed Jobs'!$B:$B,0)))</f>
        <v>Property Management Services</v>
      </c>
      <c r="E46" s="89" t="str">
        <f>_xlfn.IFNA(INDEX('4. WIP Report (Oct-25)'!E:E,MATCH('7. POC Lookback Summary'!$B46,'4. WIP Report (Oct-25)'!$B:$B,0)),INDEX('5. Completed Jobs'!E:E,MATCH('7. POC Lookback Summary'!$B46,'5. Completed Jobs'!$B:$B,0)))</f>
        <v>Sprinkler Installation</v>
      </c>
      <c r="F46" s="89" t="str">
        <f>_xlfn.IFNA(INDEX('4. WIP Report (Oct-25)'!F:F,MATCH('7. POC Lookback Summary'!$B46,'4. WIP Report (Oct-25)'!$B:$B,0)),INDEX('5. Completed Jobs'!F:F,MATCH('7. POC Lookback Summary'!$B46,'5. Completed Jobs'!$B:$B,0)))</f>
        <v>Commercial</v>
      </c>
      <c r="G46" s="89" t="str">
        <f>_xlfn.IFNA(INDEX('4. WIP Report (Oct-25)'!G:G,MATCH('7. POC Lookback Summary'!$B46,'4. WIP Report (Oct-25)'!$B:$B,0)),INDEX('5. Completed Jobs'!G:G,MATCH('7. POC Lookback Summary'!$B46,'5. Completed Jobs'!$B:$B,0)))</f>
        <v>Property Management Company</v>
      </c>
      <c r="H46" s="89" t="str">
        <f>_xlfn.IFNA(INDEX('4. WIP Report (Oct-25)'!H:H,MATCH('7. POC Lookback Summary'!$B46,'4. WIP Report (Oct-25)'!$B:$B,0)),INDEX('5. Completed Jobs'!H:H,MATCH('7. POC Lookback Summary'!$B46,'5. Completed Jobs'!$B:$B,0)))</f>
        <v>New Construction</v>
      </c>
      <c r="J46" s="95"/>
      <c r="K46" s="119">
        <v>4707.4301352450148</v>
      </c>
      <c r="L46" s="119">
        <v>275.02201413269961</v>
      </c>
      <c r="M46" s="119">
        <v>675.91830632884853</v>
      </c>
      <c r="N46" s="119">
        <v>0</v>
      </c>
      <c r="O46" s="119">
        <v>0</v>
      </c>
      <c r="P46" s="119">
        <v>724.38089140743716</v>
      </c>
      <c r="Q46" s="119">
        <v>0</v>
      </c>
      <c r="R46" s="119">
        <v>10494.682853681814</v>
      </c>
      <c r="S46" s="119">
        <v>170.08835925135639</v>
      </c>
      <c r="T46" s="119">
        <v>673.72269708301826</v>
      </c>
      <c r="U46" s="119">
        <v>0</v>
      </c>
      <c r="V46" s="119">
        <v>1265.280207163953</v>
      </c>
      <c r="W46" s="98">
        <f t="shared" si="25"/>
        <v>18986.525464294144</v>
      </c>
      <c r="X46" s="119">
        <v>0</v>
      </c>
      <c r="Y46" s="119">
        <v>2932.208702690752</v>
      </c>
      <c r="Z46" s="119">
        <v>5221.7900242425567</v>
      </c>
      <c r="AA46" s="119">
        <v>310.53050466088962</v>
      </c>
      <c r="AB46" s="119">
        <v>0</v>
      </c>
      <c r="AC46" s="119">
        <v>9556.724072886238</v>
      </c>
      <c r="AD46" s="119">
        <v>20410.872072295384</v>
      </c>
      <c r="AE46" s="119">
        <v>7655.0135916796944</v>
      </c>
      <c r="AF46" s="119">
        <v>7075.60877877443</v>
      </c>
      <c r="AG46" s="119">
        <v>557.39383021581602</v>
      </c>
      <c r="AH46" s="119">
        <v>0</v>
      </c>
      <c r="AI46" s="119">
        <v>0</v>
      </c>
      <c r="AJ46" s="98">
        <f t="shared" si="26"/>
        <v>53720.141577445756</v>
      </c>
      <c r="AK46" s="119">
        <v>0</v>
      </c>
      <c r="AL46" s="119">
        <v>642.63287016206164</v>
      </c>
      <c r="AM46" s="119">
        <v>1285.6335048727997</v>
      </c>
      <c r="AN46" s="119">
        <v>820.34548251956369</v>
      </c>
      <c r="AO46" s="119">
        <v>6345.7333752293016</v>
      </c>
      <c r="AP46" s="119">
        <v>0</v>
      </c>
      <c r="AQ46" s="119">
        <v>1139.2577254764103</v>
      </c>
      <c r="AR46" s="119">
        <v>0</v>
      </c>
      <c r="AS46" s="119">
        <v>0</v>
      </c>
      <c r="AT46" s="119">
        <v>0</v>
      </c>
      <c r="AU46" s="98">
        <f t="shared" si="27"/>
        <v>10233.602958260137</v>
      </c>
      <c r="AV46" s="96">
        <f t="shared" si="28"/>
        <v>10233.602958260137</v>
      </c>
      <c r="AW46" s="95"/>
      <c r="AX46" s="119">
        <v>8576.08</v>
      </c>
      <c r="AY46" s="119">
        <v>501.04</v>
      </c>
      <c r="AZ46" s="119">
        <v>1231.4000000000001</v>
      </c>
      <c r="BA46" s="119">
        <v>0</v>
      </c>
      <c r="BB46" s="119">
        <v>0</v>
      </c>
      <c r="BC46" s="119">
        <v>1319.69</v>
      </c>
      <c r="BD46" s="119">
        <v>0</v>
      </c>
      <c r="BE46" s="119">
        <v>19119.400000000001</v>
      </c>
      <c r="BF46" s="119">
        <v>309.87</v>
      </c>
      <c r="BG46" s="119">
        <v>1227.4000000000001</v>
      </c>
      <c r="BH46" s="119">
        <v>0</v>
      </c>
      <c r="BI46" s="119">
        <v>2305.1099999999997</v>
      </c>
      <c r="BJ46" s="98">
        <f t="shared" si="29"/>
        <v>34589.99</v>
      </c>
      <c r="BK46" s="119">
        <v>0</v>
      </c>
      <c r="BL46" s="119">
        <v>5341.95</v>
      </c>
      <c r="BM46" s="119">
        <v>9513.15</v>
      </c>
      <c r="BN46" s="119">
        <v>565.73</v>
      </c>
      <c r="BO46" s="119">
        <v>0</v>
      </c>
      <c r="BP46" s="119">
        <v>17410.61</v>
      </c>
      <c r="BQ46" s="119">
        <v>37184.89</v>
      </c>
      <c r="BR46" s="119">
        <v>13946.04</v>
      </c>
      <c r="BS46" s="119">
        <v>12890.470000000001</v>
      </c>
      <c r="BT46" s="119">
        <v>1015.47</v>
      </c>
      <c r="BU46" s="119">
        <v>0</v>
      </c>
      <c r="BV46" s="119">
        <v>0</v>
      </c>
      <c r="BW46" s="98">
        <f t="shared" si="30"/>
        <v>97868.31</v>
      </c>
      <c r="BX46" s="119">
        <v>0</v>
      </c>
      <c r="BY46" s="119">
        <v>1170.76</v>
      </c>
      <c r="BZ46" s="119">
        <v>2342.19</v>
      </c>
      <c r="CA46" s="119">
        <v>1494.52</v>
      </c>
      <c r="CB46" s="119">
        <v>11560.769999999999</v>
      </c>
      <c r="CC46" s="119">
        <v>0</v>
      </c>
      <c r="CD46" s="119">
        <v>2075.52</v>
      </c>
      <c r="CE46" s="119">
        <v>0</v>
      </c>
      <c r="CF46" s="119">
        <v>0</v>
      </c>
      <c r="CG46" s="119">
        <v>0</v>
      </c>
      <c r="CH46" s="98">
        <f t="shared" si="31"/>
        <v>18643.759999999998</v>
      </c>
      <c r="CI46" s="96">
        <f t="shared" si="32"/>
        <v>18643.759999999998</v>
      </c>
      <c r="CJ46" s="95"/>
      <c r="CK46" s="119">
        <f t="shared" si="59"/>
        <v>-3868.6498647549852</v>
      </c>
      <c r="CL46" s="119">
        <f t="shared" si="59"/>
        <v>-226.01798586730041</v>
      </c>
      <c r="CM46" s="119">
        <f t="shared" si="59"/>
        <v>-555.48169367115156</v>
      </c>
      <c r="CN46" s="119">
        <f t="shared" si="59"/>
        <v>0</v>
      </c>
      <c r="CO46" s="119">
        <f t="shared" si="59"/>
        <v>0</v>
      </c>
      <c r="CP46" s="119">
        <f t="shared" si="59"/>
        <v>-595.30910859256289</v>
      </c>
      <c r="CQ46" s="119">
        <f t="shared" si="59"/>
        <v>0</v>
      </c>
      <c r="CR46" s="119">
        <f t="shared" si="59"/>
        <v>-8624.7171463181876</v>
      </c>
      <c r="CS46" s="119">
        <f t="shared" si="59"/>
        <v>-139.78164074864361</v>
      </c>
      <c r="CT46" s="119">
        <f t="shared" si="59"/>
        <v>-553.67730291698183</v>
      </c>
      <c r="CU46" s="119">
        <f t="shared" si="59"/>
        <v>0</v>
      </c>
      <c r="CV46" s="119">
        <f t="shared" si="59"/>
        <v>-1039.8297928360466</v>
      </c>
      <c r="CW46" s="98">
        <f t="shared" si="34"/>
        <v>-15603.46453570586</v>
      </c>
      <c r="CX46" s="119">
        <f t="shared" ref="CX46:CZ84" si="63">+X46-BK46</f>
        <v>0</v>
      </c>
      <c r="CY46" s="119">
        <f t="shared" si="63"/>
        <v>-2409.7412973092478</v>
      </c>
      <c r="CZ46" s="119">
        <f t="shared" si="63"/>
        <v>-4291.359975757443</v>
      </c>
      <c r="DA46" s="119">
        <f t="shared" si="61"/>
        <v>-255.1994953391104</v>
      </c>
      <c r="DB46" s="119">
        <f t="shared" si="61"/>
        <v>0</v>
      </c>
      <c r="DC46" s="119">
        <f t="shared" si="61"/>
        <v>-7853.8859271137626</v>
      </c>
      <c r="DD46" s="119">
        <f t="shared" si="61"/>
        <v>-16774.017927704615</v>
      </c>
      <c r="DE46" s="119">
        <f t="shared" si="61"/>
        <v>-6291.0264083203065</v>
      </c>
      <c r="DF46" s="119">
        <f t="shared" si="61"/>
        <v>-5814.8612212255712</v>
      </c>
      <c r="DG46" s="119">
        <f t="shared" si="61"/>
        <v>-458.076169784184</v>
      </c>
      <c r="DH46" s="119">
        <f t="shared" si="61"/>
        <v>0</v>
      </c>
      <c r="DI46" s="119">
        <f t="shared" si="61"/>
        <v>0</v>
      </c>
      <c r="DJ46" s="98">
        <f t="shared" si="35"/>
        <v>-44148.168422554234</v>
      </c>
      <c r="DK46" s="119">
        <f t="shared" si="52"/>
        <v>0</v>
      </c>
      <c r="DL46" s="119">
        <f t="shared" si="52"/>
        <v>-528.12712983793836</v>
      </c>
      <c r="DM46" s="119">
        <f t="shared" si="52"/>
        <v>-1056.5564951272004</v>
      </c>
      <c r="DN46" s="119">
        <f t="shared" si="52"/>
        <v>-674.17451748043629</v>
      </c>
      <c r="DO46" s="119">
        <f t="shared" si="52"/>
        <v>-5215.036624770697</v>
      </c>
      <c r="DP46" s="119">
        <f t="shared" si="52"/>
        <v>0</v>
      </c>
      <c r="DQ46" s="119">
        <f t="shared" si="52"/>
        <v>-936.26227452358967</v>
      </c>
      <c r="DR46" s="119">
        <f t="shared" si="52"/>
        <v>0</v>
      </c>
      <c r="DS46" s="119">
        <f t="shared" si="52"/>
        <v>0</v>
      </c>
      <c r="DT46" s="119">
        <f t="shared" si="52"/>
        <v>0</v>
      </c>
      <c r="DU46" s="98">
        <f t="shared" si="36"/>
        <v>-8410.1570417398616</v>
      </c>
      <c r="DV46" s="96">
        <f t="shared" si="37"/>
        <v>-8410.1570417398616</v>
      </c>
      <c r="DW46" s="95"/>
      <c r="DX46" s="162">
        <f t="shared" si="57"/>
        <v>-0.82181779731365634</v>
      </c>
      <c r="DY46" s="162">
        <f t="shared" si="57"/>
        <v>-0.82181779731365612</v>
      </c>
      <c r="DZ46" s="162">
        <f t="shared" si="57"/>
        <v>-0.82181779731365645</v>
      </c>
      <c r="EA46" s="162">
        <f t="shared" si="57"/>
        <v>0</v>
      </c>
      <c r="EB46" s="162">
        <f t="shared" si="57"/>
        <v>0</v>
      </c>
      <c r="EC46" s="162">
        <f t="shared" si="57"/>
        <v>-0.82181779731365634</v>
      </c>
      <c r="ED46" s="162">
        <f t="shared" si="57"/>
        <v>0</v>
      </c>
      <c r="EE46" s="162">
        <f t="shared" si="57"/>
        <v>-0.82181779731365656</v>
      </c>
      <c r="EF46" s="162">
        <f t="shared" si="57"/>
        <v>-0.82181779731365656</v>
      </c>
      <c r="EG46" s="162">
        <f t="shared" si="55"/>
        <v>-0.82181779731365645</v>
      </c>
      <c r="EH46" s="162">
        <f t="shared" si="55"/>
        <v>0</v>
      </c>
      <c r="EI46" s="162">
        <f t="shared" si="55"/>
        <v>-0.82181779731365634</v>
      </c>
      <c r="EJ46" s="163">
        <f t="shared" si="55"/>
        <v>-0.82181779731365634</v>
      </c>
      <c r="EK46" s="162">
        <f t="shared" si="55"/>
        <v>0</v>
      </c>
      <c r="EL46" s="162">
        <f t="shared" si="55"/>
        <v>-0.82181779731365634</v>
      </c>
      <c r="EM46" s="162">
        <f t="shared" si="55"/>
        <v>-0.82181779731365656</v>
      </c>
      <c r="EN46" s="162">
        <f t="shared" si="55"/>
        <v>-0.82181779731365634</v>
      </c>
      <c r="EO46" s="162">
        <f t="shared" ref="EO46:EV85" si="64">IFERROR(DB46/AB46,0)</f>
        <v>0</v>
      </c>
      <c r="EP46" s="162">
        <f t="shared" si="64"/>
        <v>-0.82181779731365634</v>
      </c>
      <c r="EQ46" s="162">
        <f t="shared" si="64"/>
        <v>-0.82181779731365623</v>
      </c>
      <c r="ER46" s="162">
        <f t="shared" si="64"/>
        <v>-0.82181779731365623</v>
      </c>
      <c r="ES46" s="162">
        <f t="shared" si="64"/>
        <v>-0.82181779731365623</v>
      </c>
      <c r="ET46" s="162">
        <f t="shared" si="64"/>
        <v>-0.82181779731365623</v>
      </c>
      <c r="EU46" s="162">
        <f t="shared" si="64"/>
        <v>0</v>
      </c>
      <c r="EV46" s="162">
        <f t="shared" si="64"/>
        <v>0</v>
      </c>
      <c r="EW46" s="163">
        <f t="shared" si="58"/>
        <v>-0.82181779731365623</v>
      </c>
      <c r="EX46" s="162">
        <f t="shared" si="58"/>
        <v>0</v>
      </c>
      <c r="EY46" s="162">
        <f t="shared" si="58"/>
        <v>-0.82181779731365623</v>
      </c>
      <c r="EZ46" s="162">
        <f t="shared" si="58"/>
        <v>-0.82181779731365656</v>
      </c>
      <c r="FA46" s="162">
        <f t="shared" si="58"/>
        <v>-0.82181779731365623</v>
      </c>
      <c r="FB46" s="162">
        <f t="shared" si="58"/>
        <v>-0.82181779731365612</v>
      </c>
      <c r="FC46" s="162">
        <f t="shared" si="56"/>
        <v>0</v>
      </c>
      <c r="FD46" s="162">
        <f t="shared" si="50"/>
        <v>-0.82181779731365634</v>
      </c>
      <c r="FE46" s="162">
        <f t="shared" si="50"/>
        <v>0</v>
      </c>
      <c r="FF46" s="162">
        <f t="shared" si="48"/>
        <v>0</v>
      </c>
      <c r="FG46" s="162">
        <f t="shared" si="48"/>
        <v>0</v>
      </c>
      <c r="FH46" s="163">
        <f t="shared" si="48"/>
        <v>-0.82181779731365623</v>
      </c>
      <c r="FI46" s="164">
        <f t="shared" si="48"/>
        <v>-0.82181779731365623</v>
      </c>
      <c r="FJ46" s="95"/>
      <c r="FK46" s="119">
        <v>0</v>
      </c>
      <c r="FL46" s="119">
        <v>0</v>
      </c>
      <c r="FM46" s="119">
        <v>0</v>
      </c>
      <c r="FN46" s="119">
        <v>0</v>
      </c>
      <c r="FO46" s="119">
        <v>0</v>
      </c>
      <c r="FP46" s="119">
        <v>0</v>
      </c>
      <c r="FQ46" s="119">
        <v>0</v>
      </c>
      <c r="FR46" s="119">
        <v>0</v>
      </c>
      <c r="FS46" s="119">
        <v>0</v>
      </c>
      <c r="FT46" s="119">
        <v>0</v>
      </c>
      <c r="FU46" s="119">
        <v>0</v>
      </c>
      <c r="FV46" s="119">
        <v>0</v>
      </c>
      <c r="FW46" s="98">
        <f t="shared" si="39"/>
        <v>0</v>
      </c>
      <c r="FX46" s="119">
        <v>0</v>
      </c>
      <c r="FY46" s="119">
        <v>0</v>
      </c>
      <c r="FZ46" s="119">
        <v>0</v>
      </c>
      <c r="GA46" s="119">
        <v>0</v>
      </c>
      <c r="GB46" s="119">
        <v>0</v>
      </c>
      <c r="GC46" s="119">
        <v>0</v>
      </c>
      <c r="GD46" s="119">
        <v>0</v>
      </c>
      <c r="GE46" s="119">
        <v>0</v>
      </c>
      <c r="GF46" s="119">
        <v>0</v>
      </c>
      <c r="GG46" s="119">
        <v>0</v>
      </c>
      <c r="GH46" s="119">
        <v>0</v>
      </c>
      <c r="GI46" s="119">
        <v>52891.23</v>
      </c>
      <c r="GJ46" s="98">
        <f t="shared" si="40"/>
        <v>52891.23</v>
      </c>
      <c r="GK46" s="119">
        <v>0</v>
      </c>
      <c r="GL46" s="119">
        <v>0</v>
      </c>
      <c r="GM46" s="119">
        <v>0</v>
      </c>
      <c r="GN46" s="119">
        <v>0</v>
      </c>
      <c r="GO46" s="119">
        <v>0</v>
      </c>
      <c r="GP46" s="119">
        <v>0</v>
      </c>
      <c r="GQ46" s="119">
        <v>0</v>
      </c>
      <c r="GR46" s="119">
        <v>30049.040000000001</v>
      </c>
      <c r="GS46" s="119">
        <v>0</v>
      </c>
      <c r="GT46" s="119">
        <v>0</v>
      </c>
      <c r="GU46" s="98">
        <f t="shared" si="41"/>
        <v>30049.040000000001</v>
      </c>
      <c r="GV46" s="96">
        <f t="shared" si="42"/>
        <v>82940.27</v>
      </c>
      <c r="GW46" s="95"/>
      <c r="GX46" s="119">
        <f t="shared" si="60"/>
        <v>4707.4301352450148</v>
      </c>
      <c r="GY46" s="119">
        <f t="shared" si="60"/>
        <v>275.02201413269961</v>
      </c>
      <c r="GZ46" s="119">
        <f t="shared" si="60"/>
        <v>675.91830632884853</v>
      </c>
      <c r="HA46" s="119">
        <f t="shared" si="60"/>
        <v>0</v>
      </c>
      <c r="HB46" s="119">
        <f t="shared" si="60"/>
        <v>0</v>
      </c>
      <c r="HC46" s="119">
        <f t="shared" si="60"/>
        <v>724.38089140743716</v>
      </c>
      <c r="HD46" s="119">
        <f t="shared" si="60"/>
        <v>0</v>
      </c>
      <c r="HE46" s="119">
        <f t="shared" si="60"/>
        <v>10494.682853681814</v>
      </c>
      <c r="HF46" s="119">
        <f t="shared" si="60"/>
        <v>170.08835925135639</v>
      </c>
      <c r="HG46" s="119">
        <f t="shared" si="60"/>
        <v>673.72269708301826</v>
      </c>
      <c r="HH46" s="119">
        <f t="shared" si="60"/>
        <v>0</v>
      </c>
      <c r="HI46" s="119">
        <f t="shared" si="60"/>
        <v>1265.280207163953</v>
      </c>
      <c r="HJ46" s="98">
        <f t="shared" si="44"/>
        <v>18986.525464294144</v>
      </c>
      <c r="HK46" s="119">
        <f t="shared" ref="HK46:HM84" si="65">+X46-FX46</f>
        <v>0</v>
      </c>
      <c r="HL46" s="119">
        <f t="shared" si="65"/>
        <v>2932.208702690752</v>
      </c>
      <c r="HM46" s="119">
        <f t="shared" si="65"/>
        <v>5221.7900242425567</v>
      </c>
      <c r="HN46" s="119">
        <f t="shared" si="62"/>
        <v>310.53050466088962</v>
      </c>
      <c r="HO46" s="119">
        <f t="shared" si="62"/>
        <v>0</v>
      </c>
      <c r="HP46" s="119">
        <f t="shared" si="62"/>
        <v>9556.724072886238</v>
      </c>
      <c r="HQ46" s="119">
        <f t="shared" si="62"/>
        <v>20410.872072295384</v>
      </c>
      <c r="HR46" s="119">
        <f t="shared" si="62"/>
        <v>7655.0135916796944</v>
      </c>
      <c r="HS46" s="119">
        <f t="shared" si="62"/>
        <v>7075.60877877443</v>
      </c>
      <c r="HT46" s="119">
        <f t="shared" si="62"/>
        <v>557.39383021581602</v>
      </c>
      <c r="HU46" s="119">
        <f t="shared" si="62"/>
        <v>0</v>
      </c>
      <c r="HV46" s="119">
        <f t="shared" si="62"/>
        <v>-52891.23</v>
      </c>
      <c r="HW46" s="98">
        <f t="shared" si="45"/>
        <v>828.91157744575321</v>
      </c>
      <c r="HX46" s="119">
        <f t="shared" si="54"/>
        <v>0</v>
      </c>
      <c r="HY46" s="119">
        <f t="shared" si="54"/>
        <v>642.63287016206164</v>
      </c>
      <c r="HZ46" s="119">
        <f t="shared" si="54"/>
        <v>1285.6335048727997</v>
      </c>
      <c r="IA46" s="119">
        <f t="shared" si="54"/>
        <v>820.34548251956369</v>
      </c>
      <c r="IB46" s="119">
        <f t="shared" si="54"/>
        <v>6345.7333752293016</v>
      </c>
      <c r="IC46" s="119">
        <f t="shared" si="54"/>
        <v>0</v>
      </c>
      <c r="ID46" s="119">
        <f t="shared" si="54"/>
        <v>1139.2577254764103</v>
      </c>
      <c r="IE46" s="119">
        <f t="shared" si="54"/>
        <v>-30049.040000000001</v>
      </c>
      <c r="IF46" s="119">
        <f t="shared" si="54"/>
        <v>0</v>
      </c>
      <c r="IG46" s="119">
        <f t="shared" si="54"/>
        <v>0</v>
      </c>
      <c r="IH46" s="98">
        <f t="shared" si="46"/>
        <v>-19815.437041739864</v>
      </c>
      <c r="II46" s="96">
        <f t="shared" si="47"/>
        <v>-72706.667041739871</v>
      </c>
    </row>
    <row r="47" spans="2:243" x14ac:dyDescent="0.2">
      <c r="B47" s="101" t="s">
        <v>229</v>
      </c>
      <c r="C47" s="89" t="s">
        <v>230</v>
      </c>
      <c r="D47" s="89" t="str">
        <f>_xlfn.IFNA(INDEX('4. WIP Report (Oct-25)'!D:D,MATCH('7. POC Lookback Summary'!$B47,'4. WIP Report (Oct-25)'!$B:$B,0)),INDEX('5. Completed Jobs'!D:D,MATCH('7. POC Lookback Summary'!$B47,'5. Completed Jobs'!$B:$B,0)))</f>
        <v>City Government</v>
      </c>
      <c r="E47" s="89" t="str">
        <f>_xlfn.IFNA(INDEX('4. WIP Report (Oct-25)'!E:E,MATCH('7. POC Lookback Summary'!$B47,'4. WIP Report (Oct-25)'!$B:$B,0)),INDEX('5. Completed Jobs'!E:E,MATCH('7. POC Lookback Summary'!$B47,'5. Completed Jobs'!$B:$B,0)))</f>
        <v>Sprinkler Installation</v>
      </c>
      <c r="F47" s="89" t="str">
        <f>_xlfn.IFNA(INDEX('4. WIP Report (Oct-25)'!F:F,MATCH('7. POC Lookback Summary'!$B47,'4. WIP Report (Oct-25)'!$B:$B,0)),INDEX('5. Completed Jobs'!F:F,MATCH('7. POC Lookback Summary'!$B47,'5. Completed Jobs'!$B:$B,0)))</f>
        <v>K-12</v>
      </c>
      <c r="G47" s="89" t="str">
        <f>_xlfn.IFNA(INDEX('4. WIP Report (Oct-25)'!G:G,MATCH('7. POC Lookback Summary'!$B47,'4. WIP Report (Oct-25)'!$B:$B,0)),INDEX('5. Completed Jobs'!G:G,MATCH('7. POC Lookback Summary'!$B47,'5. Completed Jobs'!$B:$B,0)))</f>
        <v>Direct</v>
      </c>
      <c r="H47" s="89" t="str">
        <f>_xlfn.IFNA(INDEX('4. WIP Report (Oct-25)'!H:H,MATCH('7. POC Lookback Summary'!$B47,'4. WIP Report (Oct-25)'!$B:$B,0)),INDEX('5. Completed Jobs'!H:H,MATCH('7. POC Lookback Summary'!$B47,'5. Completed Jobs'!$B:$B,0)))</f>
        <v>Retrofit</v>
      </c>
      <c r="J47" s="95"/>
      <c r="K47" s="119">
        <v>0</v>
      </c>
      <c r="L47" s="119">
        <v>2019.0375000000001</v>
      </c>
      <c r="M47" s="119">
        <v>2638.85</v>
      </c>
      <c r="N47" s="119">
        <v>5851.5750000000007</v>
      </c>
      <c r="O47" s="119">
        <v>0</v>
      </c>
      <c r="P47" s="119">
        <v>20811.674999999999</v>
      </c>
      <c r="Q47" s="119">
        <v>5462.6374999999998</v>
      </c>
      <c r="R47" s="119">
        <v>0</v>
      </c>
      <c r="S47" s="119">
        <v>0</v>
      </c>
      <c r="T47" s="119">
        <v>229.83750000000001</v>
      </c>
      <c r="U47" s="119">
        <v>0</v>
      </c>
      <c r="V47" s="119">
        <v>2564.9625000000005</v>
      </c>
      <c r="W47" s="98">
        <f t="shared" si="25"/>
        <v>39578.575000000004</v>
      </c>
      <c r="X47" s="119">
        <v>0</v>
      </c>
      <c r="Y47" s="119">
        <v>16412.962499999998</v>
      </c>
      <c r="Z47" s="119">
        <v>3025</v>
      </c>
      <c r="AA47" s="119">
        <v>527.9375</v>
      </c>
      <c r="AB47" s="119">
        <v>121298.82499999997</v>
      </c>
      <c r="AC47" s="119">
        <v>14079.912500000002</v>
      </c>
      <c r="AD47" s="119">
        <v>5132.9125000000004</v>
      </c>
      <c r="AE47" s="119">
        <v>0</v>
      </c>
      <c r="AF47" s="119">
        <v>140188.97500000001</v>
      </c>
      <c r="AG47" s="119">
        <v>52117.587499999994</v>
      </c>
      <c r="AH47" s="119">
        <v>0</v>
      </c>
      <c r="AI47" s="119">
        <v>0</v>
      </c>
      <c r="AJ47" s="98">
        <f t="shared" si="26"/>
        <v>352784.11250000005</v>
      </c>
      <c r="AK47" s="119">
        <v>7050.8249999999998</v>
      </c>
      <c r="AL47" s="119">
        <v>502.96249999999998</v>
      </c>
      <c r="AM47" s="119">
        <v>0</v>
      </c>
      <c r="AN47" s="119">
        <v>7665.3375000000005</v>
      </c>
      <c r="AO47" s="119">
        <v>705.63749999999993</v>
      </c>
      <c r="AP47" s="119">
        <v>506.47499999999997</v>
      </c>
      <c r="AQ47" s="119">
        <v>0</v>
      </c>
      <c r="AR47" s="119">
        <v>72409.887499999997</v>
      </c>
      <c r="AS47" s="119">
        <v>0</v>
      </c>
      <c r="AT47" s="119">
        <v>32632.875</v>
      </c>
      <c r="AU47" s="98">
        <f t="shared" si="27"/>
        <v>121474</v>
      </c>
      <c r="AV47" s="96">
        <f t="shared" si="28"/>
        <v>121474</v>
      </c>
      <c r="AW47" s="95"/>
      <c r="AX47" s="119">
        <v>0</v>
      </c>
      <c r="AY47" s="119">
        <v>1615.23</v>
      </c>
      <c r="AZ47" s="119">
        <v>2111.08</v>
      </c>
      <c r="BA47" s="119">
        <v>4681.26</v>
      </c>
      <c r="BB47" s="119">
        <v>0</v>
      </c>
      <c r="BC47" s="119">
        <v>16649.34</v>
      </c>
      <c r="BD47" s="119">
        <v>4370.1099999999997</v>
      </c>
      <c r="BE47" s="119">
        <v>0</v>
      </c>
      <c r="BF47" s="119">
        <v>0</v>
      </c>
      <c r="BG47" s="119">
        <v>183.87</v>
      </c>
      <c r="BH47" s="119">
        <v>0</v>
      </c>
      <c r="BI47" s="119">
        <v>2051.9700000000003</v>
      </c>
      <c r="BJ47" s="98">
        <f t="shared" si="29"/>
        <v>31662.86</v>
      </c>
      <c r="BK47" s="119">
        <v>0</v>
      </c>
      <c r="BL47" s="119">
        <v>13130.369999999999</v>
      </c>
      <c r="BM47" s="119">
        <v>2420</v>
      </c>
      <c r="BN47" s="119">
        <v>422.35</v>
      </c>
      <c r="BO47" s="119">
        <v>97039.059999999983</v>
      </c>
      <c r="BP47" s="119">
        <v>11263.93</v>
      </c>
      <c r="BQ47" s="119">
        <v>4106.33</v>
      </c>
      <c r="BR47" s="119">
        <v>0</v>
      </c>
      <c r="BS47" s="119">
        <v>112151.18</v>
      </c>
      <c r="BT47" s="119">
        <v>41694.07</v>
      </c>
      <c r="BU47" s="119">
        <v>0</v>
      </c>
      <c r="BV47" s="119">
        <v>0</v>
      </c>
      <c r="BW47" s="98">
        <f t="shared" si="30"/>
        <v>282227.28999999998</v>
      </c>
      <c r="BX47" s="119">
        <v>5640.66</v>
      </c>
      <c r="BY47" s="119">
        <v>402.37</v>
      </c>
      <c r="BZ47" s="119">
        <v>0</v>
      </c>
      <c r="CA47" s="119">
        <v>6132.27</v>
      </c>
      <c r="CB47" s="119">
        <v>564.51</v>
      </c>
      <c r="CC47" s="119">
        <v>405.18</v>
      </c>
      <c r="CD47" s="119">
        <v>0</v>
      </c>
      <c r="CE47" s="119">
        <v>57927.909999999996</v>
      </c>
      <c r="CF47" s="119">
        <v>0</v>
      </c>
      <c r="CG47" s="119">
        <v>26106.3</v>
      </c>
      <c r="CH47" s="98">
        <f t="shared" si="31"/>
        <v>97179.199999999997</v>
      </c>
      <c r="CI47" s="96">
        <f t="shared" si="32"/>
        <v>97179.199999999997</v>
      </c>
      <c r="CJ47" s="95"/>
      <c r="CK47" s="119">
        <f t="shared" si="59"/>
        <v>0</v>
      </c>
      <c r="CL47" s="119">
        <f t="shared" si="59"/>
        <v>403.80750000000012</v>
      </c>
      <c r="CM47" s="119">
        <f t="shared" si="59"/>
        <v>527.77</v>
      </c>
      <c r="CN47" s="119">
        <f t="shared" si="59"/>
        <v>1170.3150000000005</v>
      </c>
      <c r="CO47" s="119">
        <f t="shared" si="59"/>
        <v>0</v>
      </c>
      <c r="CP47" s="119">
        <f t="shared" si="59"/>
        <v>4162.3349999999991</v>
      </c>
      <c r="CQ47" s="119">
        <f t="shared" si="59"/>
        <v>1092.5275000000001</v>
      </c>
      <c r="CR47" s="119">
        <f t="shared" si="59"/>
        <v>0</v>
      </c>
      <c r="CS47" s="119">
        <f t="shared" si="59"/>
        <v>0</v>
      </c>
      <c r="CT47" s="119">
        <f t="shared" si="59"/>
        <v>45.967500000000001</v>
      </c>
      <c r="CU47" s="119">
        <f t="shared" si="59"/>
        <v>0</v>
      </c>
      <c r="CV47" s="119">
        <f t="shared" si="59"/>
        <v>512.99250000000029</v>
      </c>
      <c r="CW47" s="98">
        <f t="shared" si="34"/>
        <v>7915.7150000000001</v>
      </c>
      <c r="CX47" s="119">
        <f t="shared" si="63"/>
        <v>0</v>
      </c>
      <c r="CY47" s="119">
        <f t="shared" si="63"/>
        <v>3282.5924999999988</v>
      </c>
      <c r="CZ47" s="119">
        <f t="shared" si="63"/>
        <v>605</v>
      </c>
      <c r="DA47" s="119">
        <f t="shared" si="61"/>
        <v>105.58749999999998</v>
      </c>
      <c r="DB47" s="119">
        <f t="shared" si="61"/>
        <v>24259.764999999985</v>
      </c>
      <c r="DC47" s="119">
        <f t="shared" si="61"/>
        <v>2815.9825000000019</v>
      </c>
      <c r="DD47" s="119">
        <f t="shared" si="61"/>
        <v>1026.5825000000004</v>
      </c>
      <c r="DE47" s="119">
        <f t="shared" si="61"/>
        <v>0</v>
      </c>
      <c r="DF47" s="119">
        <f t="shared" si="61"/>
        <v>28037.795000000013</v>
      </c>
      <c r="DG47" s="119">
        <f t="shared" si="61"/>
        <v>10423.517499999994</v>
      </c>
      <c r="DH47" s="119">
        <f t="shared" si="61"/>
        <v>0</v>
      </c>
      <c r="DI47" s="119">
        <f t="shared" si="61"/>
        <v>0</v>
      </c>
      <c r="DJ47" s="98">
        <f t="shared" si="35"/>
        <v>70556.822499999995</v>
      </c>
      <c r="DK47" s="119">
        <f t="shared" si="52"/>
        <v>1410.165</v>
      </c>
      <c r="DL47" s="119">
        <f t="shared" si="52"/>
        <v>100.59249999999997</v>
      </c>
      <c r="DM47" s="119">
        <f t="shared" si="52"/>
        <v>0</v>
      </c>
      <c r="DN47" s="119">
        <f t="shared" si="52"/>
        <v>1533.0675000000001</v>
      </c>
      <c r="DO47" s="119">
        <f t="shared" si="52"/>
        <v>141.12749999999994</v>
      </c>
      <c r="DP47" s="119">
        <f t="shared" si="52"/>
        <v>101.29499999999996</v>
      </c>
      <c r="DQ47" s="119">
        <f t="shared" si="52"/>
        <v>0</v>
      </c>
      <c r="DR47" s="119">
        <f t="shared" si="52"/>
        <v>14481.977500000001</v>
      </c>
      <c r="DS47" s="119">
        <f t="shared" si="52"/>
        <v>0</v>
      </c>
      <c r="DT47" s="119">
        <f t="shared" si="52"/>
        <v>6526.5750000000007</v>
      </c>
      <c r="DU47" s="98">
        <f t="shared" si="36"/>
        <v>24294.800000000003</v>
      </c>
      <c r="DV47" s="96">
        <f t="shared" si="37"/>
        <v>24294.800000000003</v>
      </c>
      <c r="DW47" s="95"/>
      <c r="DX47" s="162">
        <f t="shared" si="57"/>
        <v>0</v>
      </c>
      <c r="DY47" s="162">
        <f t="shared" si="57"/>
        <v>0.20000000000000004</v>
      </c>
      <c r="DZ47" s="162">
        <f t="shared" si="57"/>
        <v>0.2</v>
      </c>
      <c r="EA47" s="162">
        <f t="shared" si="57"/>
        <v>0.20000000000000007</v>
      </c>
      <c r="EB47" s="162">
        <f t="shared" si="57"/>
        <v>0</v>
      </c>
      <c r="EC47" s="162">
        <f t="shared" si="57"/>
        <v>0.19999999999999996</v>
      </c>
      <c r="ED47" s="162">
        <f t="shared" si="57"/>
        <v>0.20000000000000004</v>
      </c>
      <c r="EE47" s="162">
        <f t="shared" si="57"/>
        <v>0</v>
      </c>
      <c r="EF47" s="162">
        <f t="shared" si="57"/>
        <v>0</v>
      </c>
      <c r="EG47" s="162">
        <f t="shared" si="57"/>
        <v>0.2</v>
      </c>
      <c r="EH47" s="162">
        <f t="shared" si="57"/>
        <v>0</v>
      </c>
      <c r="EI47" s="162">
        <f t="shared" si="57"/>
        <v>0.20000000000000007</v>
      </c>
      <c r="EJ47" s="163">
        <f t="shared" si="57"/>
        <v>0.19999999999999998</v>
      </c>
      <c r="EK47" s="162">
        <f t="shared" si="57"/>
        <v>0</v>
      </c>
      <c r="EL47" s="162">
        <f t="shared" si="57"/>
        <v>0.19999999999999996</v>
      </c>
      <c r="EM47" s="162">
        <f t="shared" si="57"/>
        <v>0.2</v>
      </c>
      <c r="EN47" s="162">
        <f t="shared" ref="EN47:EN86" si="66">IFERROR(DA47/AA47,0)</f>
        <v>0.19999999999999996</v>
      </c>
      <c r="EO47" s="162">
        <f t="shared" si="64"/>
        <v>0.19999999999999993</v>
      </c>
      <c r="EP47" s="162">
        <f t="shared" si="64"/>
        <v>0.20000000000000009</v>
      </c>
      <c r="EQ47" s="162">
        <f t="shared" si="64"/>
        <v>0.20000000000000007</v>
      </c>
      <c r="ER47" s="162">
        <f t="shared" si="64"/>
        <v>0</v>
      </c>
      <c r="ES47" s="162">
        <f t="shared" si="64"/>
        <v>0.20000000000000009</v>
      </c>
      <c r="ET47" s="162">
        <f t="shared" si="64"/>
        <v>0.19999999999999993</v>
      </c>
      <c r="EU47" s="162">
        <f t="shared" si="64"/>
        <v>0</v>
      </c>
      <c r="EV47" s="162">
        <f t="shared" si="64"/>
        <v>0</v>
      </c>
      <c r="EW47" s="163">
        <f t="shared" si="58"/>
        <v>0.19999999999999996</v>
      </c>
      <c r="EX47" s="162">
        <f t="shared" si="58"/>
        <v>0.2</v>
      </c>
      <c r="EY47" s="162">
        <f t="shared" si="58"/>
        <v>0.19999999999999996</v>
      </c>
      <c r="EZ47" s="162">
        <f t="shared" si="58"/>
        <v>0</v>
      </c>
      <c r="FA47" s="162">
        <f t="shared" si="58"/>
        <v>0.2</v>
      </c>
      <c r="FB47" s="162">
        <f t="shared" si="58"/>
        <v>0.19999999999999993</v>
      </c>
      <c r="FC47" s="162">
        <f t="shared" si="56"/>
        <v>0.19999999999999993</v>
      </c>
      <c r="FD47" s="162">
        <f t="shared" si="50"/>
        <v>0</v>
      </c>
      <c r="FE47" s="162">
        <f t="shared" si="50"/>
        <v>0.2</v>
      </c>
      <c r="FF47" s="162">
        <f t="shared" si="48"/>
        <v>0</v>
      </c>
      <c r="FG47" s="162">
        <f t="shared" si="48"/>
        <v>0.2</v>
      </c>
      <c r="FH47" s="163">
        <f t="shared" si="48"/>
        <v>0.2</v>
      </c>
      <c r="FI47" s="164">
        <f t="shared" si="48"/>
        <v>0.2</v>
      </c>
      <c r="FJ47" s="95"/>
      <c r="FK47" s="119">
        <v>0</v>
      </c>
      <c r="FL47" s="119">
        <v>0</v>
      </c>
      <c r="FM47" s="119">
        <v>0</v>
      </c>
      <c r="FN47" s="119">
        <v>0</v>
      </c>
      <c r="FO47" s="119">
        <v>0</v>
      </c>
      <c r="FP47" s="119">
        <v>0</v>
      </c>
      <c r="FQ47" s="119">
        <v>0</v>
      </c>
      <c r="FR47" s="119">
        <v>0</v>
      </c>
      <c r="FS47" s="119">
        <v>0</v>
      </c>
      <c r="FT47" s="119">
        <v>0</v>
      </c>
      <c r="FU47" s="119">
        <v>0</v>
      </c>
      <c r="FV47" s="119">
        <v>12941.93</v>
      </c>
      <c r="FW47" s="98">
        <f t="shared" si="39"/>
        <v>12941.93</v>
      </c>
      <c r="FX47" s="119">
        <v>0</v>
      </c>
      <c r="FY47" s="119">
        <v>0</v>
      </c>
      <c r="FZ47" s="119">
        <v>0</v>
      </c>
      <c r="GA47" s="119">
        <v>0</v>
      </c>
      <c r="GB47" s="119">
        <v>0</v>
      </c>
      <c r="GC47" s="119">
        <v>0</v>
      </c>
      <c r="GD47" s="119">
        <v>0</v>
      </c>
      <c r="GE47" s="119">
        <v>0</v>
      </c>
      <c r="GF47" s="119">
        <v>0</v>
      </c>
      <c r="GG47" s="119">
        <v>0</v>
      </c>
      <c r="GH47" s="119">
        <v>106858.63</v>
      </c>
      <c r="GI47" s="119">
        <v>0</v>
      </c>
      <c r="GJ47" s="98">
        <f t="shared" si="40"/>
        <v>106858.63</v>
      </c>
      <c r="GK47" s="119">
        <v>0</v>
      </c>
      <c r="GL47" s="119">
        <v>0</v>
      </c>
      <c r="GM47" s="119">
        <v>0</v>
      </c>
      <c r="GN47" s="119">
        <v>0</v>
      </c>
      <c r="GO47" s="119">
        <v>7802.8</v>
      </c>
      <c r="GP47" s="119">
        <v>118155.42000000001</v>
      </c>
      <c r="GQ47" s="119">
        <v>0</v>
      </c>
      <c r="GR47" s="119">
        <v>0</v>
      </c>
      <c r="GS47" s="119">
        <v>72998.28</v>
      </c>
      <c r="GT47" s="119">
        <v>0</v>
      </c>
      <c r="GU47" s="98">
        <f t="shared" si="41"/>
        <v>198956.5</v>
      </c>
      <c r="GV47" s="96">
        <f t="shared" si="42"/>
        <v>305815.13</v>
      </c>
      <c r="GW47" s="95"/>
      <c r="GX47" s="119">
        <f t="shared" si="60"/>
        <v>0</v>
      </c>
      <c r="GY47" s="119">
        <f t="shared" si="60"/>
        <v>2019.0375000000001</v>
      </c>
      <c r="GZ47" s="119">
        <f t="shared" si="60"/>
        <v>2638.85</v>
      </c>
      <c r="HA47" s="119">
        <f t="shared" si="60"/>
        <v>5851.5750000000007</v>
      </c>
      <c r="HB47" s="119">
        <f t="shared" si="60"/>
        <v>0</v>
      </c>
      <c r="HC47" s="119">
        <f t="shared" si="60"/>
        <v>20811.674999999999</v>
      </c>
      <c r="HD47" s="119">
        <f t="shared" si="60"/>
        <v>5462.6374999999998</v>
      </c>
      <c r="HE47" s="119">
        <f t="shared" si="60"/>
        <v>0</v>
      </c>
      <c r="HF47" s="119">
        <f t="shared" si="60"/>
        <v>0</v>
      </c>
      <c r="HG47" s="119">
        <f t="shared" si="60"/>
        <v>229.83750000000001</v>
      </c>
      <c r="HH47" s="119">
        <f t="shared" si="60"/>
        <v>0</v>
      </c>
      <c r="HI47" s="119">
        <f t="shared" si="60"/>
        <v>-10376.967499999999</v>
      </c>
      <c r="HJ47" s="98">
        <f t="shared" si="44"/>
        <v>26636.645000000004</v>
      </c>
      <c r="HK47" s="119">
        <f t="shared" si="65"/>
        <v>0</v>
      </c>
      <c r="HL47" s="119">
        <f t="shared" si="65"/>
        <v>16412.962499999998</v>
      </c>
      <c r="HM47" s="119">
        <f t="shared" si="65"/>
        <v>3025</v>
      </c>
      <c r="HN47" s="119">
        <f t="shared" si="62"/>
        <v>527.9375</v>
      </c>
      <c r="HO47" s="119">
        <f t="shared" si="62"/>
        <v>121298.82499999997</v>
      </c>
      <c r="HP47" s="119">
        <f t="shared" si="62"/>
        <v>14079.912500000002</v>
      </c>
      <c r="HQ47" s="119">
        <f t="shared" si="62"/>
        <v>5132.9125000000004</v>
      </c>
      <c r="HR47" s="119">
        <f t="shared" si="62"/>
        <v>0</v>
      </c>
      <c r="HS47" s="119">
        <f t="shared" si="62"/>
        <v>140188.97500000001</v>
      </c>
      <c r="HT47" s="119">
        <f t="shared" si="62"/>
        <v>52117.587499999994</v>
      </c>
      <c r="HU47" s="119">
        <f t="shared" si="62"/>
        <v>-106858.63</v>
      </c>
      <c r="HV47" s="119">
        <f t="shared" si="62"/>
        <v>0</v>
      </c>
      <c r="HW47" s="98">
        <f t="shared" si="45"/>
        <v>245925.48250000004</v>
      </c>
      <c r="HX47" s="119">
        <f t="shared" si="54"/>
        <v>7050.8249999999998</v>
      </c>
      <c r="HY47" s="119">
        <f t="shared" si="54"/>
        <v>502.96249999999998</v>
      </c>
      <c r="HZ47" s="119">
        <f t="shared" si="54"/>
        <v>0</v>
      </c>
      <c r="IA47" s="119">
        <f t="shared" si="54"/>
        <v>7665.3375000000005</v>
      </c>
      <c r="IB47" s="119">
        <f t="shared" si="54"/>
        <v>-7097.1625000000004</v>
      </c>
      <c r="IC47" s="119">
        <f t="shared" si="54"/>
        <v>-117648.94500000001</v>
      </c>
      <c r="ID47" s="119">
        <f t="shared" si="54"/>
        <v>0</v>
      </c>
      <c r="IE47" s="119">
        <f t="shared" si="54"/>
        <v>72409.887499999997</v>
      </c>
      <c r="IF47" s="119">
        <f t="shared" si="54"/>
        <v>-72998.28</v>
      </c>
      <c r="IG47" s="119">
        <f t="shared" si="54"/>
        <v>32632.875</v>
      </c>
      <c r="IH47" s="98">
        <f t="shared" si="46"/>
        <v>-77482.500000000015</v>
      </c>
      <c r="II47" s="96">
        <f t="shared" si="47"/>
        <v>-184341.13</v>
      </c>
    </row>
    <row r="48" spans="2:243" x14ac:dyDescent="0.2">
      <c r="B48" s="105" t="s">
        <v>245</v>
      </c>
      <c r="C48" s="106"/>
      <c r="D48" s="106"/>
      <c r="E48" s="106"/>
      <c r="F48" s="106"/>
      <c r="G48" s="106"/>
      <c r="H48" s="106"/>
      <c r="I48" s="106"/>
      <c r="J48" s="158"/>
      <c r="K48" s="112">
        <f>SUM(K8:K47)</f>
        <v>256834.70538734118</v>
      </c>
      <c r="L48" s="112">
        <f t="shared" ref="L48:AV48" si="67">SUM(L8:L47)</f>
        <v>202712.69785706481</v>
      </c>
      <c r="M48" s="112">
        <f t="shared" si="67"/>
        <v>181811.24153430338</v>
      </c>
      <c r="N48" s="112">
        <f t="shared" si="67"/>
        <v>122286.96589890053</v>
      </c>
      <c r="O48" s="112">
        <f t="shared" si="67"/>
        <v>236331.16176230484</v>
      </c>
      <c r="P48" s="112">
        <f t="shared" si="67"/>
        <v>314490.35827650729</v>
      </c>
      <c r="Q48" s="112">
        <f t="shared" si="67"/>
        <v>146355.96080307363</v>
      </c>
      <c r="R48" s="112">
        <f t="shared" si="67"/>
        <v>206088.20052954037</v>
      </c>
      <c r="S48" s="112">
        <f t="shared" si="67"/>
        <v>378192.02543608099</v>
      </c>
      <c r="T48" s="112">
        <f t="shared" si="67"/>
        <v>149100.88594523972</v>
      </c>
      <c r="U48" s="112">
        <f t="shared" si="67"/>
        <v>199924.76007503521</v>
      </c>
      <c r="V48" s="112">
        <f t="shared" si="67"/>
        <v>294095.3066721427</v>
      </c>
      <c r="W48" s="133">
        <f t="shared" si="67"/>
        <v>2688224.2701775352</v>
      </c>
      <c r="X48" s="112">
        <f t="shared" si="67"/>
        <v>215707.71741441404</v>
      </c>
      <c r="Y48" s="112">
        <f t="shared" si="67"/>
        <v>250345.20337494017</v>
      </c>
      <c r="Z48" s="112">
        <f t="shared" si="67"/>
        <v>348772.73683660669</v>
      </c>
      <c r="AA48" s="112">
        <f t="shared" si="67"/>
        <v>183987.86694681068</v>
      </c>
      <c r="AB48" s="112">
        <f t="shared" si="67"/>
        <v>340012.10217676777</v>
      </c>
      <c r="AC48" s="112">
        <f t="shared" si="67"/>
        <v>410507.63519529026</v>
      </c>
      <c r="AD48" s="112">
        <f t="shared" si="67"/>
        <v>392560.80918190395</v>
      </c>
      <c r="AE48" s="112">
        <f t="shared" si="67"/>
        <v>269334.5594957929</v>
      </c>
      <c r="AF48" s="112">
        <f t="shared" si="67"/>
        <v>372543.56326481677</v>
      </c>
      <c r="AG48" s="112">
        <f t="shared" si="67"/>
        <v>305421.4125681874</v>
      </c>
      <c r="AH48" s="112">
        <f t="shared" si="67"/>
        <v>379570.12947555061</v>
      </c>
      <c r="AI48" s="112">
        <f t="shared" si="67"/>
        <v>263145.93348657666</v>
      </c>
      <c r="AJ48" s="133">
        <f t="shared" si="67"/>
        <v>3731909.6694176579</v>
      </c>
      <c r="AK48" s="112">
        <f t="shared" si="67"/>
        <v>176253.05429158738</v>
      </c>
      <c r="AL48" s="112">
        <f t="shared" si="67"/>
        <v>178963.59640664246</v>
      </c>
      <c r="AM48" s="112">
        <f t="shared" si="67"/>
        <v>285178.06935782701</v>
      </c>
      <c r="AN48" s="112">
        <f t="shared" si="67"/>
        <v>348457.50938128121</v>
      </c>
      <c r="AO48" s="112">
        <f t="shared" si="67"/>
        <v>214253.09401605153</v>
      </c>
      <c r="AP48" s="112">
        <f t="shared" si="67"/>
        <v>286665.61191917985</v>
      </c>
      <c r="AQ48" s="112">
        <f t="shared" si="67"/>
        <v>283091.33251849061</v>
      </c>
      <c r="AR48" s="112">
        <f t="shared" si="67"/>
        <v>325466.74950058199</v>
      </c>
      <c r="AS48" s="112">
        <f t="shared" si="67"/>
        <v>208888.29747162745</v>
      </c>
      <c r="AT48" s="112">
        <f t="shared" si="67"/>
        <v>343778.78154153837</v>
      </c>
      <c r="AU48" s="133">
        <f t="shared" si="67"/>
        <v>2650996.0964048081</v>
      </c>
      <c r="AV48" s="125">
        <f t="shared" si="67"/>
        <v>3293712.159366935</v>
      </c>
      <c r="AW48" s="158"/>
      <c r="AX48" s="112">
        <f>SUM(AX8:AX47)</f>
        <v>139167.24</v>
      </c>
      <c r="AY48" s="112">
        <f t="shared" ref="AY48:CI48" si="68">SUM(AY8:AY47)</f>
        <v>176338.44</v>
      </c>
      <c r="AZ48" s="112">
        <f t="shared" si="68"/>
        <v>129457.29999999997</v>
      </c>
      <c r="BA48" s="112">
        <f t="shared" si="68"/>
        <v>151929.80000000002</v>
      </c>
      <c r="BB48" s="112">
        <f t="shared" si="68"/>
        <v>181645.45</v>
      </c>
      <c r="BC48" s="112">
        <f t="shared" si="68"/>
        <v>291866.38</v>
      </c>
      <c r="BD48" s="112">
        <f t="shared" si="68"/>
        <v>130238.26999999999</v>
      </c>
      <c r="BE48" s="112">
        <f t="shared" si="68"/>
        <v>168206.71000000002</v>
      </c>
      <c r="BF48" s="112">
        <f t="shared" si="68"/>
        <v>289878.24</v>
      </c>
      <c r="BG48" s="112">
        <f t="shared" si="68"/>
        <v>128693.55999999997</v>
      </c>
      <c r="BH48" s="112">
        <f t="shared" si="68"/>
        <v>135537.66</v>
      </c>
      <c r="BI48" s="112">
        <f t="shared" si="68"/>
        <v>198550.51999999996</v>
      </c>
      <c r="BJ48" s="133">
        <f t="shared" si="68"/>
        <v>2121509.5699999994</v>
      </c>
      <c r="BK48" s="112">
        <f t="shared" si="68"/>
        <v>153105.34</v>
      </c>
      <c r="BL48" s="112">
        <f t="shared" si="68"/>
        <v>192275.79000000004</v>
      </c>
      <c r="BM48" s="112">
        <f t="shared" si="68"/>
        <v>350288.64000000001</v>
      </c>
      <c r="BN48" s="112">
        <f t="shared" si="68"/>
        <v>160277.43000000005</v>
      </c>
      <c r="BO48" s="112">
        <f t="shared" si="68"/>
        <v>280455.26</v>
      </c>
      <c r="BP48" s="112">
        <f t="shared" si="68"/>
        <v>321443.3</v>
      </c>
      <c r="BQ48" s="112">
        <f t="shared" si="68"/>
        <v>363706.02</v>
      </c>
      <c r="BR48" s="112">
        <f t="shared" si="68"/>
        <v>185628.54</v>
      </c>
      <c r="BS48" s="112">
        <f t="shared" si="68"/>
        <v>294798.80000000005</v>
      </c>
      <c r="BT48" s="112">
        <f t="shared" si="68"/>
        <v>241202.97</v>
      </c>
      <c r="BU48" s="112">
        <f t="shared" si="68"/>
        <v>284293.29999999993</v>
      </c>
      <c r="BV48" s="112">
        <f t="shared" si="68"/>
        <v>190577.35</v>
      </c>
      <c r="BW48" s="133">
        <f t="shared" si="68"/>
        <v>3018052.74</v>
      </c>
      <c r="BX48" s="112">
        <f t="shared" si="68"/>
        <v>128553.10000000002</v>
      </c>
      <c r="BY48" s="112">
        <f t="shared" si="68"/>
        <v>175615.05</v>
      </c>
      <c r="BZ48" s="112">
        <f t="shared" si="68"/>
        <v>236590.66999999995</v>
      </c>
      <c r="CA48" s="112">
        <f t="shared" si="68"/>
        <v>287822.76000000007</v>
      </c>
      <c r="CB48" s="112">
        <f t="shared" si="68"/>
        <v>162776.76999999999</v>
      </c>
      <c r="CC48" s="112">
        <f t="shared" si="68"/>
        <v>282698.07</v>
      </c>
      <c r="CD48" s="112">
        <f t="shared" si="68"/>
        <v>228296.99999999991</v>
      </c>
      <c r="CE48" s="112">
        <f t="shared" si="68"/>
        <v>282282.42</v>
      </c>
      <c r="CF48" s="112">
        <f t="shared" si="68"/>
        <v>189502.16</v>
      </c>
      <c r="CG48" s="112">
        <f t="shared" si="68"/>
        <v>221503.62000000002</v>
      </c>
      <c r="CH48" s="133">
        <f t="shared" si="68"/>
        <v>2195641.6199999996</v>
      </c>
      <c r="CI48" s="125">
        <f t="shared" si="68"/>
        <v>2670512.2699999996</v>
      </c>
      <c r="CJ48" s="158"/>
      <c r="CK48" s="112">
        <f>SUM(CK8:CK47)</f>
        <v>117667.46538734112</v>
      </c>
      <c r="CL48" s="112">
        <f t="shared" ref="CL48:DV48" si="69">SUM(CL8:CL47)</f>
        <v>26374.257857064826</v>
      </c>
      <c r="CM48" s="112">
        <f t="shared" si="69"/>
        <v>52353.941534303362</v>
      </c>
      <c r="CN48" s="112">
        <f t="shared" si="69"/>
        <v>-29642.83410109947</v>
      </c>
      <c r="CO48" s="112">
        <f t="shared" si="69"/>
        <v>54685.711762304883</v>
      </c>
      <c r="CP48" s="112">
        <f t="shared" si="69"/>
        <v>22623.978276507292</v>
      </c>
      <c r="CQ48" s="112">
        <f t="shared" si="69"/>
        <v>16117.690803073599</v>
      </c>
      <c r="CR48" s="112">
        <f t="shared" si="69"/>
        <v>37881.490529540366</v>
      </c>
      <c r="CS48" s="112">
        <f t="shared" si="69"/>
        <v>88313.785436081089</v>
      </c>
      <c r="CT48" s="112">
        <f t="shared" si="69"/>
        <v>20407.325945239718</v>
      </c>
      <c r="CU48" s="112">
        <f t="shared" si="69"/>
        <v>64387.100075035247</v>
      </c>
      <c r="CV48" s="112">
        <f t="shared" si="69"/>
        <v>95544.786672142654</v>
      </c>
      <c r="CW48" s="133">
        <f t="shared" si="69"/>
        <v>566714.70017753472</v>
      </c>
      <c r="CX48" s="112">
        <f t="shared" si="69"/>
        <v>62602.37741441407</v>
      </c>
      <c r="CY48" s="112">
        <f t="shared" si="69"/>
        <v>58069.41337494021</v>
      </c>
      <c r="CZ48" s="112">
        <f t="shared" si="69"/>
        <v>-1515.9031633933223</v>
      </c>
      <c r="DA48" s="112">
        <f t="shared" si="69"/>
        <v>23710.436946810663</v>
      </c>
      <c r="DB48" s="112">
        <f t="shared" si="69"/>
        <v>59556.842176767801</v>
      </c>
      <c r="DC48" s="112">
        <f t="shared" si="69"/>
        <v>89064.335195290289</v>
      </c>
      <c r="DD48" s="112">
        <f t="shared" si="69"/>
        <v>28854.789181904016</v>
      </c>
      <c r="DE48" s="112">
        <f t="shared" si="69"/>
        <v>83706.019495792832</v>
      </c>
      <c r="DF48" s="112">
        <f t="shared" si="69"/>
        <v>77744.76326481672</v>
      </c>
      <c r="DG48" s="112">
        <f t="shared" si="69"/>
        <v>64218.442568187376</v>
      </c>
      <c r="DH48" s="112">
        <f t="shared" si="69"/>
        <v>95276.829475550636</v>
      </c>
      <c r="DI48" s="112">
        <f t="shared" si="69"/>
        <v>72568.583486576637</v>
      </c>
      <c r="DJ48" s="133">
        <f t="shared" si="69"/>
        <v>713856.9294176579</v>
      </c>
      <c r="DK48" s="112">
        <f t="shared" si="69"/>
        <v>47699.954291587375</v>
      </c>
      <c r="DL48" s="112">
        <f t="shared" si="69"/>
        <v>3348.5464066424656</v>
      </c>
      <c r="DM48" s="112">
        <f t="shared" si="69"/>
        <v>48587.399357826995</v>
      </c>
      <c r="DN48" s="112">
        <f t="shared" si="69"/>
        <v>60634.749381281224</v>
      </c>
      <c r="DO48" s="112">
        <f t="shared" si="69"/>
        <v>51476.324016051542</v>
      </c>
      <c r="DP48" s="112">
        <f t="shared" si="69"/>
        <v>3967.5419191798383</v>
      </c>
      <c r="DQ48" s="112">
        <f t="shared" si="69"/>
        <v>54794.332518490664</v>
      </c>
      <c r="DR48" s="112">
        <f t="shared" si="69"/>
        <v>43184.329500581975</v>
      </c>
      <c r="DS48" s="112">
        <f t="shared" si="69"/>
        <v>19386.137471627422</v>
      </c>
      <c r="DT48" s="112">
        <f t="shared" si="69"/>
        <v>122275.16154153836</v>
      </c>
      <c r="DU48" s="133">
        <f t="shared" si="69"/>
        <v>455354.47640480794</v>
      </c>
      <c r="DV48" s="125">
        <f t="shared" si="69"/>
        <v>623199.88936693524</v>
      </c>
      <c r="DW48" s="158"/>
      <c r="DX48" s="159">
        <f t="shared" si="57"/>
        <v>0.45814472467762019</v>
      </c>
      <c r="DY48" s="159">
        <f t="shared" si="57"/>
        <v>0.13010658994663293</v>
      </c>
      <c r="DZ48" s="159">
        <f t="shared" si="57"/>
        <v>0.2879576702325386</v>
      </c>
      <c r="EA48" s="159">
        <f t="shared" si="57"/>
        <v>-0.24240387258938434</v>
      </c>
      <c r="EB48" s="159">
        <f t="shared" si="57"/>
        <v>0.23139441855452908</v>
      </c>
      <c r="EC48" s="159">
        <f t="shared" si="57"/>
        <v>7.1938543364231722E-2</v>
      </c>
      <c r="ED48" s="159">
        <f t="shared" si="57"/>
        <v>0.11012664407130257</v>
      </c>
      <c r="EE48" s="159">
        <f t="shared" si="57"/>
        <v>0.18381203015119002</v>
      </c>
      <c r="EF48" s="159">
        <f t="shared" si="57"/>
        <v>0.23351572612946908</v>
      </c>
      <c r="EG48" s="159">
        <f t="shared" si="57"/>
        <v>0.13686924672422615</v>
      </c>
      <c r="EH48" s="159">
        <f t="shared" si="57"/>
        <v>0.32205665796907623</v>
      </c>
      <c r="EI48" s="159">
        <f t="shared" si="57"/>
        <v>0.3248769514661311</v>
      </c>
      <c r="EJ48" s="160">
        <f t="shared" si="57"/>
        <v>0.21081377266938664</v>
      </c>
      <c r="EK48" s="159">
        <f t="shared" si="57"/>
        <v>0.29021853350820748</v>
      </c>
      <c r="EL48" s="159">
        <f t="shared" si="57"/>
        <v>0.2319573636406769</v>
      </c>
      <c r="EM48" s="159">
        <f t="shared" si="57"/>
        <v>-4.3463923732762798E-3</v>
      </c>
      <c r="EN48" s="159">
        <f t="shared" si="66"/>
        <v>0.1288695680876889</v>
      </c>
      <c r="EO48" s="159">
        <f t="shared" si="64"/>
        <v>0.17516094808238616</v>
      </c>
      <c r="EP48" s="159">
        <f t="shared" si="64"/>
        <v>0.21696145834880715</v>
      </c>
      <c r="EQ48" s="159">
        <f t="shared" si="64"/>
        <v>7.3503998634090212E-2</v>
      </c>
      <c r="ER48" s="159">
        <f t="shared" si="64"/>
        <v>0.31078826145628874</v>
      </c>
      <c r="ES48" s="159">
        <f t="shared" si="64"/>
        <v>0.20868636833634693</v>
      </c>
      <c r="ET48" s="159">
        <f t="shared" si="64"/>
        <v>0.21026175613620468</v>
      </c>
      <c r="EU48" s="159">
        <f t="shared" si="64"/>
        <v>0.25101245350152807</v>
      </c>
      <c r="EV48" s="159">
        <f t="shared" si="64"/>
        <v>0.27577315189739932</v>
      </c>
      <c r="EW48" s="160">
        <f t="shared" si="58"/>
        <v>0.19128462172265037</v>
      </c>
      <c r="EX48" s="159">
        <f t="shared" si="58"/>
        <v>0.27063334864355942</v>
      </c>
      <c r="EY48" s="159">
        <f t="shared" si="58"/>
        <v>1.8710768412553983E-2</v>
      </c>
      <c r="EZ48" s="159">
        <f t="shared" si="58"/>
        <v>0.170375651491146</v>
      </c>
      <c r="FA48" s="159">
        <f t="shared" si="58"/>
        <v>0.17400901903059537</v>
      </c>
      <c r="FB48" s="159">
        <f t="shared" si="58"/>
        <v>0.24025941960117042</v>
      </c>
      <c r="FC48" s="159">
        <f t="shared" si="56"/>
        <v>1.3840313432147608E-2</v>
      </c>
      <c r="FD48" s="159">
        <f t="shared" si="50"/>
        <v>0.19355708290684481</v>
      </c>
      <c r="FE48" s="159">
        <f t="shared" si="50"/>
        <v>0.1326843051305453</v>
      </c>
      <c r="FF48" s="159">
        <f t="shared" si="48"/>
        <v>9.2806240015722144E-2</v>
      </c>
      <c r="FG48" s="159">
        <f t="shared" si="48"/>
        <v>0.35567978044847426</v>
      </c>
      <c r="FH48" s="160">
        <f t="shared" si="48"/>
        <v>0.17176731305728604</v>
      </c>
      <c r="FI48" s="161">
        <f t="shared" si="48"/>
        <v>0.1892089712802095</v>
      </c>
      <c r="FJ48" s="158"/>
      <c r="FK48" s="112">
        <f>SUM(FK8:FK47)</f>
        <v>147271.57999999999</v>
      </c>
      <c r="FL48" s="112">
        <f t="shared" ref="FL48:GV48" si="70">SUM(FL8:FL47)</f>
        <v>184168.85</v>
      </c>
      <c r="FM48" s="112">
        <f t="shared" si="70"/>
        <v>193086.15</v>
      </c>
      <c r="FN48" s="112">
        <f t="shared" si="70"/>
        <v>216841.22</v>
      </c>
      <c r="FO48" s="112">
        <f t="shared" si="70"/>
        <v>231152.72999999998</v>
      </c>
      <c r="FP48" s="112">
        <f t="shared" si="70"/>
        <v>255651.76</v>
      </c>
      <c r="FQ48" s="112">
        <f t="shared" si="70"/>
        <v>258543.84</v>
      </c>
      <c r="FR48" s="112">
        <f t="shared" si="70"/>
        <v>235395.20000000001</v>
      </c>
      <c r="FS48" s="112">
        <f t="shared" si="70"/>
        <v>239779.84999999998</v>
      </c>
      <c r="FT48" s="112">
        <f t="shared" si="70"/>
        <v>223730.92</v>
      </c>
      <c r="FU48" s="112">
        <f t="shared" si="70"/>
        <v>181389.99</v>
      </c>
      <c r="FV48" s="112">
        <f t="shared" si="70"/>
        <v>225243.06</v>
      </c>
      <c r="FW48" s="133">
        <f t="shared" si="70"/>
        <v>2592255.1500000004</v>
      </c>
      <c r="FX48" s="112">
        <f t="shared" si="70"/>
        <v>158339.21</v>
      </c>
      <c r="FY48" s="112">
        <f t="shared" si="70"/>
        <v>212352.52000000002</v>
      </c>
      <c r="FZ48" s="112">
        <f t="shared" si="70"/>
        <v>233375.34</v>
      </c>
      <c r="GA48" s="112">
        <f t="shared" si="70"/>
        <v>275121.70999999996</v>
      </c>
      <c r="GB48" s="112">
        <f t="shared" si="70"/>
        <v>296953.68</v>
      </c>
      <c r="GC48" s="112">
        <f t="shared" si="70"/>
        <v>325352.62</v>
      </c>
      <c r="GD48" s="112">
        <f t="shared" si="70"/>
        <v>323787.46000000002</v>
      </c>
      <c r="GE48" s="112">
        <f t="shared" si="70"/>
        <v>335004.55000000005</v>
      </c>
      <c r="GF48" s="112">
        <f t="shared" si="70"/>
        <v>281033.70999999996</v>
      </c>
      <c r="GG48" s="112">
        <f t="shared" si="70"/>
        <v>262608.13</v>
      </c>
      <c r="GH48" s="112">
        <f t="shared" si="70"/>
        <v>248835.85</v>
      </c>
      <c r="GI48" s="112">
        <f t="shared" si="70"/>
        <v>268164.15999999997</v>
      </c>
      <c r="GJ48" s="133">
        <f t="shared" si="70"/>
        <v>3220928.9399999995</v>
      </c>
      <c r="GK48" s="112">
        <f t="shared" si="70"/>
        <v>163018.69</v>
      </c>
      <c r="GL48" s="112">
        <f t="shared" si="70"/>
        <v>235468.5</v>
      </c>
      <c r="GM48" s="112">
        <f t="shared" si="70"/>
        <v>258862.01</v>
      </c>
      <c r="GN48" s="112">
        <f t="shared" si="70"/>
        <v>302021.20999999996</v>
      </c>
      <c r="GO48" s="112">
        <f t="shared" si="70"/>
        <v>297011.7</v>
      </c>
      <c r="GP48" s="112">
        <f t="shared" si="70"/>
        <v>346276.41000000003</v>
      </c>
      <c r="GQ48" s="112">
        <f t="shared" si="70"/>
        <v>339861.16000000003</v>
      </c>
      <c r="GR48" s="112">
        <f t="shared" si="70"/>
        <v>306842.14999999997</v>
      </c>
      <c r="GS48" s="112">
        <f t="shared" si="70"/>
        <v>316595.51</v>
      </c>
      <c r="GT48" s="112">
        <f t="shared" si="70"/>
        <v>290173.33</v>
      </c>
      <c r="GU48" s="133">
        <f t="shared" si="70"/>
        <v>2856130.6700000004</v>
      </c>
      <c r="GV48" s="125">
        <f t="shared" si="70"/>
        <v>3373130.6800000006</v>
      </c>
      <c r="GW48" s="158"/>
      <c r="GX48" s="112">
        <f>SUM(GX8:GX47)</f>
        <v>109563.12538734115</v>
      </c>
      <c r="GY48" s="112">
        <f t="shared" ref="GY48:II48" si="71">SUM(GY8:GY47)</f>
        <v>18543.847857064819</v>
      </c>
      <c r="GZ48" s="112">
        <f t="shared" si="71"/>
        <v>-11274.908465696639</v>
      </c>
      <c r="HA48" s="112">
        <f t="shared" si="71"/>
        <v>-94554.254101099461</v>
      </c>
      <c r="HB48" s="112">
        <f t="shared" si="71"/>
        <v>5178.4317623048755</v>
      </c>
      <c r="HC48" s="112">
        <f t="shared" si="71"/>
        <v>58838.598276507299</v>
      </c>
      <c r="HD48" s="112">
        <f t="shared" si="71"/>
        <v>-112187.87919692641</v>
      </c>
      <c r="HE48" s="112">
        <f t="shared" si="71"/>
        <v>-29306.999470459654</v>
      </c>
      <c r="HF48" s="112">
        <f t="shared" si="71"/>
        <v>138412.1754360811</v>
      </c>
      <c r="HG48" s="112">
        <f t="shared" si="71"/>
        <v>-74630.034054760268</v>
      </c>
      <c r="HH48" s="112">
        <f t="shared" si="71"/>
        <v>18534.770075035231</v>
      </c>
      <c r="HI48" s="112">
        <f t="shared" si="71"/>
        <v>68852.246672142661</v>
      </c>
      <c r="HJ48" s="133">
        <f t="shared" si="71"/>
        <v>95969.120177534787</v>
      </c>
      <c r="HK48" s="112">
        <f t="shared" si="71"/>
        <v>57368.507414414045</v>
      </c>
      <c r="HL48" s="112">
        <f t="shared" si="71"/>
        <v>37992.683374940243</v>
      </c>
      <c r="HM48" s="112">
        <f t="shared" si="71"/>
        <v>115397.39683660667</v>
      </c>
      <c r="HN48" s="112">
        <f t="shared" si="71"/>
        <v>-91133.84305318931</v>
      </c>
      <c r="HO48" s="112">
        <f t="shared" si="71"/>
        <v>43058.42217676781</v>
      </c>
      <c r="HP48" s="112">
        <f t="shared" si="71"/>
        <v>85155.015195290325</v>
      </c>
      <c r="HQ48" s="112">
        <f t="shared" si="71"/>
        <v>68773.349181903977</v>
      </c>
      <c r="HR48" s="112">
        <f t="shared" si="71"/>
        <v>-65669.990504207162</v>
      </c>
      <c r="HS48" s="112">
        <f t="shared" si="71"/>
        <v>91509.853264816746</v>
      </c>
      <c r="HT48" s="112">
        <f t="shared" si="71"/>
        <v>42813.282568187373</v>
      </c>
      <c r="HU48" s="112">
        <f t="shared" si="71"/>
        <v>130734.27947555066</v>
      </c>
      <c r="HV48" s="112">
        <f t="shared" si="71"/>
        <v>-5018.2265134233458</v>
      </c>
      <c r="HW48" s="133">
        <f t="shared" si="71"/>
        <v>510980.729417658</v>
      </c>
      <c r="HX48" s="112">
        <f t="shared" si="71"/>
        <v>13234.364291587366</v>
      </c>
      <c r="HY48" s="112">
        <f t="shared" si="71"/>
        <v>-56504.903593357536</v>
      </c>
      <c r="HZ48" s="112">
        <f t="shared" si="71"/>
        <v>26316.059357826987</v>
      </c>
      <c r="IA48" s="112">
        <f t="shared" si="71"/>
        <v>46436.299381281278</v>
      </c>
      <c r="IB48" s="112">
        <f t="shared" si="71"/>
        <v>-82758.605983948451</v>
      </c>
      <c r="IC48" s="112">
        <f t="shared" si="71"/>
        <v>-59610.798080820183</v>
      </c>
      <c r="ID48" s="112">
        <f t="shared" si="71"/>
        <v>-56769.827481509383</v>
      </c>
      <c r="IE48" s="112">
        <f t="shared" si="71"/>
        <v>18624.599500581971</v>
      </c>
      <c r="IF48" s="112">
        <f t="shared" si="71"/>
        <v>-107707.21252837256</v>
      </c>
      <c r="IG48" s="112">
        <f t="shared" si="71"/>
        <v>53605.451541538379</v>
      </c>
      <c r="IH48" s="133">
        <f t="shared" si="71"/>
        <v>-205134.5735951922</v>
      </c>
      <c r="II48" s="125">
        <f t="shared" si="71"/>
        <v>-79418.520633064953</v>
      </c>
    </row>
  </sheetData>
  <mergeCells count="6">
    <mergeCell ref="K5:AV5"/>
    <mergeCell ref="AX5:CI5"/>
    <mergeCell ref="CK5:DV5"/>
    <mergeCell ref="DX5:FI5"/>
    <mergeCell ref="FK5:GV5"/>
    <mergeCell ref="GX5:II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874B-195A-4E8F-9CB9-A4AFDAF32426}">
  <dimension ref="B3:P48"/>
  <sheetViews>
    <sheetView showGridLines="0" workbookViewId="0">
      <pane ySplit="5" topLeftCell="A6" activePane="bottomLeft" state="frozen"/>
      <selection pane="bottomLeft" activeCell="B6" sqref="B6"/>
    </sheetView>
  </sheetViews>
  <sheetFormatPr defaultRowHeight="12" x14ac:dyDescent="0.2"/>
  <cols>
    <col min="1" max="1" width="1.7109375" style="89" customWidth="1"/>
    <col min="2" max="2" width="20.7109375" style="89" bestFit="1" customWidth="1"/>
    <col min="3" max="3" width="7.5703125" style="89" bestFit="1" customWidth="1"/>
    <col min="4" max="4" width="12.42578125" style="89" bestFit="1" customWidth="1"/>
    <col min="5" max="5" width="10" style="89" bestFit="1" customWidth="1"/>
    <col min="6" max="6" width="10.28515625" style="170" bestFit="1" customWidth="1"/>
    <col min="7" max="7" width="10.28515625" style="89" bestFit="1" customWidth="1"/>
    <col min="8" max="8" width="10" style="89" bestFit="1" customWidth="1"/>
    <col min="9" max="9" width="10.28515625" style="170" bestFit="1" customWidth="1"/>
    <col min="10" max="10" width="9.42578125" style="89" bestFit="1" customWidth="1"/>
    <col min="11" max="11" width="10" style="89" bestFit="1" customWidth="1"/>
    <col min="12" max="12" width="10.7109375" style="170" bestFit="1" customWidth="1"/>
    <col min="13" max="13" width="10" style="89" bestFit="1" customWidth="1"/>
    <col min="14" max="14" width="10.28515625" style="89" bestFit="1" customWidth="1"/>
    <col min="15" max="15" width="10.7109375" style="89" bestFit="1" customWidth="1"/>
    <col min="16" max="16" width="10.28515625" style="89" bestFit="1" customWidth="1"/>
    <col min="17" max="16384" width="9.140625" style="89"/>
  </cols>
  <sheetData>
    <row r="3" spans="2:16" ht="12.75" thickBot="1" x14ac:dyDescent="0.25">
      <c r="B3" s="104"/>
      <c r="C3" s="104"/>
      <c r="D3" s="104"/>
      <c r="E3" s="104"/>
      <c r="F3" s="174"/>
      <c r="G3" s="104"/>
      <c r="H3" s="104"/>
      <c r="I3" s="174"/>
      <c r="J3" s="104"/>
      <c r="K3" s="104"/>
      <c r="L3" s="174"/>
      <c r="M3" s="104"/>
      <c r="N3" s="104"/>
      <c r="O3" s="104"/>
      <c r="P3" s="104"/>
    </row>
    <row r="5" spans="2:16" ht="36" x14ac:dyDescent="0.2">
      <c r="B5" s="167" t="s">
        <v>466</v>
      </c>
      <c r="C5" s="167" t="s">
        <v>449</v>
      </c>
      <c r="D5" s="167" t="s">
        <v>450</v>
      </c>
      <c r="E5" s="111" t="s">
        <v>454</v>
      </c>
      <c r="F5" s="111" t="s">
        <v>458</v>
      </c>
      <c r="G5" s="111" t="s">
        <v>462</v>
      </c>
      <c r="H5" s="172" t="s">
        <v>455</v>
      </c>
      <c r="I5" s="111" t="s">
        <v>459</v>
      </c>
      <c r="J5" s="111" t="s">
        <v>463</v>
      </c>
      <c r="K5" s="172" t="s">
        <v>456</v>
      </c>
      <c r="L5" s="111" t="s">
        <v>460</v>
      </c>
      <c r="M5" s="111" t="s">
        <v>464</v>
      </c>
      <c r="N5" s="172" t="s">
        <v>457</v>
      </c>
      <c r="O5" s="111" t="s">
        <v>461</v>
      </c>
      <c r="P5" s="111" t="s">
        <v>465</v>
      </c>
    </row>
    <row r="6" spans="2:16" x14ac:dyDescent="0.2">
      <c r="B6" s="168" t="s">
        <v>415</v>
      </c>
      <c r="E6" s="92">
        <v>1569466.3621888752</v>
      </c>
      <c r="F6" s="92">
        <v>242266.26218887523</v>
      </c>
      <c r="G6" s="171">
        <v>0.15436218833705723</v>
      </c>
      <c r="H6" s="173">
        <v>2296140.0687432536</v>
      </c>
      <c r="I6" s="92">
        <v>227701.44874325348</v>
      </c>
      <c r="J6" s="171">
        <v>9.9167055112574787E-2</v>
      </c>
      <c r="K6" s="173">
        <v>1455048.274067871</v>
      </c>
      <c r="L6" s="92">
        <v>103490.61406787086</v>
      </c>
      <c r="M6" s="171">
        <v>7.1125210010072507E-2</v>
      </c>
      <c r="N6" s="173">
        <v>1878093.1157649613</v>
      </c>
      <c r="O6" s="92">
        <v>205205.98576496128</v>
      </c>
      <c r="P6" s="171">
        <v>0.10926294550703326</v>
      </c>
    </row>
    <row r="7" spans="2:16" x14ac:dyDescent="0.2">
      <c r="B7" s="168" t="s">
        <v>6</v>
      </c>
      <c r="E7" s="92">
        <v>1118757.9079886593</v>
      </c>
      <c r="F7" s="92">
        <v>324448.43798865943</v>
      </c>
      <c r="G7" s="171">
        <v>0.29000772702645183</v>
      </c>
      <c r="H7" s="173">
        <v>1435769.6006744045</v>
      </c>
      <c r="I7" s="92">
        <v>486155.48067440442</v>
      </c>
      <c r="J7" s="171">
        <v>0.33860271205494896</v>
      </c>
      <c r="K7" s="173">
        <v>1195947.8223369371</v>
      </c>
      <c r="L7" s="92">
        <v>351863.86233693705</v>
      </c>
      <c r="M7" s="171">
        <v>0.29421338938464631</v>
      </c>
      <c r="N7" s="173">
        <v>1415619.0436019737</v>
      </c>
      <c r="O7" s="92">
        <v>417993.90360197384</v>
      </c>
      <c r="P7" s="171">
        <v>0.29527287407663627</v>
      </c>
    </row>
    <row r="8" spans="2:16" x14ac:dyDescent="0.2">
      <c r="B8" s="168" t="s">
        <v>453</v>
      </c>
      <c r="E8" s="92">
        <v>2688224.2701775352</v>
      </c>
      <c r="F8" s="92">
        <v>566714.70017753472</v>
      </c>
      <c r="G8" s="171">
        <v>0.21081377266938664</v>
      </c>
      <c r="H8" s="173">
        <v>3731909.6694176579</v>
      </c>
      <c r="I8" s="92">
        <v>713856.9294176579</v>
      </c>
      <c r="J8" s="171">
        <v>0.19128462172265037</v>
      </c>
      <c r="K8" s="173">
        <v>2650996.0964048081</v>
      </c>
      <c r="L8" s="92">
        <v>455354.47640480794</v>
      </c>
      <c r="M8" s="171">
        <v>0.17176731305728604</v>
      </c>
      <c r="N8" s="173">
        <v>3293712.159366935</v>
      </c>
      <c r="O8" s="92">
        <v>623199.88936693524</v>
      </c>
      <c r="P8" s="171">
        <v>0.1892089712802095</v>
      </c>
    </row>
    <row r="9" spans="2:16" x14ac:dyDescent="0.2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16" x14ac:dyDescent="0.2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2:16" x14ac:dyDescent="0.2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2:16" x14ac:dyDescent="0.2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2:16" x14ac:dyDescent="0.2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2:16" x14ac:dyDescent="0.2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2:16" x14ac:dyDescent="0.2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2:16" x14ac:dyDescent="0.2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2:16" x14ac:dyDescent="0.2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2:16" x14ac:dyDescent="0.2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2:16" x14ac:dyDescent="0.2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2:16" x14ac:dyDescent="0.2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2:16" x14ac:dyDescent="0.2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2:16" x14ac:dyDescent="0.2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2:16" x14ac:dyDescent="0.2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16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2:16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2:16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2:16" x14ac:dyDescent="0.2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2:16" x14ac:dyDescent="0.2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2:16" x14ac:dyDescent="0.2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6" x14ac:dyDescent="0.2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6" x14ac:dyDescent="0.2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6" x14ac:dyDescent="0.2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 x14ac:dyDescent="0.2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 x14ac:dyDescent="0.2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 x14ac:dyDescent="0.2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x14ac:dyDescent="0.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x14ac:dyDescent="0.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x14ac:dyDescent="0.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x14ac:dyDescent="0.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x14ac:dyDescent="0.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x14ac:dyDescent="0.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x14ac:dyDescent="0.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x14ac:dyDescent="0.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x14ac:dyDescent="0.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x14ac:dyDescent="0.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x14ac:dyDescent="0.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x14ac:dyDescent="0.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EC69-5EC7-4F2E-B47F-E50BD8D22F82}">
  <dimension ref="B3:O46"/>
  <sheetViews>
    <sheetView showGridLines="0" workbookViewId="0">
      <pane ySplit="5" topLeftCell="A6" activePane="bottomLeft" state="frozen"/>
      <selection pane="bottomLeft" activeCell="B5" sqref="B5"/>
    </sheetView>
  </sheetViews>
  <sheetFormatPr defaultRowHeight="12" x14ac:dyDescent="0.2"/>
  <cols>
    <col min="1" max="1" width="1.7109375" style="89" customWidth="1"/>
    <col min="2" max="2" width="11" style="89" bestFit="1" customWidth="1"/>
    <col min="3" max="3" width="40.7109375" style="89" bestFit="1" customWidth="1"/>
    <col min="4" max="4" width="12.42578125" style="89" bestFit="1" customWidth="1"/>
    <col min="5" max="5" width="10.28515625" style="89" bestFit="1" customWidth="1"/>
    <col min="6" max="6" width="10.28515625" style="170" bestFit="1" customWidth="1"/>
    <col min="7" max="7" width="12.42578125" style="89" bestFit="1" customWidth="1"/>
    <col min="8" max="8" width="10.28515625" style="89" bestFit="1" customWidth="1"/>
    <col min="9" max="9" width="10.28515625" style="170" bestFit="1" customWidth="1"/>
    <col min="10" max="10" width="10" style="89" bestFit="1" customWidth="1"/>
    <col min="11" max="11" width="10.7109375" style="89" bestFit="1" customWidth="1"/>
    <col min="12" max="12" width="11.85546875" style="170" bestFit="1" customWidth="1"/>
    <col min="13" max="13" width="10.28515625" style="89" bestFit="1" customWidth="1"/>
    <col min="14" max="14" width="10.7109375" style="89" bestFit="1" customWidth="1"/>
    <col min="15" max="15" width="11.85546875" style="89" bestFit="1" customWidth="1"/>
    <col min="16" max="16384" width="9.140625" style="89"/>
  </cols>
  <sheetData>
    <row r="3" spans="2:15" ht="12.75" thickBot="1" x14ac:dyDescent="0.25">
      <c r="B3" s="104"/>
      <c r="C3" s="104"/>
      <c r="D3" s="104"/>
      <c r="E3" s="104"/>
      <c r="F3" s="174"/>
      <c r="G3" s="104"/>
      <c r="H3" s="104"/>
      <c r="I3" s="174"/>
      <c r="J3" s="104"/>
      <c r="K3" s="104"/>
      <c r="L3" s="174"/>
      <c r="M3" s="104"/>
      <c r="N3" s="104"/>
      <c r="O3" s="104"/>
    </row>
    <row r="5" spans="2:15" ht="36" x14ac:dyDescent="0.2">
      <c r="B5" s="167" t="s">
        <v>466</v>
      </c>
      <c r="C5" s="167" t="s">
        <v>450</v>
      </c>
      <c r="D5" s="111" t="s">
        <v>454</v>
      </c>
      <c r="E5" s="111" t="s">
        <v>458</v>
      </c>
      <c r="F5" s="111" t="s">
        <v>462</v>
      </c>
      <c r="G5" s="172" t="s">
        <v>455</v>
      </c>
      <c r="H5" s="111" t="s">
        <v>459</v>
      </c>
      <c r="I5" s="111" t="s">
        <v>463</v>
      </c>
      <c r="J5" s="172" t="s">
        <v>456</v>
      </c>
      <c r="K5" s="111" t="s">
        <v>460</v>
      </c>
      <c r="L5" s="111" t="s">
        <v>464</v>
      </c>
      <c r="M5" s="172" t="s">
        <v>457</v>
      </c>
      <c r="N5" s="111" t="s">
        <v>461</v>
      </c>
      <c r="O5" s="111" t="s">
        <v>465</v>
      </c>
    </row>
    <row r="6" spans="2:15" x14ac:dyDescent="0.2">
      <c r="B6" s="168" t="s">
        <v>223</v>
      </c>
      <c r="C6" s="168" t="s">
        <v>224</v>
      </c>
      <c r="D6" s="92">
        <v>46664.724999999999</v>
      </c>
      <c r="E6" s="92">
        <v>9332.9450000000015</v>
      </c>
      <c r="F6" s="171">
        <v>0.20000000000000004</v>
      </c>
      <c r="G6" s="173">
        <v>337728.23749999999</v>
      </c>
      <c r="H6" s="92">
        <v>67545.647500000006</v>
      </c>
      <c r="I6" s="171">
        <v>0.20000000000000004</v>
      </c>
      <c r="J6" s="173">
        <v>21310.575000000004</v>
      </c>
      <c r="K6" s="92">
        <v>4262.1149999999998</v>
      </c>
      <c r="L6" s="171">
        <v>0.19999999999999996</v>
      </c>
      <c r="M6" s="173">
        <v>237531.02500000002</v>
      </c>
      <c r="N6" s="92">
        <v>47506.205000000002</v>
      </c>
      <c r="O6" s="171">
        <v>0.19999999999999998</v>
      </c>
    </row>
    <row r="7" spans="2:15" x14ac:dyDescent="0.2">
      <c r="B7" s="168" t="s">
        <v>341</v>
      </c>
      <c r="C7" s="168" t="s">
        <v>342</v>
      </c>
      <c r="D7" s="92">
        <v>54670.019958294222</v>
      </c>
      <c r="E7" s="92">
        <v>10555.569958294222</v>
      </c>
      <c r="F7" s="171">
        <v>0.193077850828419</v>
      </c>
      <c r="G7" s="173">
        <v>115777.63740394585</v>
      </c>
      <c r="H7" s="92">
        <v>22354.097403945834</v>
      </c>
      <c r="I7" s="171">
        <v>0.19307785082841894</v>
      </c>
      <c r="J7" s="173">
        <v>224095.99263775992</v>
      </c>
      <c r="K7" s="92">
        <v>43267.972637759885</v>
      </c>
      <c r="L7" s="171">
        <v>0.19307785082841897</v>
      </c>
      <c r="M7" s="173">
        <v>224095.99263775992</v>
      </c>
      <c r="N7" s="92">
        <v>43267.972637759885</v>
      </c>
      <c r="O7" s="171">
        <v>0.19307785082841897</v>
      </c>
    </row>
    <row r="8" spans="2:15" x14ac:dyDescent="0.2">
      <c r="B8" s="168" t="s">
        <v>283</v>
      </c>
      <c r="C8" s="168" t="s">
        <v>284</v>
      </c>
      <c r="D8" s="92">
        <v>33943.43442093621</v>
      </c>
      <c r="E8" s="92">
        <v>9404.6544209362055</v>
      </c>
      <c r="F8" s="171">
        <v>0.27706843993180141</v>
      </c>
      <c r="G8" s="173">
        <v>9457.7970829700553</v>
      </c>
      <c r="H8" s="92">
        <v>2620.457082970056</v>
      </c>
      <c r="I8" s="171">
        <v>0.27706843993180147</v>
      </c>
      <c r="J8" s="173">
        <v>188661.82849609377</v>
      </c>
      <c r="K8" s="92">
        <v>52272.238496093778</v>
      </c>
      <c r="L8" s="171">
        <v>0.27706843993180141</v>
      </c>
      <c r="M8" s="173">
        <v>188661.82849609377</v>
      </c>
      <c r="N8" s="92">
        <v>52272.238496093778</v>
      </c>
      <c r="O8" s="171">
        <v>0.27706843993180141</v>
      </c>
    </row>
    <row r="9" spans="2:15" x14ac:dyDescent="0.2">
      <c r="B9" s="168" t="s">
        <v>337</v>
      </c>
      <c r="C9" s="168" t="s">
        <v>338</v>
      </c>
      <c r="D9" s="92">
        <v>176143.44512941132</v>
      </c>
      <c r="E9" s="92">
        <v>105201.2351294113</v>
      </c>
      <c r="F9" s="171">
        <v>0.59724751637576245</v>
      </c>
      <c r="G9" s="173">
        <v>94555.891145119691</v>
      </c>
      <c r="H9" s="92">
        <v>56473.271145119688</v>
      </c>
      <c r="I9" s="171">
        <v>0.59724751637576245</v>
      </c>
      <c r="J9" s="173">
        <v>137409.90372546899</v>
      </c>
      <c r="K9" s="92">
        <v>82067.723725468983</v>
      </c>
      <c r="L9" s="171">
        <v>0.59724751637576245</v>
      </c>
      <c r="M9" s="173">
        <v>151403.36181487513</v>
      </c>
      <c r="N9" s="92">
        <v>90425.281814875125</v>
      </c>
      <c r="O9" s="171">
        <v>0.59724751637576245</v>
      </c>
    </row>
    <row r="10" spans="2:15" x14ac:dyDescent="0.2">
      <c r="B10" s="168" t="s">
        <v>295</v>
      </c>
      <c r="C10" s="168" t="s">
        <v>296</v>
      </c>
      <c r="D10" s="92">
        <v>52239.88891065045</v>
      </c>
      <c r="E10" s="92">
        <v>40119.468910650459</v>
      </c>
      <c r="F10" s="171">
        <v>0.76798534122592799</v>
      </c>
      <c r="G10" s="173">
        <v>187426.56274293808</v>
      </c>
      <c r="H10" s="92">
        <v>143940.85274293809</v>
      </c>
      <c r="I10" s="171">
        <v>0.76798534122592788</v>
      </c>
      <c r="J10" s="173">
        <v>107156.54834641138</v>
      </c>
      <c r="K10" s="92">
        <v>82294.658346411394</v>
      </c>
      <c r="L10" s="171">
        <v>0.76798534122592799</v>
      </c>
      <c r="M10" s="173">
        <v>146774.17444197083</v>
      </c>
      <c r="N10" s="92">
        <v>112720.41444197083</v>
      </c>
      <c r="O10" s="171">
        <v>0.76798534122592788</v>
      </c>
    </row>
    <row r="11" spans="2:15" x14ac:dyDescent="0.2">
      <c r="B11" s="168" t="s">
        <v>225</v>
      </c>
      <c r="C11" s="168" t="s">
        <v>226</v>
      </c>
      <c r="D11" s="92">
        <v>304109.81250000006</v>
      </c>
      <c r="E11" s="92">
        <v>60821.962500000001</v>
      </c>
      <c r="F11" s="171">
        <v>0.19999999999999996</v>
      </c>
      <c r="G11" s="173">
        <v>31320.75</v>
      </c>
      <c r="H11" s="92">
        <v>6264.15</v>
      </c>
      <c r="I11" s="171">
        <v>0.19999999999999998</v>
      </c>
      <c r="J11" s="173">
        <v>126835.95</v>
      </c>
      <c r="K11" s="92">
        <v>25367.189999999991</v>
      </c>
      <c r="L11" s="171">
        <v>0.19999999999999993</v>
      </c>
      <c r="M11" s="173">
        <v>134057.9</v>
      </c>
      <c r="N11" s="92">
        <v>26811.579999999991</v>
      </c>
      <c r="O11" s="171">
        <v>0.19999999999999993</v>
      </c>
    </row>
    <row r="12" spans="2:15" x14ac:dyDescent="0.2">
      <c r="B12" s="168" t="s">
        <v>229</v>
      </c>
      <c r="C12" s="168" t="s">
        <v>230</v>
      </c>
      <c r="D12" s="92">
        <v>39578.575000000004</v>
      </c>
      <c r="E12" s="92">
        <v>7915.7150000000001</v>
      </c>
      <c r="F12" s="171">
        <v>0.19999999999999998</v>
      </c>
      <c r="G12" s="173">
        <v>352784.11250000005</v>
      </c>
      <c r="H12" s="92">
        <v>70556.822499999995</v>
      </c>
      <c r="I12" s="171">
        <v>0.19999999999999996</v>
      </c>
      <c r="J12" s="173">
        <v>121474</v>
      </c>
      <c r="K12" s="92">
        <v>24294.800000000003</v>
      </c>
      <c r="L12" s="171">
        <v>0.2</v>
      </c>
      <c r="M12" s="173">
        <v>121474</v>
      </c>
      <c r="N12" s="92">
        <v>24294.800000000003</v>
      </c>
      <c r="O12" s="171">
        <v>0.2</v>
      </c>
    </row>
    <row r="13" spans="2:15" x14ac:dyDescent="0.2">
      <c r="B13" s="168" t="s">
        <v>287</v>
      </c>
      <c r="C13" s="168" t="s">
        <v>288</v>
      </c>
      <c r="D13" s="92">
        <v>93867.243062359878</v>
      </c>
      <c r="E13" s="92">
        <v>53791.273062359869</v>
      </c>
      <c r="F13" s="171">
        <v>0.57305691855277041</v>
      </c>
      <c r="G13" s="173">
        <v>55585.348565797678</v>
      </c>
      <c r="H13" s="92">
        <v>31853.568565797676</v>
      </c>
      <c r="I13" s="171">
        <v>0.57305691855277041</v>
      </c>
      <c r="J13" s="173">
        <v>116048.88837184251</v>
      </c>
      <c r="K13" s="92">
        <v>66502.618371842502</v>
      </c>
      <c r="L13" s="171">
        <v>0.57305691855277041</v>
      </c>
      <c r="M13" s="173">
        <v>120444.7670768871</v>
      </c>
      <c r="N13" s="92">
        <v>69021.707076887105</v>
      </c>
      <c r="O13" s="171">
        <v>0.57305691855277052</v>
      </c>
    </row>
    <row r="14" spans="2:15" x14ac:dyDescent="0.2">
      <c r="B14" s="168" t="s">
        <v>345</v>
      </c>
      <c r="C14" s="168" t="s">
        <v>346</v>
      </c>
      <c r="D14" s="92">
        <v>253108.51331067458</v>
      </c>
      <c r="E14" s="92">
        <v>165220.79331067458</v>
      </c>
      <c r="F14" s="171">
        <v>0.65276663810938895</v>
      </c>
      <c r="G14" s="173">
        <v>156959.97557161486</v>
      </c>
      <c r="H14" s="92">
        <v>102458.23557161486</v>
      </c>
      <c r="I14" s="171">
        <v>0.65276663810938895</v>
      </c>
      <c r="J14" s="173">
        <v>55335.35111771051</v>
      </c>
      <c r="K14" s="92">
        <v>36121.071117710511</v>
      </c>
      <c r="L14" s="171">
        <v>0.65276663810938906</v>
      </c>
      <c r="M14" s="173">
        <v>120418.55590239185</v>
      </c>
      <c r="N14" s="92">
        <v>78605.21590239185</v>
      </c>
      <c r="O14" s="171">
        <v>0.65276663810938906</v>
      </c>
    </row>
    <row r="15" spans="2:15" x14ac:dyDescent="0.2">
      <c r="B15" s="168" t="s">
        <v>291</v>
      </c>
      <c r="C15" s="168" t="s">
        <v>292</v>
      </c>
      <c r="D15" s="92">
        <v>59563.305668533591</v>
      </c>
      <c r="E15" s="92">
        <v>23151.285668533586</v>
      </c>
      <c r="F15" s="171">
        <v>0.3886836939066004</v>
      </c>
      <c r="G15" s="173">
        <v>112777.8358155992</v>
      </c>
      <c r="H15" s="92">
        <v>43834.905815599202</v>
      </c>
      <c r="I15" s="171">
        <v>0.38868369390660046</v>
      </c>
      <c r="J15" s="173">
        <v>109832.20851586727</v>
      </c>
      <c r="K15" s="92">
        <v>42689.988515867262</v>
      </c>
      <c r="L15" s="171">
        <v>0.3886836939066004</v>
      </c>
      <c r="M15" s="173">
        <v>116586.87865772526</v>
      </c>
      <c r="N15" s="92">
        <v>45315.41865772524</v>
      </c>
      <c r="O15" s="171">
        <v>0.38868369390660035</v>
      </c>
    </row>
    <row r="16" spans="2:15" x14ac:dyDescent="0.2">
      <c r="B16" s="168" t="s">
        <v>347</v>
      </c>
      <c r="C16" s="168" t="s">
        <v>348</v>
      </c>
      <c r="D16" s="92">
        <v>43310.583323985797</v>
      </c>
      <c r="E16" s="92">
        <v>14324.623323985799</v>
      </c>
      <c r="F16" s="171">
        <v>0.33074187010666956</v>
      </c>
      <c r="G16" s="173">
        <v>65259.274484960195</v>
      </c>
      <c r="H16" s="92">
        <v>21583.974484960196</v>
      </c>
      <c r="I16" s="171">
        <v>0.3307418701066695</v>
      </c>
      <c r="J16" s="173">
        <v>91470.282191053979</v>
      </c>
      <c r="K16" s="92">
        <v>30253.052191053983</v>
      </c>
      <c r="L16" s="171">
        <v>0.33074187010666956</v>
      </c>
      <c r="M16" s="173">
        <v>106184.11166903061</v>
      </c>
      <c r="N16" s="92">
        <v>35119.531669030614</v>
      </c>
      <c r="O16" s="171">
        <v>0.33074187010666956</v>
      </c>
    </row>
    <row r="17" spans="2:15" x14ac:dyDescent="0.2">
      <c r="B17" s="168" t="s">
        <v>227</v>
      </c>
      <c r="C17" s="168" t="s">
        <v>228</v>
      </c>
      <c r="D17" s="92">
        <v>28870.6875</v>
      </c>
      <c r="E17" s="92">
        <v>5774.1375000000007</v>
      </c>
      <c r="F17" s="171">
        <v>0.20000000000000004</v>
      </c>
      <c r="G17" s="173">
        <v>83080.862500000003</v>
      </c>
      <c r="H17" s="92">
        <v>16616.172500000001</v>
      </c>
      <c r="I17" s="171">
        <v>0.2</v>
      </c>
      <c r="J17" s="173">
        <v>85146.6</v>
      </c>
      <c r="K17" s="92">
        <v>17029.32</v>
      </c>
      <c r="L17" s="171">
        <v>0.19999999999999998</v>
      </c>
      <c r="M17" s="173">
        <v>102682.77500000001</v>
      </c>
      <c r="N17" s="92">
        <v>20536.554999999997</v>
      </c>
      <c r="O17" s="171">
        <v>0.19999999999999996</v>
      </c>
    </row>
    <row r="18" spans="2:15" x14ac:dyDescent="0.2">
      <c r="B18" s="168" t="s">
        <v>343</v>
      </c>
      <c r="C18" s="168" t="s">
        <v>344</v>
      </c>
      <c r="D18" s="92">
        <v>61099.720863470167</v>
      </c>
      <c r="E18" s="92">
        <v>-18237.709136529829</v>
      </c>
      <c r="F18" s="171">
        <v>-0.29849087489749321</v>
      </c>
      <c r="G18" s="173">
        <v>193958.89864831133</v>
      </c>
      <c r="H18" s="92">
        <v>-57894.961351688667</v>
      </c>
      <c r="I18" s="171">
        <v>-0.29849087489749326</v>
      </c>
      <c r="J18" s="173">
        <v>86453.160488218316</v>
      </c>
      <c r="K18" s="92">
        <v>-25805.479511781672</v>
      </c>
      <c r="L18" s="171">
        <v>-0.29849087489749315</v>
      </c>
      <c r="M18" s="173">
        <v>99178.232584935511</v>
      </c>
      <c r="N18" s="92">
        <v>-29603.79741506447</v>
      </c>
      <c r="O18" s="171">
        <v>-0.29849087489749321</v>
      </c>
    </row>
    <row r="19" spans="2:15" x14ac:dyDescent="0.2">
      <c r="B19" s="168" t="s">
        <v>323</v>
      </c>
      <c r="C19" s="168" t="s">
        <v>324</v>
      </c>
      <c r="D19" s="92">
        <v>30573.070596930829</v>
      </c>
      <c r="E19" s="92">
        <v>-24514.929403069174</v>
      </c>
      <c r="F19" s="171">
        <v>-0.80184714601516605</v>
      </c>
      <c r="G19" s="173">
        <v>70639.199491191859</v>
      </c>
      <c r="H19" s="92">
        <v>-56641.840508808142</v>
      </c>
      <c r="I19" s="171">
        <v>-0.80184714601516571</v>
      </c>
      <c r="J19" s="173">
        <v>99007.959911877246</v>
      </c>
      <c r="K19" s="92">
        <v>-79389.250088122732</v>
      </c>
      <c r="L19" s="171">
        <v>-0.80184714601516593</v>
      </c>
      <c r="M19" s="173">
        <v>99007.959911877246</v>
      </c>
      <c r="N19" s="92">
        <v>-79389.250088122732</v>
      </c>
      <c r="O19" s="171">
        <v>-0.80184714601516593</v>
      </c>
    </row>
    <row r="20" spans="2:15" x14ac:dyDescent="0.2">
      <c r="B20" s="168" t="s">
        <v>325</v>
      </c>
      <c r="C20" s="168" t="s">
        <v>326</v>
      </c>
      <c r="D20" s="92">
        <v>90890.783781349848</v>
      </c>
      <c r="E20" s="92">
        <v>36292.653781349858</v>
      </c>
      <c r="F20" s="171">
        <v>0.39929960191185915</v>
      </c>
      <c r="G20" s="173">
        <v>60217.889175915523</v>
      </c>
      <c r="H20" s="92">
        <v>24044.979175915516</v>
      </c>
      <c r="I20" s="171">
        <v>0.39929960191185909</v>
      </c>
      <c r="J20" s="173">
        <v>98300.917042734596</v>
      </c>
      <c r="K20" s="92">
        <v>39251.517042734602</v>
      </c>
      <c r="L20" s="171">
        <v>0.39929960191185904</v>
      </c>
      <c r="M20" s="173">
        <v>98300.917042734596</v>
      </c>
      <c r="N20" s="92">
        <v>39251.517042734602</v>
      </c>
      <c r="O20" s="171">
        <v>0.39929960191185904</v>
      </c>
    </row>
    <row r="21" spans="2:15" x14ac:dyDescent="0.2">
      <c r="B21" s="168" t="s">
        <v>215</v>
      </c>
      <c r="C21" s="168" t="s">
        <v>216</v>
      </c>
      <c r="D21" s="92">
        <v>12185.082000000006</v>
      </c>
      <c r="E21" s="92">
        <v>2811.9420000000082</v>
      </c>
      <c r="F21" s="171">
        <v>0.23076923076923134</v>
      </c>
      <c r="G21" s="173">
        <v>47733.517000000029</v>
      </c>
      <c r="H21" s="92">
        <v>11015.427000000025</v>
      </c>
      <c r="I21" s="171">
        <v>0.23076923076923114</v>
      </c>
      <c r="J21" s="173">
        <v>95764.500000000058</v>
      </c>
      <c r="K21" s="92">
        <v>22099.500000000058</v>
      </c>
      <c r="L21" s="171">
        <v>0.23076923076923123</v>
      </c>
      <c r="M21" s="173">
        <v>95803.916000000056</v>
      </c>
      <c r="N21" s="92">
        <v>22108.59600000006</v>
      </c>
      <c r="O21" s="171">
        <v>0.23076923076923125</v>
      </c>
    </row>
    <row r="22" spans="2:15" x14ac:dyDescent="0.2">
      <c r="B22" s="168" t="s">
        <v>281</v>
      </c>
      <c r="C22" s="168" t="s">
        <v>282</v>
      </c>
      <c r="D22" s="92">
        <v>102895.28195996382</v>
      </c>
      <c r="E22" s="92">
        <v>72910.591959963829</v>
      </c>
      <c r="F22" s="171">
        <v>0.70859023437374979</v>
      </c>
      <c r="G22" s="173">
        <v>147166.55053696263</v>
      </c>
      <c r="H22" s="92">
        <v>104280.78053696261</v>
      </c>
      <c r="I22" s="171">
        <v>0.70859023437374957</v>
      </c>
      <c r="J22" s="173">
        <v>52935.837503073773</v>
      </c>
      <c r="K22" s="92">
        <v>37509.817503073777</v>
      </c>
      <c r="L22" s="171">
        <v>0.70859023437374979</v>
      </c>
      <c r="M22" s="173">
        <v>95723.765262474859</v>
      </c>
      <c r="N22" s="92">
        <v>67828.925262474862</v>
      </c>
      <c r="O22" s="171">
        <v>0.70859023437374968</v>
      </c>
    </row>
    <row r="23" spans="2:15" x14ac:dyDescent="0.2">
      <c r="B23" s="168" t="s">
        <v>333</v>
      </c>
      <c r="C23" s="168" t="s">
        <v>334</v>
      </c>
      <c r="D23" s="92">
        <v>71175.682199463525</v>
      </c>
      <c r="E23" s="92">
        <v>18106.692199463538</v>
      </c>
      <c r="F23" s="171">
        <v>0.2543943611066648</v>
      </c>
      <c r="G23" s="173">
        <v>211899.37650485258</v>
      </c>
      <c r="H23" s="92">
        <v>53906.006504852565</v>
      </c>
      <c r="I23" s="171">
        <v>0.25439436110666469</v>
      </c>
      <c r="J23" s="173">
        <v>56855.47129568379</v>
      </c>
      <c r="K23" s="92">
        <v>14463.711295683792</v>
      </c>
      <c r="L23" s="171">
        <v>0.25439436110666469</v>
      </c>
      <c r="M23" s="173">
        <v>76515.851039803543</v>
      </c>
      <c r="N23" s="92">
        <v>19465.201039803549</v>
      </c>
      <c r="O23" s="171">
        <v>0.25439436110666469</v>
      </c>
    </row>
    <row r="24" spans="2:15" x14ac:dyDescent="0.2">
      <c r="B24" s="168" t="s">
        <v>331</v>
      </c>
      <c r="C24" s="168" t="s">
        <v>332</v>
      </c>
      <c r="D24" s="92">
        <v>101640.79627015254</v>
      </c>
      <c r="E24" s="92">
        <v>-81374.883729847483</v>
      </c>
      <c r="F24" s="171">
        <v>-0.80061241859577725</v>
      </c>
      <c r="G24" s="173">
        <v>13013.133619434515</v>
      </c>
      <c r="H24" s="92">
        <v>-10418.476380565487</v>
      </c>
      <c r="I24" s="171">
        <v>-0.80061241859577725</v>
      </c>
      <c r="J24" s="173">
        <v>74344.250110412933</v>
      </c>
      <c r="K24" s="92">
        <v>-59520.929889587067</v>
      </c>
      <c r="L24" s="171">
        <v>-0.80061241859577714</v>
      </c>
      <c r="M24" s="173">
        <v>74344.250110412933</v>
      </c>
      <c r="N24" s="92">
        <v>-59520.929889587067</v>
      </c>
      <c r="O24" s="171">
        <v>-0.80061241859577714</v>
      </c>
    </row>
    <row r="25" spans="2:15" x14ac:dyDescent="0.2">
      <c r="B25" s="168" t="s">
        <v>293</v>
      </c>
      <c r="C25" s="168" t="s">
        <v>294</v>
      </c>
      <c r="D25" s="92">
        <v>88050.259755573148</v>
      </c>
      <c r="E25" s="92">
        <v>25969.479755573146</v>
      </c>
      <c r="F25" s="171">
        <v>0.29493927476948079</v>
      </c>
      <c r="G25" s="173">
        <v>135159.0105502519</v>
      </c>
      <c r="H25" s="92">
        <v>39863.700550251902</v>
      </c>
      <c r="I25" s="171">
        <v>0.29493927476948084</v>
      </c>
      <c r="J25" s="173">
        <v>72276.639694175057</v>
      </c>
      <c r="K25" s="92">
        <v>21317.219694175059</v>
      </c>
      <c r="L25" s="171">
        <v>0.29493927476948079</v>
      </c>
      <c r="M25" s="173">
        <v>73853.638611022208</v>
      </c>
      <c r="N25" s="92">
        <v>21782.338611022216</v>
      </c>
      <c r="O25" s="171">
        <v>0.29493927476948079</v>
      </c>
    </row>
    <row r="26" spans="2:15" x14ac:dyDescent="0.2">
      <c r="B26" s="168" t="s">
        <v>277</v>
      </c>
      <c r="C26" s="168" t="s">
        <v>278</v>
      </c>
      <c r="D26" s="92">
        <v>91772.177077391098</v>
      </c>
      <c r="E26" s="92">
        <v>39000.1170773911</v>
      </c>
      <c r="F26" s="171">
        <v>0.42496667638714142</v>
      </c>
      <c r="G26" s="173">
        <v>105937.30397616525</v>
      </c>
      <c r="H26" s="92">
        <v>45019.823976165237</v>
      </c>
      <c r="I26" s="171">
        <v>0.42496667638714131</v>
      </c>
      <c r="J26" s="173">
        <v>51318.138946443694</v>
      </c>
      <c r="K26" s="92">
        <v>21808.498946443688</v>
      </c>
      <c r="L26" s="171">
        <v>0.42496667638714125</v>
      </c>
      <c r="M26" s="173">
        <v>72735.541198233113</v>
      </c>
      <c r="N26" s="92">
        <v>30910.181198233116</v>
      </c>
      <c r="O26" s="171">
        <v>0.42496667638714131</v>
      </c>
    </row>
    <row r="27" spans="2:15" x14ac:dyDescent="0.2">
      <c r="B27" s="168" t="s">
        <v>271</v>
      </c>
      <c r="C27" s="168" t="s">
        <v>272</v>
      </c>
      <c r="D27" s="92">
        <v>34806.289255404728</v>
      </c>
      <c r="E27" s="92">
        <v>-6792.0807445952623</v>
      </c>
      <c r="F27" s="171">
        <v>-0.19513946731740692</v>
      </c>
      <c r="G27" s="173">
        <v>111121.10647478886</v>
      </c>
      <c r="H27" s="92">
        <v>-21684.113525211145</v>
      </c>
      <c r="I27" s="171">
        <v>-0.19513946731740683</v>
      </c>
      <c r="J27" s="173">
        <v>28323.464269806376</v>
      </c>
      <c r="K27" s="92">
        <v>-5527.0257301936199</v>
      </c>
      <c r="L27" s="171">
        <v>-0.19513946731740678</v>
      </c>
      <c r="M27" s="173">
        <v>65296.714010428019</v>
      </c>
      <c r="N27" s="92">
        <v>-12741.96598957198</v>
      </c>
      <c r="O27" s="171">
        <v>-0.19513946731740683</v>
      </c>
    </row>
    <row r="28" spans="2:15" x14ac:dyDescent="0.2">
      <c r="B28" s="168" t="s">
        <v>269</v>
      </c>
      <c r="C28" s="168" t="s">
        <v>270</v>
      </c>
      <c r="D28" s="92">
        <v>39218.938864219992</v>
      </c>
      <c r="E28" s="92">
        <v>-13765.671135780014</v>
      </c>
      <c r="F28" s="171">
        <v>-0.35099550203125551</v>
      </c>
      <c r="G28" s="173">
        <v>26502.982390515492</v>
      </c>
      <c r="H28" s="92">
        <v>-9302.4276094845081</v>
      </c>
      <c r="I28" s="171">
        <v>-0.35099550203125546</v>
      </c>
      <c r="J28" s="173">
        <v>52635.948745264468</v>
      </c>
      <c r="K28" s="92">
        <v>-18474.981254735536</v>
      </c>
      <c r="L28" s="171">
        <v>-0.35099550203125551</v>
      </c>
      <c r="M28" s="173">
        <v>64049.931972310958</v>
      </c>
      <c r="N28" s="92">
        <v>-22481.238027689044</v>
      </c>
      <c r="O28" s="171">
        <v>-0.35099550203125546</v>
      </c>
    </row>
    <row r="29" spans="2:15" x14ac:dyDescent="0.2">
      <c r="B29" s="168" t="s">
        <v>273</v>
      </c>
      <c r="C29" s="168" t="s">
        <v>274</v>
      </c>
      <c r="D29" s="92">
        <v>32579.215089816462</v>
      </c>
      <c r="E29" s="92">
        <v>-6465.3749101835383</v>
      </c>
      <c r="F29" s="171">
        <v>-0.19845091087551925</v>
      </c>
      <c r="G29" s="173">
        <v>41721.391795240183</v>
      </c>
      <c r="H29" s="92">
        <v>-8279.6482047598256</v>
      </c>
      <c r="I29" s="171">
        <v>-0.19845091087551917</v>
      </c>
      <c r="J29" s="173">
        <v>53458.34311494344</v>
      </c>
      <c r="K29" s="92">
        <v>-10608.856885056564</v>
      </c>
      <c r="L29" s="171">
        <v>-0.19845091087551917</v>
      </c>
      <c r="M29" s="173">
        <v>64002.788352811491</v>
      </c>
      <c r="N29" s="92">
        <v>-12701.41164718851</v>
      </c>
      <c r="O29" s="171">
        <v>-0.19845091087551917</v>
      </c>
    </row>
    <row r="30" spans="2:15" x14ac:dyDescent="0.2">
      <c r="B30" s="168" t="s">
        <v>335</v>
      </c>
      <c r="C30" s="168" t="s">
        <v>336</v>
      </c>
      <c r="D30" s="92">
        <v>78287.866757812677</v>
      </c>
      <c r="E30" s="92">
        <v>-2974.2532421873275</v>
      </c>
      <c r="F30" s="171">
        <v>-3.7991241368069521E-2</v>
      </c>
      <c r="G30" s="173">
        <v>90473.509079157506</v>
      </c>
      <c r="H30" s="92">
        <v>-3437.2009208424947</v>
      </c>
      <c r="I30" s="171">
        <v>-3.7991241368069438E-2</v>
      </c>
      <c r="J30" s="173">
        <v>19653.894163029843</v>
      </c>
      <c r="K30" s="92">
        <v>-746.67583697015812</v>
      </c>
      <c r="L30" s="171">
        <v>-3.7991241368069452E-2</v>
      </c>
      <c r="M30" s="173">
        <v>50979.139217260643</v>
      </c>
      <c r="N30" s="92">
        <v>-1936.7607827393647</v>
      </c>
      <c r="O30" s="171">
        <v>-3.7991241368069459E-2</v>
      </c>
    </row>
    <row r="31" spans="2:15" x14ac:dyDescent="0.2">
      <c r="B31" s="168" t="s">
        <v>321</v>
      </c>
      <c r="C31" s="168" t="s">
        <v>322</v>
      </c>
      <c r="D31" s="92">
        <v>35589.824618032093</v>
      </c>
      <c r="E31" s="92">
        <v>-21265.845381967916</v>
      </c>
      <c r="F31" s="171">
        <v>-0.59752599542716689</v>
      </c>
      <c r="G31" s="173">
        <v>19559.506442738559</v>
      </c>
      <c r="H31" s="92">
        <v>-11687.313557261441</v>
      </c>
      <c r="I31" s="171">
        <v>-0.59752599542716689</v>
      </c>
      <c r="J31" s="173">
        <v>49153.628939229369</v>
      </c>
      <c r="K31" s="92">
        <v>-29370.571060770621</v>
      </c>
      <c r="L31" s="171">
        <v>-0.59752599542716678</v>
      </c>
      <c r="M31" s="173">
        <v>50171.540387715802</v>
      </c>
      <c r="N31" s="92">
        <v>-29978.799612284187</v>
      </c>
      <c r="O31" s="171">
        <v>-0.59752599542716678</v>
      </c>
    </row>
    <row r="32" spans="2:15" x14ac:dyDescent="0.2">
      <c r="B32" s="168" t="s">
        <v>221</v>
      </c>
      <c r="C32" s="168" t="s">
        <v>222</v>
      </c>
      <c r="D32" s="92">
        <v>31846.487499999999</v>
      </c>
      <c r="E32" s="92">
        <v>6369.2974999999997</v>
      </c>
      <c r="F32" s="171">
        <v>0.19999999999999998</v>
      </c>
      <c r="G32" s="173">
        <v>122202.78749999999</v>
      </c>
      <c r="H32" s="92">
        <v>24440.557499999988</v>
      </c>
      <c r="I32" s="171">
        <v>0.19999999999999993</v>
      </c>
      <c r="J32" s="173">
        <v>42337.112500000003</v>
      </c>
      <c r="K32" s="92">
        <v>8467.4225000000042</v>
      </c>
      <c r="L32" s="171">
        <v>0.20000000000000009</v>
      </c>
      <c r="M32" s="173">
        <v>49695.724999999999</v>
      </c>
      <c r="N32" s="92">
        <v>9939.1450000000041</v>
      </c>
      <c r="O32" s="171">
        <v>0.20000000000000009</v>
      </c>
    </row>
    <row r="33" spans="2:15" x14ac:dyDescent="0.2">
      <c r="B33" s="168" t="s">
        <v>275</v>
      </c>
      <c r="C33" s="168" t="s">
        <v>276</v>
      </c>
      <c r="D33" s="92">
        <v>90096.973274231859</v>
      </c>
      <c r="E33" s="92">
        <v>65169.813274231841</v>
      </c>
      <c r="F33" s="171">
        <v>0.72332966253896014</v>
      </c>
      <c r="G33" s="173">
        <v>83570.650226484562</v>
      </c>
      <c r="H33" s="92">
        <v>60449.130226484565</v>
      </c>
      <c r="I33" s="171">
        <v>0.72332966253896036</v>
      </c>
      <c r="J33" s="173">
        <v>47855.726499283548</v>
      </c>
      <c r="K33" s="92">
        <v>34615.466499283546</v>
      </c>
      <c r="L33" s="171">
        <v>0.72332966253896025</v>
      </c>
      <c r="M33" s="173">
        <v>47906.328237541704</v>
      </c>
      <c r="N33" s="92">
        <v>34652.068237541702</v>
      </c>
      <c r="O33" s="171">
        <v>0.72332966253896025</v>
      </c>
    </row>
    <row r="34" spans="2:15" x14ac:dyDescent="0.2">
      <c r="B34" s="168" t="s">
        <v>285</v>
      </c>
      <c r="C34" s="168" t="s">
        <v>286</v>
      </c>
      <c r="D34" s="92">
        <v>59597.069147426046</v>
      </c>
      <c r="E34" s="92">
        <v>24064.529147426041</v>
      </c>
      <c r="F34" s="171">
        <v>0.40378712395902056</v>
      </c>
      <c r="G34" s="173">
        <v>65047.488168193122</v>
      </c>
      <c r="H34" s="92">
        <v>26265.338168193124</v>
      </c>
      <c r="I34" s="171">
        <v>0.40378712395902061</v>
      </c>
      <c r="J34" s="173">
        <v>28279.932684380845</v>
      </c>
      <c r="K34" s="92">
        <v>11419.07268438085</v>
      </c>
      <c r="L34" s="171">
        <v>0.40378712395902072</v>
      </c>
      <c r="M34" s="173">
        <v>46653.957198482487</v>
      </c>
      <c r="N34" s="92">
        <v>18838.267198482492</v>
      </c>
      <c r="O34" s="171">
        <v>0.40378712395902067</v>
      </c>
    </row>
    <row r="35" spans="2:15" x14ac:dyDescent="0.2">
      <c r="B35" s="168" t="s">
        <v>289</v>
      </c>
      <c r="C35" s="168" t="s">
        <v>290</v>
      </c>
      <c r="D35" s="92">
        <v>48811.698156292528</v>
      </c>
      <c r="E35" s="92">
        <v>6018.0081562925352</v>
      </c>
      <c r="F35" s="171">
        <v>0.12329028457529145</v>
      </c>
      <c r="G35" s="173">
        <v>74214.154189543362</v>
      </c>
      <c r="H35" s="92">
        <v>9149.8841895433543</v>
      </c>
      <c r="I35" s="171">
        <v>0.12329028457529138</v>
      </c>
      <c r="J35" s="173">
        <v>36272.587654164097</v>
      </c>
      <c r="K35" s="92">
        <v>4472.0576541640949</v>
      </c>
      <c r="L35" s="171">
        <v>0.12329028457529145</v>
      </c>
      <c r="M35" s="173">
        <v>46163.50119993135</v>
      </c>
      <c r="N35" s="92">
        <v>5691.511199931344</v>
      </c>
      <c r="O35" s="171">
        <v>0.12329028457529144</v>
      </c>
    </row>
    <row r="36" spans="2:15" x14ac:dyDescent="0.2">
      <c r="B36" s="168" t="s">
        <v>219</v>
      </c>
      <c r="C36" s="168" t="s">
        <v>220</v>
      </c>
      <c r="D36" s="92">
        <v>82216.758000000147</v>
      </c>
      <c r="E36" s="92">
        <v>18973.098000000158</v>
      </c>
      <c r="F36" s="171">
        <v>0.23076923076923228</v>
      </c>
      <c r="G36" s="173">
        <v>84393.686000000162</v>
      </c>
      <c r="H36" s="92">
        <v>19475.466000000157</v>
      </c>
      <c r="I36" s="171">
        <v>0.2307692307692322</v>
      </c>
      <c r="J36" s="173">
        <v>43929.860000000088</v>
      </c>
      <c r="K36" s="92">
        <v>10137.660000000084</v>
      </c>
      <c r="L36" s="171">
        <v>0.2307692307692322</v>
      </c>
      <c r="M36" s="173">
        <v>43960.111000000084</v>
      </c>
      <c r="N36" s="92">
        <v>10144.641000000083</v>
      </c>
      <c r="O36" s="171">
        <v>0.23076923076923223</v>
      </c>
    </row>
    <row r="37" spans="2:15" x14ac:dyDescent="0.2">
      <c r="B37" s="168" t="s">
        <v>217</v>
      </c>
      <c r="C37" s="168" t="s">
        <v>218</v>
      </c>
      <c r="D37" s="92">
        <v>74806.601999999999</v>
      </c>
      <c r="E37" s="92">
        <v>17263.061999999998</v>
      </c>
      <c r="F37" s="171">
        <v>0.23076923076923075</v>
      </c>
      <c r="G37" s="173">
        <v>69986.266999999993</v>
      </c>
      <c r="H37" s="92">
        <v>16150.676999999998</v>
      </c>
      <c r="I37" s="171">
        <v>0.23076923076923075</v>
      </c>
      <c r="J37" s="173">
        <v>43286.788999999997</v>
      </c>
      <c r="K37" s="92">
        <v>9989.2589999999982</v>
      </c>
      <c r="L37" s="171">
        <v>0.23076923076923075</v>
      </c>
      <c r="M37" s="173">
        <v>43286.788999999997</v>
      </c>
      <c r="N37" s="92">
        <v>9989.2589999999982</v>
      </c>
      <c r="O37" s="171">
        <v>0.23076923076923075</v>
      </c>
    </row>
    <row r="38" spans="2:15" x14ac:dyDescent="0.2">
      <c r="B38" s="168" t="s">
        <v>299</v>
      </c>
      <c r="C38" s="168" t="s">
        <v>300</v>
      </c>
      <c r="D38" s="92">
        <v>42006.028375241513</v>
      </c>
      <c r="E38" s="92">
        <v>-7746.0416247584863</v>
      </c>
      <c r="F38" s="171">
        <v>-0.18440309461210638</v>
      </c>
      <c r="G38" s="173">
        <v>36519.585432327585</v>
      </c>
      <c r="H38" s="92">
        <v>-6734.3245676724082</v>
      </c>
      <c r="I38" s="171">
        <v>-0.18440309461210644</v>
      </c>
      <c r="J38" s="173">
        <v>19532.556192430882</v>
      </c>
      <c r="K38" s="92">
        <v>-3601.8638075691169</v>
      </c>
      <c r="L38" s="171">
        <v>-0.18440309461210641</v>
      </c>
      <c r="M38" s="173">
        <v>29725.758198504569</v>
      </c>
      <c r="N38" s="92">
        <v>-5481.5218014954344</v>
      </c>
      <c r="O38" s="171">
        <v>-0.18440309461210636</v>
      </c>
    </row>
    <row r="39" spans="2:15" x14ac:dyDescent="0.2">
      <c r="B39" s="168" t="s">
        <v>329</v>
      </c>
      <c r="C39" s="168" t="s">
        <v>330</v>
      </c>
      <c r="D39" s="92">
        <v>39953.883976537749</v>
      </c>
      <c r="E39" s="92">
        <v>-6085.2560234622488</v>
      </c>
      <c r="F39" s="171">
        <v>-0.15230699541090206</v>
      </c>
      <c r="G39" s="173">
        <v>58994.330738883618</v>
      </c>
      <c r="H39" s="92">
        <v>-8985.2492611163834</v>
      </c>
      <c r="I39" s="171">
        <v>-0.15230699541090204</v>
      </c>
      <c r="J39" s="173">
        <v>19157.785284578636</v>
      </c>
      <c r="K39" s="92">
        <v>-2917.8647154213641</v>
      </c>
      <c r="L39" s="171">
        <v>-0.15230699541090198</v>
      </c>
      <c r="M39" s="173">
        <v>28091.65450606076</v>
      </c>
      <c r="N39" s="92">
        <v>-4278.5554939392414</v>
      </c>
      <c r="O39" s="171">
        <v>-0.15230699541090204</v>
      </c>
    </row>
    <row r="40" spans="2:15" x14ac:dyDescent="0.2">
      <c r="B40" s="168" t="s">
        <v>279</v>
      </c>
      <c r="C40" s="168" t="s">
        <v>280</v>
      </c>
      <c r="D40" s="92">
        <v>14724.983730061353</v>
      </c>
      <c r="E40" s="92">
        <v>-9642.9662699386463</v>
      </c>
      <c r="F40" s="171">
        <v>-0.65487109844830149</v>
      </c>
      <c r="G40" s="173">
        <v>8604.6037140607223</v>
      </c>
      <c r="H40" s="92">
        <v>-5634.9062859392798</v>
      </c>
      <c r="I40" s="171">
        <v>-0.65487109844830149</v>
      </c>
      <c r="J40" s="173">
        <v>26264.46255587793</v>
      </c>
      <c r="K40" s="92">
        <v>-17199.837444122066</v>
      </c>
      <c r="L40" s="171">
        <v>-0.6548710984483016</v>
      </c>
      <c r="M40" s="173">
        <v>26324.352416842285</v>
      </c>
      <c r="N40" s="92">
        <v>-17239.057583157708</v>
      </c>
      <c r="O40" s="171">
        <v>-0.65487109844830149</v>
      </c>
    </row>
    <row r="41" spans="2:15" x14ac:dyDescent="0.2">
      <c r="B41" s="168" t="s">
        <v>339</v>
      </c>
      <c r="C41" s="168" t="s">
        <v>340</v>
      </c>
      <c r="D41" s="92">
        <v>23954.717925751935</v>
      </c>
      <c r="E41" s="92">
        <v>-5627.9220742480647</v>
      </c>
      <c r="F41" s="171">
        <v>-0.23494002691628044</v>
      </c>
      <c r="G41" s="173">
        <v>143268.92492245245</v>
      </c>
      <c r="H41" s="92">
        <v>-33659.605077547552</v>
      </c>
      <c r="I41" s="171">
        <v>-0.23494002691628052</v>
      </c>
      <c r="J41" s="173">
        <v>16278.677151795682</v>
      </c>
      <c r="K41" s="92">
        <v>-3824.5128482043183</v>
      </c>
      <c r="L41" s="171">
        <v>-0.23494002691628052</v>
      </c>
      <c r="M41" s="173">
        <v>23533.361431785706</v>
      </c>
      <c r="N41" s="92">
        <v>-5528.9285682142927</v>
      </c>
      <c r="O41" s="171">
        <v>-0.23494002691628055</v>
      </c>
    </row>
    <row r="42" spans="2:15" x14ac:dyDescent="0.2">
      <c r="B42" s="168" t="s">
        <v>327</v>
      </c>
      <c r="C42" s="168" t="s">
        <v>328</v>
      </c>
      <c r="D42" s="92">
        <v>39010.640512713828</v>
      </c>
      <c r="E42" s="92">
        <v>-21965.099487286163</v>
      </c>
      <c r="F42" s="171">
        <v>-0.5630540590618498</v>
      </c>
      <c r="G42" s="173">
        <v>20725.629937229271</v>
      </c>
      <c r="H42" s="92">
        <v>-11669.650062770728</v>
      </c>
      <c r="I42" s="171">
        <v>-0.56305405906184958</v>
      </c>
      <c r="J42" s="173">
        <v>20193.159550056906</v>
      </c>
      <c r="K42" s="92">
        <v>-11369.840449943094</v>
      </c>
      <c r="L42" s="171">
        <v>-0.56305405906184969</v>
      </c>
      <c r="M42" s="173">
        <v>20193.159550056906</v>
      </c>
      <c r="N42" s="92">
        <v>-11369.840449943094</v>
      </c>
      <c r="O42" s="171">
        <v>-0.56305405906184969</v>
      </c>
    </row>
    <row r="43" spans="2:15" x14ac:dyDescent="0.2">
      <c r="B43" s="168" t="s">
        <v>301</v>
      </c>
      <c r="C43" s="168" t="s">
        <v>302</v>
      </c>
      <c r="D43" s="92">
        <v>38482.372571082255</v>
      </c>
      <c r="E43" s="92">
        <v>-16293.717428917742</v>
      </c>
      <c r="F43" s="171">
        <v>-0.42340729898659435</v>
      </c>
      <c r="G43" s="173">
        <v>4454.7122980993772</v>
      </c>
      <c r="H43" s="92">
        <v>-1886.1577019006224</v>
      </c>
      <c r="I43" s="171">
        <v>-0.42340729898659446</v>
      </c>
      <c r="J43" s="173">
        <v>15873.545130818384</v>
      </c>
      <c r="K43" s="92">
        <v>-6720.9748691816167</v>
      </c>
      <c r="L43" s="171">
        <v>-0.42340729898659424</v>
      </c>
      <c r="M43" s="173">
        <v>15873.545130818384</v>
      </c>
      <c r="N43" s="92">
        <v>-6720.9748691816167</v>
      </c>
      <c r="O43" s="171">
        <v>-0.42340729898659424</v>
      </c>
    </row>
    <row r="44" spans="2:15" x14ac:dyDescent="0.2">
      <c r="B44" s="168" t="s">
        <v>297</v>
      </c>
      <c r="C44" s="168" t="s">
        <v>298</v>
      </c>
      <c r="D44" s="92">
        <v>26894.306669474325</v>
      </c>
      <c r="E44" s="92">
        <v>-13493.033330525675</v>
      </c>
      <c r="F44" s="171">
        <v>-0.5017059371097522</v>
      </c>
      <c r="G44" s="173">
        <v>28389.0467144662</v>
      </c>
      <c r="H44" s="92">
        <v>-14242.953285533795</v>
      </c>
      <c r="I44" s="171">
        <v>-0.50170593710975209</v>
      </c>
      <c r="J44" s="173">
        <v>6240.0166160594636</v>
      </c>
      <c r="K44" s="92">
        <v>-3130.653383940537</v>
      </c>
      <c r="L44" s="171">
        <v>-0.50170593710975209</v>
      </c>
      <c r="M44" s="173">
        <v>11790.757139895319</v>
      </c>
      <c r="N44" s="92">
        <v>-5915.4928601046813</v>
      </c>
      <c r="O44" s="171">
        <v>-0.50170593710975209</v>
      </c>
    </row>
    <row r="45" spans="2:15" x14ac:dyDescent="0.2">
      <c r="B45" s="168" t="s">
        <v>349</v>
      </c>
      <c r="C45" s="168" t="s">
        <v>350</v>
      </c>
      <c r="D45" s="92">
        <v>18986.525464294144</v>
      </c>
      <c r="E45" s="92">
        <v>-15603.46453570586</v>
      </c>
      <c r="F45" s="171">
        <v>-0.82181779731365634</v>
      </c>
      <c r="G45" s="173">
        <v>53720.141577445756</v>
      </c>
      <c r="H45" s="92">
        <v>-44148.168422554234</v>
      </c>
      <c r="I45" s="171">
        <v>-0.82181779731365623</v>
      </c>
      <c r="J45" s="173">
        <v>10233.602958260137</v>
      </c>
      <c r="K45" s="92">
        <v>-8410.1570417398616</v>
      </c>
      <c r="L45" s="171">
        <v>-0.82181779731365623</v>
      </c>
      <c r="M45" s="173">
        <v>10233.602958260137</v>
      </c>
      <c r="N45" s="92">
        <v>-8410.1570417398616</v>
      </c>
      <c r="O45" s="171">
        <v>-0.82181779731365623</v>
      </c>
    </row>
    <row r="46" spans="2:15" x14ac:dyDescent="0.2">
      <c r="B46" s="168" t="s">
        <v>453</v>
      </c>
      <c r="D46" s="92">
        <v>2688224.2701775352</v>
      </c>
      <c r="E46" s="92">
        <v>566714.70017753472</v>
      </c>
      <c r="F46" s="171">
        <v>0.21081377266938664</v>
      </c>
      <c r="G46" s="173">
        <v>3731909.6694176579</v>
      </c>
      <c r="H46" s="92">
        <v>713856.9294176579</v>
      </c>
      <c r="I46" s="171">
        <v>0.19128462172265037</v>
      </c>
      <c r="J46" s="173">
        <v>2650996.0964048081</v>
      </c>
      <c r="K46" s="92">
        <v>455354.47640480794</v>
      </c>
      <c r="L46" s="171">
        <v>0.17176731305728604</v>
      </c>
      <c r="M46" s="173">
        <v>3293712.159366935</v>
      </c>
      <c r="N46" s="92">
        <v>623199.88936693524</v>
      </c>
      <c r="O46" s="171">
        <v>0.1892089712802095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9BA7-92A4-4409-BD4F-00E08F6CE6C9}">
  <dimension ref="B3:P61"/>
  <sheetViews>
    <sheetView showGridLines="0" workbookViewId="0">
      <pane ySplit="5" topLeftCell="A6" activePane="bottomLeft" state="frozen"/>
      <selection pane="bottomLeft" activeCell="B5" sqref="B5"/>
    </sheetView>
  </sheetViews>
  <sheetFormatPr defaultRowHeight="12" x14ac:dyDescent="0.2"/>
  <cols>
    <col min="1" max="1" width="1.7109375" style="89" customWidth="1"/>
    <col min="2" max="2" width="29.28515625" style="89" bestFit="1" customWidth="1"/>
    <col min="3" max="3" width="7.5703125" style="89" bestFit="1" customWidth="1"/>
    <col min="4" max="4" width="12.42578125" style="89" bestFit="1" customWidth="1"/>
    <col min="5" max="5" width="10" style="89" bestFit="1" customWidth="1"/>
    <col min="6" max="6" width="10.28515625" style="170" bestFit="1" customWidth="1"/>
    <col min="7" max="7" width="10.28515625" style="89" bestFit="1" customWidth="1"/>
    <col min="8" max="8" width="10" style="89" bestFit="1" customWidth="1"/>
    <col min="9" max="9" width="10.28515625" style="170" bestFit="1" customWidth="1"/>
    <col min="10" max="10" width="9.42578125" style="89" bestFit="1" customWidth="1"/>
    <col min="11" max="11" width="10" style="89" bestFit="1" customWidth="1"/>
    <col min="12" max="12" width="10.7109375" style="170" bestFit="1" customWidth="1"/>
    <col min="13" max="13" width="10" style="89" bestFit="1" customWidth="1"/>
    <col min="14" max="14" width="10.28515625" style="89" bestFit="1" customWidth="1"/>
    <col min="15" max="15" width="10.7109375" style="89" bestFit="1" customWidth="1"/>
    <col min="16" max="16" width="10.28515625" style="89" bestFit="1" customWidth="1"/>
    <col min="17" max="16384" width="9.140625" style="89"/>
  </cols>
  <sheetData>
    <row r="3" spans="2:16" ht="12.75" thickBot="1" x14ac:dyDescent="0.25">
      <c r="B3" s="104"/>
      <c r="C3" s="104"/>
      <c r="D3" s="104"/>
      <c r="E3" s="104"/>
      <c r="F3" s="174"/>
      <c r="G3" s="104"/>
      <c r="H3" s="104"/>
      <c r="I3" s="174"/>
      <c r="J3" s="104"/>
      <c r="K3" s="104"/>
      <c r="L3" s="174"/>
      <c r="M3" s="104"/>
      <c r="N3" s="104"/>
      <c r="O3" s="104"/>
      <c r="P3" s="104"/>
    </row>
    <row r="5" spans="2:16" ht="36" x14ac:dyDescent="0.2">
      <c r="B5" s="167" t="s">
        <v>466</v>
      </c>
      <c r="C5" s="167" t="s">
        <v>449</v>
      </c>
      <c r="D5" s="167" t="s">
        <v>450</v>
      </c>
      <c r="E5" s="111" t="s">
        <v>454</v>
      </c>
      <c r="F5" s="111" t="s">
        <v>458</v>
      </c>
      <c r="G5" s="111" t="s">
        <v>462</v>
      </c>
      <c r="H5" s="172" t="s">
        <v>455</v>
      </c>
      <c r="I5" s="111" t="s">
        <v>459</v>
      </c>
      <c r="J5" s="111" t="s">
        <v>463</v>
      </c>
      <c r="K5" s="172" t="s">
        <v>456</v>
      </c>
      <c r="L5" s="111" t="s">
        <v>460</v>
      </c>
      <c r="M5" s="111" t="s">
        <v>464</v>
      </c>
      <c r="N5" s="172" t="s">
        <v>457</v>
      </c>
      <c r="O5" s="111" t="s">
        <v>461</v>
      </c>
      <c r="P5" s="111" t="s">
        <v>465</v>
      </c>
    </row>
    <row r="6" spans="2:16" x14ac:dyDescent="0.2">
      <c r="B6" s="168" t="s">
        <v>251</v>
      </c>
      <c r="E6" s="92">
        <v>440948.52888090012</v>
      </c>
      <c r="F6" s="92">
        <v>143137.20888090003</v>
      </c>
      <c r="G6" s="171">
        <v>0.3246120567499643</v>
      </c>
      <c r="H6" s="173">
        <v>187945.0976199327</v>
      </c>
      <c r="I6" s="92">
        <v>113165.38761993266</v>
      </c>
      <c r="J6" s="171">
        <v>0.60211939046571228</v>
      </c>
      <c r="K6" s="173">
        <v>368433.61599916755</v>
      </c>
      <c r="L6" s="92">
        <v>115149.24599916754</v>
      </c>
      <c r="M6" s="171">
        <v>0.31253729572664107</v>
      </c>
      <c r="N6" s="173">
        <v>418443.49375856866</v>
      </c>
      <c r="O6" s="92">
        <v>146912.74375856863</v>
      </c>
      <c r="P6" s="171">
        <v>0.35109338763750397</v>
      </c>
    </row>
    <row r="7" spans="2:16" x14ac:dyDescent="0.2">
      <c r="B7" s="168" t="s">
        <v>261</v>
      </c>
      <c r="E7" s="92">
        <v>322757.5890598633</v>
      </c>
      <c r="F7" s="92">
        <v>90856.239059863321</v>
      </c>
      <c r="G7" s="171">
        <v>0.28149993103031828</v>
      </c>
      <c r="H7" s="173">
        <v>292030.11659429542</v>
      </c>
      <c r="I7" s="92">
        <v>88862.046594295389</v>
      </c>
      <c r="J7" s="171">
        <v>0.30429069313336443</v>
      </c>
      <c r="K7" s="173">
        <v>359213.34434584138</v>
      </c>
      <c r="L7" s="92">
        <v>138805.28434584136</v>
      </c>
      <c r="M7" s="171">
        <v>0.38641460995447652</v>
      </c>
      <c r="N7" s="173">
        <v>379297.76241422608</v>
      </c>
      <c r="O7" s="92">
        <v>142589.11241422608</v>
      </c>
      <c r="P7" s="171">
        <v>0.37592922116557703</v>
      </c>
    </row>
    <row r="8" spans="2:16" x14ac:dyDescent="0.2">
      <c r="B8" s="168" t="s">
        <v>259</v>
      </c>
      <c r="E8" s="92">
        <v>81471.014255404734</v>
      </c>
      <c r="F8" s="92">
        <v>2540.8642554047392</v>
      </c>
      <c r="G8" s="171">
        <v>3.1187340413356641E-2</v>
      </c>
      <c r="H8" s="173">
        <v>448849.34397478885</v>
      </c>
      <c r="I8" s="92">
        <v>45861.533974788865</v>
      </c>
      <c r="J8" s="171">
        <v>0.10217578479376108</v>
      </c>
      <c r="K8" s="173">
        <v>49634.039269806381</v>
      </c>
      <c r="L8" s="92">
        <v>-1264.9107301936201</v>
      </c>
      <c r="M8" s="171">
        <v>-2.5484742906328333E-2</v>
      </c>
      <c r="N8" s="173">
        <v>302827.73901042802</v>
      </c>
      <c r="O8" s="92">
        <v>34764.23901042802</v>
      </c>
      <c r="P8" s="171">
        <v>0.11479872723690909</v>
      </c>
    </row>
    <row r="9" spans="2:16" x14ac:dyDescent="0.2">
      <c r="B9" s="168" t="s">
        <v>249</v>
      </c>
      <c r="E9" s="92">
        <v>125845.70215775774</v>
      </c>
      <c r="F9" s="92">
        <v>28662.262157757759</v>
      </c>
      <c r="G9" s="171">
        <v>0.22775717935784015</v>
      </c>
      <c r="H9" s="173">
        <v>327677.01390879846</v>
      </c>
      <c r="I9" s="92">
        <v>76260.103908798395</v>
      </c>
      <c r="J9" s="171">
        <v>0.23272948870934135</v>
      </c>
      <c r="K9" s="173">
        <v>280951.46393344371</v>
      </c>
      <c r="L9" s="92">
        <v>57731.683933443681</v>
      </c>
      <c r="M9" s="171">
        <v>0.20548632537867853</v>
      </c>
      <c r="N9" s="173">
        <v>300611.84367756348</v>
      </c>
      <c r="O9" s="92">
        <v>62733.173677563434</v>
      </c>
      <c r="P9" s="171">
        <v>0.20868497032622271</v>
      </c>
    </row>
    <row r="10" spans="2:16" x14ac:dyDescent="0.2">
      <c r="B10" s="168" t="s">
        <v>247</v>
      </c>
      <c r="E10" s="92">
        <v>165281.71224006478</v>
      </c>
      <c r="F10" s="92">
        <v>-35193.827759935251</v>
      </c>
      <c r="G10" s="171">
        <v>-0.21293237638304283</v>
      </c>
      <c r="H10" s="173">
        <v>184269.51491241157</v>
      </c>
      <c r="I10" s="92">
        <v>-13411.515087588419</v>
      </c>
      <c r="J10" s="171">
        <v>-7.278206106942478E-2</v>
      </c>
      <c r="K10" s="173">
        <v>217207.97184752376</v>
      </c>
      <c r="L10" s="92">
        <v>-26492.728152476255</v>
      </c>
      <c r="M10" s="171">
        <v>-0.12196940990302921</v>
      </c>
      <c r="N10" s="173">
        <v>261004.52757728746</v>
      </c>
      <c r="O10" s="92">
        <v>-32288.202422712537</v>
      </c>
      <c r="P10" s="171">
        <v>-0.12370744186861472</v>
      </c>
    </row>
    <row r="11" spans="2:16" x14ac:dyDescent="0.2">
      <c r="B11" s="168" t="s">
        <v>252</v>
      </c>
      <c r="E11" s="92">
        <v>95550.472234636254</v>
      </c>
      <c r="F11" s="92">
        <v>54444.092234636257</v>
      </c>
      <c r="G11" s="171">
        <v>0.56979406758913664</v>
      </c>
      <c r="H11" s="173">
        <v>252685.83722789827</v>
      </c>
      <c r="I11" s="92">
        <v>165524.82722789829</v>
      </c>
      <c r="J11" s="171">
        <v>0.65506175195173622</v>
      </c>
      <c r="K11" s="173">
        <v>198626.83053746534</v>
      </c>
      <c r="L11" s="92">
        <v>112547.71053746538</v>
      </c>
      <c r="M11" s="171">
        <v>0.56662894047557399</v>
      </c>
      <c r="N11" s="173">
        <v>252958.28611100145</v>
      </c>
      <c r="O11" s="92">
        <v>147839.94611100145</v>
      </c>
      <c r="P11" s="171">
        <v>0.58444397447461882</v>
      </c>
    </row>
    <row r="12" spans="2:16" x14ac:dyDescent="0.2">
      <c r="B12" s="168" t="s">
        <v>255</v>
      </c>
      <c r="E12" s="92">
        <v>288242.53346323688</v>
      </c>
      <c r="F12" s="92">
        <v>-111006.19653676311</v>
      </c>
      <c r="G12" s="171">
        <v>-0.38511386644789219</v>
      </c>
      <c r="H12" s="173">
        <v>321134.19708763447</v>
      </c>
      <c r="I12" s="92">
        <v>-67960.702912365552</v>
      </c>
      <c r="J12" s="171">
        <v>-0.21162711267968676</v>
      </c>
      <c r="K12" s="173">
        <v>215510.51944912848</v>
      </c>
      <c r="L12" s="92">
        <v>-88407.830550871513</v>
      </c>
      <c r="M12" s="171">
        <v>-0.41022512857772719</v>
      </c>
      <c r="N12" s="173">
        <v>252160.35658378317</v>
      </c>
      <c r="O12" s="92">
        <v>-87571.793416216824</v>
      </c>
      <c r="P12" s="171">
        <v>-0.34728612618819837</v>
      </c>
    </row>
    <row r="13" spans="2:16" x14ac:dyDescent="0.2">
      <c r="B13" s="168" t="s">
        <v>250</v>
      </c>
      <c r="E13" s="92">
        <v>264193.70488498447</v>
      </c>
      <c r="F13" s="92">
        <v>131170.71488498445</v>
      </c>
      <c r="G13" s="171">
        <v>0.49649447530208574</v>
      </c>
      <c r="H13" s="173">
        <v>229714.90169537161</v>
      </c>
      <c r="I13" s="92">
        <v>96336.971695371583</v>
      </c>
      <c r="J13" s="171">
        <v>0.41937623978406718</v>
      </c>
      <c r="K13" s="173">
        <v>209686.54341964406</v>
      </c>
      <c r="L13" s="92">
        <v>103384.94341964404</v>
      </c>
      <c r="M13" s="171">
        <v>0.49304519848343609</v>
      </c>
      <c r="N13" s="173">
        <v>225257.00042589733</v>
      </c>
      <c r="O13" s="92">
        <v>112207.62042589734</v>
      </c>
      <c r="P13" s="171">
        <v>0.49813155734891451</v>
      </c>
    </row>
    <row r="14" spans="2:16" x14ac:dyDescent="0.2">
      <c r="B14" s="168" t="s">
        <v>248</v>
      </c>
      <c r="E14" s="92">
        <v>173356.78045263264</v>
      </c>
      <c r="F14" s="92">
        <v>39169.790452632617</v>
      </c>
      <c r="G14" s="171">
        <v>0.22594899576676913</v>
      </c>
      <c r="H14" s="173">
        <v>495241.00190849288</v>
      </c>
      <c r="I14" s="92">
        <v>108842.32190849283</v>
      </c>
      <c r="J14" s="171">
        <v>0.21977647547164106</v>
      </c>
      <c r="K14" s="173">
        <v>192324.69513887458</v>
      </c>
      <c r="L14" s="92">
        <v>42501.435138874571</v>
      </c>
      <c r="M14" s="171">
        <v>0.22098792413623725</v>
      </c>
      <c r="N14" s="173">
        <v>223935.29939673768</v>
      </c>
      <c r="O14" s="92">
        <v>49723.459396737686</v>
      </c>
      <c r="P14" s="171">
        <v>0.22204386503909113</v>
      </c>
    </row>
    <row r="15" spans="2:16" x14ac:dyDescent="0.2">
      <c r="B15" s="168" t="s">
        <v>254</v>
      </c>
      <c r="E15" s="92">
        <v>201184.41877423201</v>
      </c>
      <c r="F15" s="92">
        <v>89917.048774231997</v>
      </c>
      <c r="G15" s="171">
        <v>0.44693843251915244</v>
      </c>
      <c r="H15" s="173">
        <v>251045.19872648473</v>
      </c>
      <c r="I15" s="92">
        <v>96540.768726484719</v>
      </c>
      <c r="J15" s="171">
        <v>0.38455532794979469</v>
      </c>
      <c r="K15" s="173">
        <v>176932.18649928365</v>
      </c>
      <c r="L15" s="92">
        <v>61782.446499283629</v>
      </c>
      <c r="M15" s="171">
        <v>0.34918715312170617</v>
      </c>
      <c r="N15" s="173">
        <v>194549.21423754178</v>
      </c>
      <c r="O15" s="92">
        <v>65333.264237541778</v>
      </c>
      <c r="P15" s="171">
        <v>0.33581870013502502</v>
      </c>
    </row>
    <row r="16" spans="2:16" x14ac:dyDescent="0.2">
      <c r="B16" s="168" t="s">
        <v>258</v>
      </c>
      <c r="E16" s="92">
        <v>62419.558096930828</v>
      </c>
      <c r="F16" s="92">
        <v>-18145.631903069174</v>
      </c>
      <c r="G16" s="171">
        <v>-0.29070426732100485</v>
      </c>
      <c r="H16" s="173">
        <v>192841.98699119186</v>
      </c>
      <c r="I16" s="92">
        <v>-32201.283008808154</v>
      </c>
      <c r="J16" s="171">
        <v>-0.16698273810194125</v>
      </c>
      <c r="K16" s="173">
        <v>141345.07241187725</v>
      </c>
      <c r="L16" s="92">
        <v>-70921.827588122731</v>
      </c>
      <c r="M16" s="171">
        <v>-0.50176370762652178</v>
      </c>
      <c r="N16" s="173">
        <v>148703.68491187724</v>
      </c>
      <c r="O16" s="92">
        <v>-69450.105088122727</v>
      </c>
      <c r="P16" s="171">
        <v>-0.46703688028497281</v>
      </c>
    </row>
    <row r="17" spans="2:16" x14ac:dyDescent="0.2">
      <c r="B17" s="168" t="s">
        <v>256</v>
      </c>
      <c r="E17" s="92">
        <v>253108.51331067458</v>
      </c>
      <c r="F17" s="92">
        <v>165220.79331067458</v>
      </c>
      <c r="G17" s="171">
        <v>0.65276663810938895</v>
      </c>
      <c r="H17" s="173">
        <v>156959.97557161486</v>
      </c>
      <c r="I17" s="92">
        <v>102458.23557161486</v>
      </c>
      <c r="J17" s="171">
        <v>0.65276663810938895</v>
      </c>
      <c r="K17" s="173">
        <v>55335.35111771051</v>
      </c>
      <c r="L17" s="92">
        <v>36121.071117710511</v>
      </c>
      <c r="M17" s="171">
        <v>0.65276663810938906</v>
      </c>
      <c r="N17" s="173">
        <v>120418.55590239185</v>
      </c>
      <c r="O17" s="92">
        <v>78605.21590239185</v>
      </c>
      <c r="P17" s="171">
        <v>0.65276663810938906</v>
      </c>
    </row>
    <row r="18" spans="2:16" x14ac:dyDescent="0.2">
      <c r="B18" s="168" t="s">
        <v>257</v>
      </c>
      <c r="E18" s="92">
        <v>126372.34255411061</v>
      </c>
      <c r="F18" s="92">
        <v>-4805.7774458894</v>
      </c>
      <c r="G18" s="171">
        <v>-3.8028712206799861E-2</v>
      </c>
      <c r="H18" s="173">
        <v>165427.80037268595</v>
      </c>
      <c r="I18" s="92">
        <v>-36277.139627314064</v>
      </c>
      <c r="J18" s="171">
        <v>-0.21929288514739775</v>
      </c>
      <c r="K18" s="173">
        <v>106978.73507320357</v>
      </c>
      <c r="L18" s="92">
        <v>-9029.7549267964278</v>
      </c>
      <c r="M18" s="171">
        <v>-8.44070078097066E-2</v>
      </c>
      <c r="N18" s="173">
        <v>117523.18031107163</v>
      </c>
      <c r="O18" s="92">
        <v>-11122.309688928373</v>
      </c>
      <c r="P18" s="171">
        <v>-9.4639284432984E-2</v>
      </c>
    </row>
    <row r="19" spans="2:16" x14ac:dyDescent="0.2">
      <c r="B19" s="168" t="s">
        <v>253</v>
      </c>
      <c r="E19" s="92">
        <v>63536.681886353879</v>
      </c>
      <c r="F19" s="92">
        <v>-3624.9581136461111</v>
      </c>
      <c r="G19" s="171">
        <v>-5.7052996883437554E-2</v>
      </c>
      <c r="H19" s="173">
        <v>82818.757903604084</v>
      </c>
      <c r="I19" s="92">
        <v>3514.9779036040745</v>
      </c>
      <c r="J19" s="171">
        <v>4.2441808988433409E-2</v>
      </c>
      <c r="K19" s="173">
        <v>62537.050210042027</v>
      </c>
      <c r="L19" s="92">
        <v>-12727.779789957971</v>
      </c>
      <c r="M19" s="171">
        <v>-0.20352382703068683</v>
      </c>
      <c r="N19" s="173">
        <v>72487.853616773631</v>
      </c>
      <c r="O19" s="92">
        <v>-11547.546383226363</v>
      </c>
      <c r="P19" s="171">
        <v>-0.15930319090803194</v>
      </c>
    </row>
    <row r="20" spans="2:16" x14ac:dyDescent="0.2">
      <c r="B20" s="168" t="s">
        <v>260</v>
      </c>
      <c r="E20" s="92">
        <v>23954.717925751935</v>
      </c>
      <c r="F20" s="92">
        <v>-5627.9220742480647</v>
      </c>
      <c r="G20" s="171">
        <v>-0.23494002691628044</v>
      </c>
      <c r="H20" s="173">
        <v>143268.92492245245</v>
      </c>
      <c r="I20" s="92">
        <v>-33659.605077547552</v>
      </c>
      <c r="J20" s="171">
        <v>-0.23494002691628052</v>
      </c>
      <c r="K20" s="173">
        <v>16278.677151795682</v>
      </c>
      <c r="L20" s="92">
        <v>-3824.5128482043183</v>
      </c>
      <c r="M20" s="171">
        <v>-0.23494002691628052</v>
      </c>
      <c r="N20" s="173">
        <v>23533.361431785706</v>
      </c>
      <c r="O20" s="92">
        <v>-5528.9285682142927</v>
      </c>
      <c r="P20" s="171">
        <v>-0.23494002691628055</v>
      </c>
    </row>
    <row r="21" spans="2:16" x14ac:dyDescent="0.2">
      <c r="B21" s="168" t="s">
        <v>453</v>
      </c>
      <c r="E21" s="92">
        <v>2688224.2701775348</v>
      </c>
      <c r="F21" s="92">
        <v>566714.70017753448</v>
      </c>
      <c r="G21" s="171">
        <v>0.21081377266938658</v>
      </c>
      <c r="H21" s="173">
        <v>3731909.6694176579</v>
      </c>
      <c r="I21" s="92">
        <v>713856.9294176579</v>
      </c>
      <c r="J21" s="171">
        <v>0.19128462172265037</v>
      </c>
      <c r="K21" s="173">
        <v>2650996.0964048072</v>
      </c>
      <c r="L21" s="92">
        <v>455354.476404808</v>
      </c>
      <c r="M21" s="171">
        <v>0.17176731305728613</v>
      </c>
      <c r="N21" s="173">
        <v>3293712.1593669346</v>
      </c>
      <c r="O21" s="92">
        <v>623199.88936693524</v>
      </c>
      <c r="P21" s="171">
        <v>0.18920897128020953</v>
      </c>
    </row>
    <row r="22" spans="2:16" x14ac:dyDescent="0.2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2:16" x14ac:dyDescent="0.2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16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2:16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2:16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2:16" x14ac:dyDescent="0.2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2:16" x14ac:dyDescent="0.2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2:16" x14ac:dyDescent="0.2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6" x14ac:dyDescent="0.2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6" x14ac:dyDescent="0.2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6" x14ac:dyDescent="0.2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 x14ac:dyDescent="0.2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 x14ac:dyDescent="0.2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 x14ac:dyDescent="0.2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x14ac:dyDescent="0.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x14ac:dyDescent="0.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x14ac:dyDescent="0.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x14ac:dyDescent="0.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x14ac:dyDescent="0.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x14ac:dyDescent="0.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x14ac:dyDescent="0.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x14ac:dyDescent="0.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x14ac:dyDescent="0.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x14ac:dyDescent="0.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x14ac:dyDescent="0.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x14ac:dyDescent="0.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x14ac:dyDescent="0.2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x14ac:dyDescent="0.2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x14ac:dyDescent="0.2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x14ac:dyDescent="0.2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x14ac:dyDescent="0.2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x14ac:dyDescent="0.2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x14ac:dyDescent="0.2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x14ac:dyDescent="0.2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x14ac:dyDescent="0.2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x14ac:dyDescent="0.2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x14ac:dyDescent="0.2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x14ac:dyDescent="0.2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E76B-D8E9-42A6-959F-DC079BB3A29E}">
  <dimension ref="B3:Q61"/>
  <sheetViews>
    <sheetView showGridLines="0" workbookViewId="0">
      <pane ySplit="5" topLeftCell="A6" activePane="bottomLeft" state="frozen"/>
      <selection pane="bottomLeft" activeCell="B5" sqref="B5"/>
    </sheetView>
  </sheetViews>
  <sheetFormatPr defaultRowHeight="12" x14ac:dyDescent="0.2"/>
  <cols>
    <col min="1" max="1" width="1.7109375" style="89" customWidth="1"/>
    <col min="2" max="2" width="16.7109375" style="89" bestFit="1" customWidth="1"/>
    <col min="3" max="3" width="11.140625" style="89" bestFit="1" customWidth="1"/>
    <col min="4" max="4" width="7.5703125" style="89" bestFit="1" customWidth="1"/>
    <col min="5" max="5" width="12.42578125" style="89" bestFit="1" customWidth="1"/>
    <col min="6" max="6" width="10" style="170" bestFit="1" customWidth="1"/>
    <col min="7" max="7" width="10.28515625" style="89" bestFit="1" customWidth="1"/>
    <col min="8" max="8" width="9.42578125" style="89" bestFit="1" customWidth="1"/>
    <col min="9" max="9" width="10" style="170" bestFit="1" customWidth="1"/>
    <col min="10" max="10" width="8.5703125" style="89" bestFit="1" customWidth="1"/>
    <col min="11" max="11" width="9.42578125" style="89" bestFit="1" customWidth="1"/>
    <col min="12" max="12" width="10" style="170" bestFit="1" customWidth="1"/>
    <col min="13" max="14" width="10" style="89" bestFit="1" customWidth="1"/>
    <col min="15" max="17" width="10.28515625" style="89" bestFit="1" customWidth="1"/>
    <col min="18" max="16384" width="9.140625" style="89"/>
  </cols>
  <sheetData>
    <row r="3" spans="2:17" ht="12.75" thickBot="1" x14ac:dyDescent="0.25">
      <c r="B3" s="104"/>
      <c r="C3" s="104"/>
      <c r="D3" s="104"/>
      <c r="E3" s="104"/>
      <c r="F3" s="174"/>
      <c r="G3" s="104"/>
      <c r="H3" s="104"/>
      <c r="I3" s="174"/>
      <c r="J3" s="104"/>
      <c r="K3" s="104"/>
      <c r="L3" s="174"/>
      <c r="M3" s="104"/>
      <c r="N3" s="104"/>
      <c r="O3" s="104"/>
      <c r="P3" s="104"/>
      <c r="Q3" s="104"/>
    </row>
    <row r="5" spans="2:17" ht="36" x14ac:dyDescent="0.2">
      <c r="B5" s="167" t="s">
        <v>466</v>
      </c>
      <c r="C5" s="167" t="s">
        <v>417</v>
      </c>
      <c r="D5" s="167" t="s">
        <v>449</v>
      </c>
      <c r="E5" s="167" t="s">
        <v>450</v>
      </c>
      <c r="F5" s="111" t="s">
        <v>454</v>
      </c>
      <c r="G5" s="111" t="s">
        <v>458</v>
      </c>
      <c r="H5" s="111" t="s">
        <v>462</v>
      </c>
      <c r="I5" s="172" t="s">
        <v>455</v>
      </c>
      <c r="J5" s="111" t="s">
        <v>459</v>
      </c>
      <c r="K5" s="111" t="s">
        <v>463</v>
      </c>
      <c r="L5" s="172" t="s">
        <v>456</v>
      </c>
      <c r="M5" s="111" t="s">
        <v>460</v>
      </c>
      <c r="N5" s="111" t="s">
        <v>464</v>
      </c>
      <c r="O5" s="172" t="s">
        <v>457</v>
      </c>
      <c r="P5" s="111" t="s">
        <v>461</v>
      </c>
      <c r="Q5" s="111" t="s">
        <v>465</v>
      </c>
    </row>
    <row r="6" spans="2:17" x14ac:dyDescent="0.2">
      <c r="B6" s="168" t="s">
        <v>422</v>
      </c>
      <c r="F6" s="92">
        <v>809851.04144260625</v>
      </c>
      <c r="G6" s="92">
        <v>253678.77144260623</v>
      </c>
      <c r="H6" s="171">
        <v>0.31324127334666685</v>
      </c>
      <c r="I6" s="173">
        <v>1223617.618686032</v>
      </c>
      <c r="J6" s="92">
        <v>326043.59868603211</v>
      </c>
      <c r="K6" s="171">
        <v>0.26645873163885164</v>
      </c>
      <c r="L6" s="173">
        <v>757474.65037136222</v>
      </c>
      <c r="M6" s="92">
        <v>105558.69037136246</v>
      </c>
      <c r="N6" s="171">
        <v>0.13935606996169558</v>
      </c>
      <c r="O6" s="173">
        <v>969496.02361695934</v>
      </c>
      <c r="P6" s="92">
        <v>206424.68361695955</v>
      </c>
      <c r="Q6" s="171">
        <v>0.21291957737674683</v>
      </c>
    </row>
    <row r="7" spans="2:17" x14ac:dyDescent="0.2">
      <c r="B7" s="168" t="s">
        <v>429</v>
      </c>
      <c r="F7" s="92">
        <v>268319.85503642901</v>
      </c>
      <c r="G7" s="92">
        <v>2829.2650364289893</v>
      </c>
      <c r="H7" s="171">
        <v>1.054437449679178E-2</v>
      </c>
      <c r="I7" s="173">
        <v>557810.84725206951</v>
      </c>
      <c r="J7" s="92">
        <v>64767.497252069457</v>
      </c>
      <c r="K7" s="171">
        <v>0.11611014301914718</v>
      </c>
      <c r="L7" s="173">
        <v>379972.54521150154</v>
      </c>
      <c r="M7" s="92">
        <v>64435.095211501524</v>
      </c>
      <c r="N7" s="171">
        <v>0.16957829196747742</v>
      </c>
      <c r="O7" s="173">
        <v>659196.79349459137</v>
      </c>
      <c r="P7" s="92">
        <v>104564.48349459132</v>
      </c>
      <c r="Q7" s="171">
        <v>0.15862407785733451</v>
      </c>
    </row>
    <row r="8" spans="2:17" x14ac:dyDescent="0.2">
      <c r="B8" s="168" t="s">
        <v>425</v>
      </c>
      <c r="F8" s="92">
        <v>299226.2503390052</v>
      </c>
      <c r="G8" s="92">
        <v>47111.510339005181</v>
      </c>
      <c r="H8" s="171">
        <v>0.15744444307820821</v>
      </c>
      <c r="I8" s="173">
        <v>531166.74666162697</v>
      </c>
      <c r="J8" s="92">
        <v>124576.03666162687</v>
      </c>
      <c r="K8" s="171">
        <v>0.23453282315691809</v>
      </c>
      <c r="L8" s="173">
        <v>454263.62099936791</v>
      </c>
      <c r="M8" s="92">
        <v>99041.090999367851</v>
      </c>
      <c r="N8" s="171">
        <v>0.21802558342990372</v>
      </c>
      <c r="O8" s="173">
        <v>480678.67088534567</v>
      </c>
      <c r="P8" s="92">
        <v>106668.01088534557</v>
      </c>
      <c r="Q8" s="171">
        <v>0.2219112628585691</v>
      </c>
    </row>
    <row r="9" spans="2:17" x14ac:dyDescent="0.2">
      <c r="B9" s="168" t="s">
        <v>430</v>
      </c>
      <c r="F9" s="92">
        <v>400225.70947617036</v>
      </c>
      <c r="G9" s="92">
        <v>50731.629476170354</v>
      </c>
      <c r="H9" s="171">
        <v>0.12675754774117262</v>
      </c>
      <c r="I9" s="173">
        <v>155860.89969884427</v>
      </c>
      <c r="J9" s="92">
        <v>1499.4796988442486</v>
      </c>
      <c r="K9" s="171">
        <v>9.6206277632270559E-3</v>
      </c>
      <c r="L9" s="173">
        <v>242831.34332498547</v>
      </c>
      <c r="M9" s="92">
        <v>2030.5533249854561</v>
      </c>
      <c r="N9" s="171">
        <v>8.3619902487955637E-3</v>
      </c>
      <c r="O9" s="173">
        <v>270548.54196958512</v>
      </c>
      <c r="P9" s="92">
        <v>2562.6219695851178</v>
      </c>
      <c r="Q9" s="171">
        <v>9.4719489187755669E-3</v>
      </c>
    </row>
    <row r="10" spans="2:17" x14ac:dyDescent="0.2">
      <c r="B10" s="168" t="s">
        <v>432</v>
      </c>
      <c r="F10" s="92">
        <v>274855.00011794158</v>
      </c>
      <c r="G10" s="92">
        <v>155253.74011794158</v>
      </c>
      <c r="H10" s="171">
        <v>0.56485688836412462</v>
      </c>
      <c r="I10" s="173">
        <v>199373.88796819776</v>
      </c>
      <c r="J10" s="92">
        <v>116347.67796819776</v>
      </c>
      <c r="K10" s="171">
        <v>0.58356527604435571</v>
      </c>
      <c r="L10" s="173">
        <v>262205.53191386064</v>
      </c>
      <c r="M10" s="92">
        <v>140369.60191386065</v>
      </c>
      <c r="N10" s="171">
        <v>0.53534187814151324</v>
      </c>
      <c r="O10" s="173">
        <v>266652.01235716336</v>
      </c>
      <c r="P10" s="92">
        <v>142925.29235716342</v>
      </c>
      <c r="Q10" s="171">
        <v>0.53599930146307728</v>
      </c>
    </row>
    <row r="11" spans="2:17" x14ac:dyDescent="0.2">
      <c r="B11" s="168" t="s">
        <v>436</v>
      </c>
      <c r="F11" s="92">
        <v>218149.47350465285</v>
      </c>
      <c r="G11" s="92">
        <v>97455.193504652823</v>
      </c>
      <c r="H11" s="171">
        <v>0.44673586389643166</v>
      </c>
      <c r="I11" s="173">
        <v>131075.47657744726</v>
      </c>
      <c r="J11" s="92">
        <v>49738.946577447277</v>
      </c>
      <c r="K11" s="171">
        <v>0.37946798193068954</v>
      </c>
      <c r="L11" s="173">
        <v>156942.45991789986</v>
      </c>
      <c r="M11" s="92">
        <v>78465.85991789987</v>
      </c>
      <c r="N11" s="171">
        <v>0.49996578337657721</v>
      </c>
      <c r="O11" s="173">
        <v>181129.1200133797</v>
      </c>
      <c r="P11" s="92">
        <v>84943.760013379695</v>
      </c>
      <c r="Q11" s="171">
        <v>0.46896799370032299</v>
      </c>
    </row>
    <row r="12" spans="2:17" x14ac:dyDescent="0.2">
      <c r="B12" s="168" t="s">
        <v>438</v>
      </c>
      <c r="F12" s="92">
        <v>162740.51713362272</v>
      </c>
      <c r="G12" s="92">
        <v>-99612.592866377308</v>
      </c>
      <c r="H12" s="171">
        <v>-0.61209460692930917</v>
      </c>
      <c r="I12" s="173">
        <v>206972.03226774585</v>
      </c>
      <c r="J12" s="92">
        <v>-68313.437732254155</v>
      </c>
      <c r="K12" s="171">
        <v>-0.33006120191099847</v>
      </c>
      <c r="L12" s="173">
        <v>160797.41059863125</v>
      </c>
      <c r="M12" s="92">
        <v>-85326.409401368743</v>
      </c>
      <c r="N12" s="171">
        <v>-0.53064541949840993</v>
      </c>
      <c r="O12" s="173">
        <v>173522.48269534844</v>
      </c>
      <c r="P12" s="92">
        <v>-89124.727304651533</v>
      </c>
      <c r="Q12" s="171">
        <v>-0.51362063244062073</v>
      </c>
    </row>
    <row r="13" spans="2:17" x14ac:dyDescent="0.2">
      <c r="B13" s="168" t="s">
        <v>431</v>
      </c>
      <c r="F13" s="92">
        <v>63533.292925751943</v>
      </c>
      <c r="G13" s="92">
        <v>2287.7929257519354</v>
      </c>
      <c r="H13" s="171">
        <v>3.6009355416624797E-2</v>
      </c>
      <c r="I13" s="173">
        <v>496053.03742245247</v>
      </c>
      <c r="J13" s="92">
        <v>36897.217422452442</v>
      </c>
      <c r="K13" s="171">
        <v>7.4381597609349481E-2</v>
      </c>
      <c r="L13" s="173">
        <v>137752.67715179568</v>
      </c>
      <c r="M13" s="92">
        <v>20470.287151795685</v>
      </c>
      <c r="N13" s="171">
        <v>0.14860173736760543</v>
      </c>
      <c r="O13" s="173">
        <v>145007.36143178571</v>
      </c>
      <c r="P13" s="92">
        <v>18765.871431785708</v>
      </c>
      <c r="Q13" s="171">
        <v>0.12941323286275738</v>
      </c>
    </row>
    <row r="14" spans="2:17" x14ac:dyDescent="0.2">
      <c r="B14" s="168" t="s">
        <v>434</v>
      </c>
      <c r="F14" s="92">
        <v>99550.953123963787</v>
      </c>
      <c r="G14" s="92">
        <v>17979.273123963794</v>
      </c>
      <c r="H14" s="171">
        <v>0.18060372663208429</v>
      </c>
      <c r="I14" s="173">
        <v>124041.81890707674</v>
      </c>
      <c r="J14" s="92">
        <v>17280.088907076741</v>
      </c>
      <c r="K14" s="171">
        <v>0.13930857399004884</v>
      </c>
      <c r="L14" s="173">
        <v>47437.717968959478</v>
      </c>
      <c r="M14" s="92">
        <v>8501.2079689594866</v>
      </c>
      <c r="N14" s="171">
        <v>0.17920777670043467</v>
      </c>
      <c r="O14" s="173">
        <v>74745.611704543247</v>
      </c>
      <c r="P14" s="92">
        <v>14559.71170454325</v>
      </c>
      <c r="Q14" s="171">
        <v>0.19479018731019723</v>
      </c>
    </row>
    <row r="15" spans="2:17" x14ac:dyDescent="0.2">
      <c r="B15" s="168" t="s">
        <v>433</v>
      </c>
      <c r="F15" s="92">
        <v>91772.177077391098</v>
      </c>
      <c r="G15" s="92">
        <v>39000.1170773911</v>
      </c>
      <c r="H15" s="171">
        <v>0.42496667638714142</v>
      </c>
      <c r="I15" s="173">
        <v>105937.30397616525</v>
      </c>
      <c r="J15" s="92">
        <v>45019.823976165237</v>
      </c>
      <c r="K15" s="171">
        <v>0.42496667638714131</v>
      </c>
      <c r="L15" s="173">
        <v>51318.138946443694</v>
      </c>
      <c r="M15" s="92">
        <v>21808.498946443688</v>
      </c>
      <c r="N15" s="171">
        <v>0.42496667638714125</v>
      </c>
      <c r="O15" s="173">
        <v>72735.541198233113</v>
      </c>
      <c r="P15" s="92">
        <v>30910.181198233116</v>
      </c>
      <c r="Q15" s="171">
        <v>0.42496667638714131</v>
      </c>
    </row>
    <row r="16" spans="2:17" x14ac:dyDescent="0.2">
      <c r="B16" s="168" t="s">
        <v>453</v>
      </c>
      <c r="F16" s="92">
        <v>2688224.2701775348</v>
      </c>
      <c r="G16" s="92">
        <v>566714.7001775346</v>
      </c>
      <c r="H16" s="171">
        <v>0.21081377266938664</v>
      </c>
      <c r="I16" s="173">
        <v>3731909.6694176579</v>
      </c>
      <c r="J16" s="92">
        <v>713856.92941765813</v>
      </c>
      <c r="K16" s="171">
        <v>0.19128462172265043</v>
      </c>
      <c r="L16" s="173">
        <v>2650996.0964048076</v>
      </c>
      <c r="M16" s="92">
        <v>455354.476404808</v>
      </c>
      <c r="N16" s="171">
        <v>0.1717673130572861</v>
      </c>
      <c r="O16" s="173">
        <v>3293712.159366935</v>
      </c>
      <c r="P16" s="92">
        <v>623199.88936693536</v>
      </c>
      <c r="Q16" s="171">
        <v>0.18920897128020955</v>
      </c>
    </row>
    <row r="17" spans="2:17" x14ac:dyDescent="0.2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2:17" x14ac:dyDescent="0.2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2:17" x14ac:dyDescent="0.2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2:17" x14ac:dyDescent="0.2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2:17" x14ac:dyDescent="0.2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2:17" x14ac:dyDescent="0.2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2:17" x14ac:dyDescent="0.2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2:17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2:17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2:17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2:17" x14ac:dyDescent="0.2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2:17" x14ac:dyDescent="0.2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2:17" x14ac:dyDescent="0.2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2:17" x14ac:dyDescent="0.2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2:17" x14ac:dyDescent="0.2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2:17" x14ac:dyDescent="0.2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2:17" x14ac:dyDescent="0.2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2:17" x14ac:dyDescent="0.2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2:17" x14ac:dyDescent="0.2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2:17" x14ac:dyDescent="0.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2:17" x14ac:dyDescent="0.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2:17" x14ac:dyDescent="0.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2:17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2:17" x14ac:dyDescent="0.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2:17" x14ac:dyDescent="0.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2:17" x14ac:dyDescent="0.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2:17" x14ac:dyDescent="0.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2:17" x14ac:dyDescent="0.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2:17" x14ac:dyDescent="0.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2:17" x14ac:dyDescent="0.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2:17" x14ac:dyDescent="0.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2:17" x14ac:dyDescent="0.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2:16" ht="15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ht="15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ht="15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ht="15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ht="15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ht="15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ht="15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ht="15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ht="15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ht="15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ht="15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ht="15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ht="15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63ED-E468-43ED-B2E2-9DDCB8903EDE}">
  <dimension ref="B3:Q61"/>
  <sheetViews>
    <sheetView showGridLines="0" workbookViewId="0">
      <pane ySplit="5" topLeftCell="A6" activePane="bottomLeft" state="frozen"/>
      <selection pane="bottomLeft" activeCell="B5" sqref="B5"/>
    </sheetView>
  </sheetViews>
  <sheetFormatPr defaultRowHeight="12" x14ac:dyDescent="0.2"/>
  <cols>
    <col min="1" max="1" width="1.7109375" style="89" customWidth="1"/>
    <col min="2" max="2" width="29.42578125" style="89" bestFit="1" customWidth="1"/>
    <col min="3" max="3" width="11.140625" style="89" bestFit="1" customWidth="1"/>
    <col min="4" max="4" width="7.5703125" style="89" bestFit="1" customWidth="1"/>
    <col min="5" max="5" width="12.42578125" style="89" bestFit="1" customWidth="1"/>
    <col min="6" max="6" width="10" style="170" bestFit="1" customWidth="1"/>
    <col min="7" max="7" width="10.28515625" style="89" bestFit="1" customWidth="1"/>
    <col min="8" max="8" width="9.42578125" style="89" bestFit="1" customWidth="1"/>
    <col min="9" max="9" width="10" style="170" bestFit="1" customWidth="1"/>
    <col min="10" max="10" width="8.5703125" style="89" bestFit="1" customWidth="1"/>
    <col min="11" max="11" width="9.42578125" style="89" bestFit="1" customWidth="1"/>
    <col min="12" max="12" width="10" style="170" bestFit="1" customWidth="1"/>
    <col min="13" max="14" width="10" style="89" bestFit="1" customWidth="1"/>
    <col min="15" max="17" width="10.28515625" style="89" bestFit="1" customWidth="1"/>
    <col min="18" max="16384" width="9.140625" style="89"/>
  </cols>
  <sheetData>
    <row r="3" spans="2:17" ht="12.75" thickBot="1" x14ac:dyDescent="0.25">
      <c r="B3" s="104"/>
      <c r="C3" s="104"/>
      <c r="D3" s="104"/>
      <c r="E3" s="104"/>
      <c r="F3" s="174"/>
      <c r="G3" s="104"/>
      <c r="H3" s="104"/>
      <c r="I3" s="174"/>
      <c r="J3" s="104"/>
      <c r="K3" s="104"/>
      <c r="L3" s="174"/>
      <c r="M3" s="104"/>
      <c r="N3" s="104"/>
      <c r="O3" s="104"/>
      <c r="P3" s="104"/>
      <c r="Q3" s="104"/>
    </row>
    <row r="5" spans="2:17" ht="36" x14ac:dyDescent="0.2">
      <c r="B5" s="167" t="s">
        <v>466</v>
      </c>
      <c r="C5" s="167" t="s">
        <v>417</v>
      </c>
      <c r="D5" s="167" t="s">
        <v>449</v>
      </c>
      <c r="E5" s="167" t="s">
        <v>450</v>
      </c>
      <c r="F5" s="111" t="s">
        <v>454</v>
      </c>
      <c r="G5" s="111" t="s">
        <v>458</v>
      </c>
      <c r="H5" s="111" t="s">
        <v>462</v>
      </c>
      <c r="I5" s="172" t="s">
        <v>455</v>
      </c>
      <c r="J5" s="111" t="s">
        <v>459</v>
      </c>
      <c r="K5" s="111" t="s">
        <v>463</v>
      </c>
      <c r="L5" s="172" t="s">
        <v>456</v>
      </c>
      <c r="M5" s="111" t="s">
        <v>460</v>
      </c>
      <c r="N5" s="111" t="s">
        <v>464</v>
      </c>
      <c r="O5" s="172" t="s">
        <v>457</v>
      </c>
      <c r="P5" s="111" t="s">
        <v>461</v>
      </c>
      <c r="Q5" s="111" t="s">
        <v>465</v>
      </c>
    </row>
    <row r="6" spans="2:17" x14ac:dyDescent="0.2">
      <c r="B6" s="168" t="s">
        <v>423</v>
      </c>
      <c r="F6" s="92">
        <v>1066655.470844802</v>
      </c>
      <c r="G6" s="92">
        <v>304367.30084480188</v>
      </c>
      <c r="H6" s="171">
        <v>0.28534733957136121</v>
      </c>
      <c r="I6" s="173">
        <v>1305700.9459875466</v>
      </c>
      <c r="J6" s="92">
        <v>324333.74598754634</v>
      </c>
      <c r="K6" s="171">
        <v>0.248398185652107</v>
      </c>
      <c r="L6" s="173">
        <v>971562.44216765172</v>
      </c>
      <c r="M6" s="92">
        <v>181244.36216765188</v>
      </c>
      <c r="N6" s="171">
        <v>0.18654937068509753</v>
      </c>
      <c r="O6" s="173">
        <v>1403306.1599262396</v>
      </c>
      <c r="P6" s="92">
        <v>290727.16992623941</v>
      </c>
      <c r="Q6" s="171">
        <v>0.20717301628713763</v>
      </c>
    </row>
    <row r="7" spans="2:17" x14ac:dyDescent="0.2">
      <c r="B7" s="168" t="s">
        <v>428</v>
      </c>
      <c r="F7" s="92">
        <v>1108902.185832405</v>
      </c>
      <c r="G7" s="92">
        <v>179921.89583240505</v>
      </c>
      <c r="H7" s="171">
        <v>0.16225226907398099</v>
      </c>
      <c r="I7" s="173">
        <v>1885932.0485595262</v>
      </c>
      <c r="J7" s="92">
        <v>333423.29855952616</v>
      </c>
      <c r="K7" s="171">
        <v>0.17679496926423977</v>
      </c>
      <c r="L7" s="173">
        <v>1150704.5246080691</v>
      </c>
      <c r="M7" s="92">
        <v>157062.36460806907</v>
      </c>
      <c r="N7" s="171">
        <v>0.13649234990326004</v>
      </c>
      <c r="O7" s="173">
        <v>1321097.2030986242</v>
      </c>
      <c r="P7" s="92">
        <v>212553.46309862437</v>
      </c>
      <c r="Q7" s="171">
        <v>0.16089161539369073</v>
      </c>
    </row>
    <row r="8" spans="2:17" x14ac:dyDescent="0.2">
      <c r="B8" s="168" t="s">
        <v>435</v>
      </c>
      <c r="F8" s="92">
        <v>322757.5890598633</v>
      </c>
      <c r="G8" s="92">
        <v>90856.239059863321</v>
      </c>
      <c r="H8" s="171">
        <v>0.28149993103031828</v>
      </c>
      <c r="I8" s="173">
        <v>292030.11659429542</v>
      </c>
      <c r="J8" s="92">
        <v>88862.046594295389</v>
      </c>
      <c r="K8" s="171">
        <v>0.30429069313336443</v>
      </c>
      <c r="L8" s="173">
        <v>359213.34434584138</v>
      </c>
      <c r="M8" s="92">
        <v>138805.28434584136</v>
      </c>
      <c r="N8" s="171">
        <v>0.38641460995447652</v>
      </c>
      <c r="O8" s="173">
        <v>379297.76241422608</v>
      </c>
      <c r="P8" s="92">
        <v>142589.11241422608</v>
      </c>
      <c r="Q8" s="171">
        <v>0.37592922116557703</v>
      </c>
    </row>
    <row r="9" spans="2:17" x14ac:dyDescent="0.2">
      <c r="B9" s="168" t="s">
        <v>426</v>
      </c>
      <c r="F9" s="92">
        <v>189909.02444046451</v>
      </c>
      <c r="G9" s="92">
        <v>-8430.7355595355111</v>
      </c>
      <c r="H9" s="171">
        <v>-4.4393548881498802E-2</v>
      </c>
      <c r="I9" s="173">
        <v>248246.55827629002</v>
      </c>
      <c r="J9" s="92">
        <v>-32762.161723709985</v>
      </c>
      <c r="K9" s="171">
        <v>-0.13197428375722658</v>
      </c>
      <c r="L9" s="173">
        <v>169515.78528324558</v>
      </c>
      <c r="M9" s="92">
        <v>-21757.534716754399</v>
      </c>
      <c r="N9" s="171">
        <v>-0.12835108353124472</v>
      </c>
      <c r="O9" s="173">
        <v>190011.03392784524</v>
      </c>
      <c r="P9" s="92">
        <v>-22669.856072154736</v>
      </c>
      <c r="Q9" s="171">
        <v>-0.11930810334290051</v>
      </c>
    </row>
    <row r="10" spans="2:17" x14ac:dyDescent="0.2">
      <c r="B10" s="168" t="s">
        <v>453</v>
      </c>
      <c r="F10" s="92">
        <v>2688224.2701775348</v>
      </c>
      <c r="G10" s="92">
        <v>566714.70017753472</v>
      </c>
      <c r="H10" s="171">
        <v>0.21081377266938667</v>
      </c>
      <c r="I10" s="173">
        <v>3731909.6694176574</v>
      </c>
      <c r="J10" s="92">
        <v>713856.92941765802</v>
      </c>
      <c r="K10" s="171">
        <v>0.19128462172265043</v>
      </c>
      <c r="L10" s="173">
        <v>2650996.0964048072</v>
      </c>
      <c r="M10" s="92">
        <v>455354.47640480794</v>
      </c>
      <c r="N10" s="171">
        <v>0.1717673130572861</v>
      </c>
      <c r="O10" s="173">
        <v>3293712.159366935</v>
      </c>
      <c r="P10" s="92">
        <v>623199.88936693512</v>
      </c>
      <c r="Q10" s="171">
        <v>0.18920897128020947</v>
      </c>
    </row>
    <row r="11" spans="2:17" x14ac:dyDescent="0.2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2:17" x14ac:dyDescent="0.2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2:17" x14ac:dyDescent="0.2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2:17" x14ac:dyDescent="0.2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2:17" x14ac:dyDescent="0.2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2:17" x14ac:dyDescent="0.2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2:17" x14ac:dyDescent="0.2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2:17" x14ac:dyDescent="0.2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2:17" x14ac:dyDescent="0.2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2:17" x14ac:dyDescent="0.2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2:17" x14ac:dyDescent="0.2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2:17" x14ac:dyDescent="0.2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2:17" x14ac:dyDescent="0.2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2:17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2:17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2:17" ht="15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2:17" ht="15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2:17" ht="15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2:17" ht="15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2:17" ht="15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2:17" ht="15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2:17" ht="15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2:17" ht="15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2:17" ht="15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2:17" ht="15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2:17" ht="15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2:17" ht="15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2:17" ht="15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2:17" ht="15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2:17" ht="15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2:17" ht="15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2:17" ht="15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2:17" ht="15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2:17" ht="15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2:17" ht="15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2:17" ht="15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2:17" ht="15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2:17" ht="15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2:16" ht="15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ht="15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ht="15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ht="15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ht="15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ht="15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ht="15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ht="15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ht="15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ht="15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ht="15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ht="15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ht="15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092E-7AC5-42BC-96A8-8EB88A45269F}">
  <dimension ref="B3:R61"/>
  <sheetViews>
    <sheetView showGridLines="0" workbookViewId="0">
      <pane ySplit="5" topLeftCell="A6" activePane="bottomLeft" state="frozen"/>
      <selection pane="bottomLeft" activeCell="B5" sqref="B5"/>
    </sheetView>
  </sheetViews>
  <sheetFormatPr defaultRowHeight="12" x14ac:dyDescent="0.2"/>
  <cols>
    <col min="1" max="1" width="1.7109375" style="89" customWidth="1"/>
    <col min="2" max="2" width="17.42578125" style="89" bestFit="1" customWidth="1"/>
    <col min="3" max="3" width="21.5703125" style="89" bestFit="1" customWidth="1"/>
    <col min="4" max="4" width="11.140625" style="89" bestFit="1" customWidth="1"/>
    <col min="5" max="5" width="7.5703125" style="89" bestFit="1" customWidth="1"/>
    <col min="6" max="6" width="12.42578125" style="170" bestFit="1" customWidth="1"/>
    <col min="7" max="7" width="10" style="89" bestFit="1" customWidth="1"/>
    <col min="8" max="8" width="8.5703125" style="89" bestFit="1" customWidth="1"/>
    <col min="9" max="9" width="9.42578125" style="170" bestFit="1" customWidth="1"/>
    <col min="10" max="10" width="10" style="89" bestFit="1" customWidth="1"/>
    <col min="11" max="11" width="8.5703125" style="89" bestFit="1" customWidth="1"/>
    <col min="12" max="12" width="9.42578125" style="170" bestFit="1" customWidth="1"/>
    <col min="13" max="15" width="10" style="89" bestFit="1" customWidth="1"/>
    <col min="16" max="18" width="10.28515625" style="89" bestFit="1" customWidth="1"/>
    <col min="19" max="16384" width="9.140625" style="89"/>
  </cols>
  <sheetData>
    <row r="3" spans="2:18" ht="12.75" thickBot="1" x14ac:dyDescent="0.25">
      <c r="B3" s="104"/>
      <c r="C3" s="104"/>
      <c r="D3" s="104"/>
      <c r="E3" s="104"/>
      <c r="F3" s="174"/>
      <c r="G3" s="104"/>
      <c r="H3" s="104"/>
      <c r="I3" s="174"/>
      <c r="J3" s="104"/>
      <c r="K3" s="104"/>
      <c r="L3" s="174"/>
      <c r="M3" s="104"/>
      <c r="N3" s="104"/>
      <c r="O3" s="104"/>
      <c r="P3" s="104"/>
      <c r="Q3" s="104"/>
      <c r="R3" s="104"/>
    </row>
    <row r="5" spans="2:18" ht="36" x14ac:dyDescent="0.2">
      <c r="B5" s="167" t="s">
        <v>466</v>
      </c>
      <c r="C5" s="167" t="s">
        <v>418</v>
      </c>
      <c r="D5" s="167" t="s">
        <v>417</v>
      </c>
      <c r="E5" s="167" t="s">
        <v>449</v>
      </c>
      <c r="F5" s="167" t="s">
        <v>450</v>
      </c>
      <c r="G5" s="111" t="s">
        <v>454</v>
      </c>
      <c r="H5" s="111" t="s">
        <v>458</v>
      </c>
      <c r="I5" s="111" t="s">
        <v>462</v>
      </c>
      <c r="J5" s="172" t="s">
        <v>455</v>
      </c>
      <c r="K5" s="111" t="s">
        <v>459</v>
      </c>
      <c r="L5" s="111" t="s">
        <v>463</v>
      </c>
      <c r="M5" s="172" t="s">
        <v>456</v>
      </c>
      <c r="N5" s="111" t="s">
        <v>460</v>
      </c>
      <c r="O5" s="111" t="s">
        <v>464</v>
      </c>
      <c r="P5" s="172" t="s">
        <v>457</v>
      </c>
      <c r="Q5" s="111" t="s">
        <v>461</v>
      </c>
      <c r="R5" s="111" t="s">
        <v>465</v>
      </c>
    </row>
    <row r="6" spans="2:18" x14ac:dyDescent="0.2">
      <c r="B6" s="168" t="s">
        <v>424</v>
      </c>
      <c r="F6" s="89"/>
      <c r="G6" s="92">
        <v>1785922.0523049985</v>
      </c>
      <c r="H6" s="92">
        <v>459359.78230499831</v>
      </c>
      <c r="I6" s="171">
        <v>0.25721155170917231</v>
      </c>
      <c r="J6" s="173">
        <v>2218445.4015205232</v>
      </c>
      <c r="K6" s="92">
        <v>588170.59152052237</v>
      </c>
      <c r="L6" s="171">
        <v>0.26512736852454877</v>
      </c>
      <c r="M6" s="173">
        <v>1756815.9991744801</v>
      </c>
      <c r="N6" s="92">
        <v>453055.7891744799</v>
      </c>
      <c r="O6" s="171">
        <v>0.25788459883526149</v>
      </c>
      <c r="P6" s="173">
        <v>2128519.9398249118</v>
      </c>
      <c r="Q6" s="92">
        <v>577075.65982491209</v>
      </c>
      <c r="R6" s="171">
        <v>0.2711159285040014</v>
      </c>
    </row>
    <row r="7" spans="2:18" x14ac:dyDescent="0.2">
      <c r="B7" s="168" t="s">
        <v>427</v>
      </c>
      <c r="F7" s="89"/>
      <c r="G7" s="92">
        <v>902302.21787253651</v>
      </c>
      <c r="H7" s="92">
        <v>107354.91787253646</v>
      </c>
      <c r="I7" s="171">
        <v>0.11897889171286724</v>
      </c>
      <c r="J7" s="173">
        <v>1513464.2678971356</v>
      </c>
      <c r="K7" s="92">
        <v>125686.33789713556</v>
      </c>
      <c r="L7" s="171">
        <v>8.3045461041355739E-2</v>
      </c>
      <c r="M7" s="173">
        <v>894180.0972303279</v>
      </c>
      <c r="N7" s="92">
        <v>2298.6872303279961</v>
      </c>
      <c r="O7" s="171">
        <v>2.5707206383233636E-3</v>
      </c>
      <c r="P7" s="173">
        <v>1165192.219542023</v>
      </c>
      <c r="Q7" s="92">
        <v>46124.229542023051</v>
      </c>
      <c r="R7" s="171">
        <v>3.9585081987718825E-2</v>
      </c>
    </row>
    <row r="8" spans="2:18" x14ac:dyDescent="0.2">
      <c r="B8" s="168" t="s">
        <v>453</v>
      </c>
      <c r="F8" s="89"/>
      <c r="G8" s="92">
        <v>2688224.2701775357</v>
      </c>
      <c r="H8" s="92">
        <v>566714.7001775346</v>
      </c>
      <c r="I8" s="171">
        <v>0.21081377266938656</v>
      </c>
      <c r="J8" s="173">
        <v>3731909.6694176588</v>
      </c>
      <c r="K8" s="92">
        <v>713856.92941765778</v>
      </c>
      <c r="L8" s="171">
        <v>0.19128462172265029</v>
      </c>
      <c r="M8" s="173">
        <v>2650996.0964048086</v>
      </c>
      <c r="N8" s="92">
        <v>455354.47640480782</v>
      </c>
      <c r="O8" s="171">
        <v>0.17176731305728599</v>
      </c>
      <c r="P8" s="173">
        <v>3293712.159366935</v>
      </c>
      <c r="Q8" s="92">
        <v>623199.88936693536</v>
      </c>
      <c r="R8" s="171">
        <v>0.18920897128020955</v>
      </c>
    </row>
    <row r="9" spans="2:18" x14ac:dyDescent="0.2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2:18" x14ac:dyDescent="0.2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2:18" x14ac:dyDescent="0.2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 spans="2:18" x14ac:dyDescent="0.2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2:18" x14ac:dyDescent="0.2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2:18" x14ac:dyDescent="0.2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2:18" x14ac:dyDescent="0.2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2:18" x14ac:dyDescent="0.2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2:18" x14ac:dyDescent="0.2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2:18" x14ac:dyDescent="0.2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2:18" x14ac:dyDescent="0.2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2:18" x14ac:dyDescent="0.2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2:18" x14ac:dyDescent="0.2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2:18" x14ac:dyDescent="0.2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2:18" x14ac:dyDescent="0.2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2:18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2:18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2:18" x14ac:dyDescent="0.2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2:18" x14ac:dyDescent="0.2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2:18" x14ac:dyDescent="0.2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2:18" x14ac:dyDescent="0.2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2:18" x14ac:dyDescent="0.2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2:18" x14ac:dyDescent="0.2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2:18" ht="15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2:17" ht="15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2:17" ht="15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2:17" ht="15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2:17" ht="15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2:17" ht="15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2:17" ht="15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2:17" ht="15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2:17" ht="15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2:17" ht="15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2:17" ht="15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2:17" ht="15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2:17" ht="15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2:17" ht="15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2:17" ht="15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2:17" ht="15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2:17" ht="15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2:16" ht="15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ht="15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ht="15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ht="15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ht="15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ht="15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ht="15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ht="15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ht="15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ht="15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ht="15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ht="15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ht="15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05EB-CE6F-42C1-8823-88B0690BD815}">
  <dimension ref="B3:M16"/>
  <sheetViews>
    <sheetView showGridLines="0" workbookViewId="0">
      <pane ySplit="6" topLeftCell="A7" activePane="bottomLeft" state="frozen"/>
      <selection pane="bottomLeft" activeCell="B6" sqref="B6"/>
    </sheetView>
  </sheetViews>
  <sheetFormatPr defaultRowHeight="12" x14ac:dyDescent="0.2"/>
  <cols>
    <col min="1" max="1" width="1.7109375" style="89" customWidth="1"/>
    <col min="2" max="2" width="14" style="89" bestFit="1" customWidth="1"/>
    <col min="3" max="3" width="39.140625" style="89" bestFit="1" customWidth="1"/>
    <col min="4" max="4" width="26.42578125" style="89" bestFit="1" customWidth="1"/>
    <col min="5" max="5" width="18.85546875" style="89" bestFit="1" customWidth="1"/>
    <col min="6" max="6" width="18.28515625" style="89" bestFit="1" customWidth="1"/>
    <col min="7" max="9" width="13.85546875" style="89" bestFit="1" customWidth="1"/>
    <col min="10" max="10" width="14.85546875" style="89" bestFit="1" customWidth="1"/>
    <col min="11" max="12" width="13.85546875" style="89" bestFit="1" customWidth="1"/>
    <col min="13" max="16384" width="9.140625" style="89"/>
  </cols>
  <sheetData>
    <row r="3" spans="2:13" ht="12.75" thickBot="1" x14ac:dyDescent="0.25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5" spans="2:13" x14ac:dyDescent="0.2">
      <c r="B5" s="115"/>
      <c r="C5" s="116"/>
      <c r="D5" s="116"/>
      <c r="E5" s="116"/>
      <c r="F5" s="116"/>
      <c r="G5" s="116"/>
      <c r="H5" s="116"/>
      <c r="I5" s="116"/>
      <c r="J5" s="116"/>
      <c r="K5" s="116"/>
      <c r="L5" s="175"/>
    </row>
    <row r="6" spans="2:13" x14ac:dyDescent="0.2">
      <c r="B6" s="23" t="s">
        <v>213</v>
      </c>
      <c r="C6" s="129" t="s">
        <v>214</v>
      </c>
      <c r="D6" s="129" t="s">
        <v>246</v>
      </c>
      <c r="E6" s="129" t="s">
        <v>418</v>
      </c>
      <c r="F6" s="129" t="s">
        <v>419</v>
      </c>
      <c r="G6" s="129" t="s">
        <v>420</v>
      </c>
      <c r="H6" s="129" t="s">
        <v>467</v>
      </c>
      <c r="I6" s="129" t="s">
        <v>468</v>
      </c>
      <c r="J6" s="129" t="s">
        <v>470</v>
      </c>
      <c r="K6" s="129" t="s">
        <v>469</v>
      </c>
      <c r="L6" s="64" t="s">
        <v>472</v>
      </c>
    </row>
    <row r="7" spans="2:13" x14ac:dyDescent="0.2">
      <c r="B7" s="101" t="s">
        <v>303</v>
      </c>
      <c r="C7" s="93" t="s">
        <v>304</v>
      </c>
      <c r="D7" s="93" t="s">
        <v>255</v>
      </c>
      <c r="E7" s="93" t="s">
        <v>429</v>
      </c>
      <c r="F7" s="93" t="s">
        <v>428</v>
      </c>
      <c r="G7" s="93" t="s">
        <v>263</v>
      </c>
      <c r="H7" s="176">
        <v>45931</v>
      </c>
      <c r="I7" s="176">
        <v>46295</v>
      </c>
      <c r="J7" s="93" t="s">
        <v>474</v>
      </c>
      <c r="K7" s="119">
        <v>72932.100000000006</v>
      </c>
      <c r="L7" s="177" t="s">
        <v>477</v>
      </c>
    </row>
    <row r="8" spans="2:13" x14ac:dyDescent="0.2">
      <c r="B8" s="101" t="s">
        <v>305</v>
      </c>
      <c r="C8" s="93" t="s">
        <v>306</v>
      </c>
      <c r="D8" s="93" t="s">
        <v>252</v>
      </c>
      <c r="E8" s="93" t="s">
        <v>425</v>
      </c>
      <c r="F8" s="93" t="s">
        <v>428</v>
      </c>
      <c r="G8" s="93" t="s">
        <v>437</v>
      </c>
      <c r="H8" s="176">
        <v>45292</v>
      </c>
      <c r="I8" s="176">
        <v>45657</v>
      </c>
      <c r="J8" s="93" t="s">
        <v>474</v>
      </c>
      <c r="K8" s="119">
        <v>70382.649999999994</v>
      </c>
      <c r="L8" s="177" t="s">
        <v>473</v>
      </c>
    </row>
    <row r="9" spans="2:13" x14ac:dyDescent="0.2">
      <c r="B9" s="101" t="s">
        <v>307</v>
      </c>
      <c r="C9" s="93" t="s">
        <v>308</v>
      </c>
      <c r="D9" s="93" t="s">
        <v>249</v>
      </c>
      <c r="E9" s="93" t="s">
        <v>436</v>
      </c>
      <c r="F9" s="93" t="s">
        <v>423</v>
      </c>
      <c r="G9" s="93" t="s">
        <v>263</v>
      </c>
      <c r="H9" s="176">
        <v>45566</v>
      </c>
      <c r="I9" s="176">
        <v>45657</v>
      </c>
      <c r="J9" s="93" t="s">
        <v>475</v>
      </c>
      <c r="K9" s="119">
        <v>14843.11</v>
      </c>
      <c r="L9" s="177" t="s">
        <v>473</v>
      </c>
    </row>
    <row r="10" spans="2:13" x14ac:dyDescent="0.2">
      <c r="B10" s="101" t="s">
        <v>309</v>
      </c>
      <c r="C10" s="93" t="s">
        <v>310</v>
      </c>
      <c r="D10" s="93" t="s">
        <v>260</v>
      </c>
      <c r="E10" s="93" t="s">
        <v>422</v>
      </c>
      <c r="F10" s="93" t="s">
        <v>428</v>
      </c>
      <c r="G10" s="93" t="s">
        <v>437</v>
      </c>
      <c r="H10" s="176">
        <v>45566</v>
      </c>
      <c r="I10" s="176">
        <v>46022</v>
      </c>
      <c r="J10" s="93" t="s">
        <v>474</v>
      </c>
      <c r="K10" s="119">
        <v>75406.84</v>
      </c>
      <c r="L10" s="177" t="s">
        <v>477</v>
      </c>
      <c r="M10" s="109" t="s">
        <v>476</v>
      </c>
    </row>
    <row r="11" spans="2:13" x14ac:dyDescent="0.2">
      <c r="B11" s="101" t="s">
        <v>311</v>
      </c>
      <c r="C11" s="93" t="s">
        <v>312</v>
      </c>
      <c r="D11" s="93" t="s">
        <v>256</v>
      </c>
      <c r="E11" s="93" t="s">
        <v>422</v>
      </c>
      <c r="F11" s="93" t="s">
        <v>423</v>
      </c>
      <c r="G11" s="93" t="s">
        <v>437</v>
      </c>
      <c r="H11" s="176">
        <v>45108</v>
      </c>
      <c r="I11" s="176">
        <v>45473</v>
      </c>
      <c r="J11" s="93" t="s">
        <v>474</v>
      </c>
      <c r="K11" s="119">
        <v>67769.47</v>
      </c>
      <c r="L11" s="177" t="s">
        <v>473</v>
      </c>
    </row>
    <row r="12" spans="2:13" x14ac:dyDescent="0.2">
      <c r="B12" s="101" t="s">
        <v>313</v>
      </c>
      <c r="C12" s="93" t="s">
        <v>314</v>
      </c>
      <c r="D12" s="93" t="s">
        <v>254</v>
      </c>
      <c r="E12" s="93" t="s">
        <v>425</v>
      </c>
      <c r="F12" s="93" t="s">
        <v>428</v>
      </c>
      <c r="G12" s="93" t="s">
        <v>437</v>
      </c>
      <c r="H12" s="176">
        <v>45748</v>
      </c>
      <c r="I12" s="176">
        <v>46112</v>
      </c>
      <c r="J12" s="93" t="s">
        <v>474</v>
      </c>
      <c r="K12" s="119">
        <v>76327.899999999994</v>
      </c>
      <c r="L12" s="177" t="s">
        <v>477</v>
      </c>
      <c r="M12" s="109" t="s">
        <v>478</v>
      </c>
    </row>
    <row r="13" spans="2:13" x14ac:dyDescent="0.2">
      <c r="B13" s="101" t="s">
        <v>315</v>
      </c>
      <c r="C13" s="93" t="s">
        <v>316</v>
      </c>
      <c r="D13" s="93" t="s">
        <v>259</v>
      </c>
      <c r="E13" s="93" t="s">
        <v>422</v>
      </c>
      <c r="F13" s="93" t="s">
        <v>423</v>
      </c>
      <c r="G13" s="93" t="s">
        <v>263</v>
      </c>
      <c r="H13" s="176">
        <v>45017</v>
      </c>
      <c r="I13" s="176">
        <v>45382</v>
      </c>
      <c r="J13" s="93" t="s">
        <v>471</v>
      </c>
      <c r="K13" s="119">
        <v>142318.64000000001</v>
      </c>
      <c r="L13" s="178" t="s">
        <v>473</v>
      </c>
    </row>
    <row r="14" spans="2:13" x14ac:dyDescent="0.2">
      <c r="B14" s="101" t="s">
        <v>317</v>
      </c>
      <c r="C14" s="93" t="s">
        <v>318</v>
      </c>
      <c r="D14" s="93" t="s">
        <v>260</v>
      </c>
      <c r="E14" s="93" t="s">
        <v>436</v>
      </c>
      <c r="F14" s="93" t="s">
        <v>428</v>
      </c>
      <c r="G14" s="93" t="s">
        <v>437</v>
      </c>
      <c r="H14" s="176">
        <v>45200</v>
      </c>
      <c r="I14" s="176">
        <v>45565</v>
      </c>
      <c r="J14" s="93" t="s">
        <v>474</v>
      </c>
      <c r="K14" s="119">
        <v>72448.87</v>
      </c>
      <c r="L14" s="178" t="s">
        <v>473</v>
      </c>
      <c r="M14" s="109" t="s">
        <v>479</v>
      </c>
    </row>
    <row r="15" spans="2:13" x14ac:dyDescent="0.2">
      <c r="B15" s="150" t="s">
        <v>319</v>
      </c>
      <c r="C15" s="179" t="s">
        <v>320</v>
      </c>
      <c r="D15" s="179" t="s">
        <v>250</v>
      </c>
      <c r="E15" s="179" t="s">
        <v>438</v>
      </c>
      <c r="F15" s="179" t="s">
        <v>428</v>
      </c>
      <c r="G15" s="179" t="s">
        <v>437</v>
      </c>
      <c r="H15" s="180">
        <v>45839</v>
      </c>
      <c r="I15" s="180">
        <v>46203</v>
      </c>
      <c r="J15" s="179" t="s">
        <v>474</v>
      </c>
      <c r="K15" s="151">
        <v>78258.899999999994</v>
      </c>
      <c r="L15" s="181" t="s">
        <v>477</v>
      </c>
    </row>
    <row r="16" spans="2:13" x14ac:dyDescent="0.2">
      <c r="L16" s="16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76DD-EC66-41DE-AB5C-5F9D34E3A316}">
  <sheetPr>
    <tabColor theme="1"/>
  </sheetPr>
  <dimension ref="A1"/>
  <sheetViews>
    <sheetView showGridLines="0" workbookViewId="0">
      <selection sqref="A1:XFD1048576"/>
    </sheetView>
  </sheetViews>
  <sheetFormatPr defaultRowHeight="12" x14ac:dyDescent="0.2"/>
  <cols>
    <col min="1" max="16384" width="9.140625" style="4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37D5-2648-4F59-A8C9-C01F68277672}">
  <dimension ref="A1:AP67"/>
  <sheetViews>
    <sheetView workbookViewId="0">
      <pane xSplit="5" ySplit="4" topLeftCell="U44" activePane="bottomRight" state="frozen"/>
      <selection pane="topRight" activeCell="C1" sqref="C1"/>
      <selection pane="bottomLeft" activeCell="A5" sqref="A5"/>
      <selection pane="bottomRight" activeCell="D1" sqref="D1"/>
    </sheetView>
  </sheetViews>
  <sheetFormatPr defaultRowHeight="15" x14ac:dyDescent="0.25"/>
  <cols>
    <col min="1" max="1" width="22" style="3" bestFit="1" customWidth="1"/>
    <col min="2" max="2" width="26.85546875" style="3" bestFit="1" customWidth="1"/>
    <col min="3" max="3" width="25.5703125" style="3" customWidth="1"/>
    <col min="4" max="4" width="16.28515625" customWidth="1"/>
    <col min="5" max="5" width="31.5703125" customWidth="1"/>
    <col min="6" max="6" width="1.7109375" customWidth="1"/>
    <col min="7" max="11" width="11.7109375" bestFit="1" customWidth="1"/>
    <col min="12" max="12" width="12.28515625" bestFit="1" customWidth="1"/>
    <col min="13" max="18" width="11.7109375" bestFit="1" customWidth="1"/>
    <col min="19" max="19" width="1.7109375" customWidth="1"/>
    <col min="20" max="31" width="11.7109375" bestFit="1" customWidth="1"/>
    <col min="32" max="32" width="1.7109375" customWidth="1"/>
    <col min="33" max="42" width="11.7109375" bestFit="1" customWidth="1"/>
  </cols>
  <sheetData>
    <row r="1" spans="1:42" x14ac:dyDescent="0.25">
      <c r="D1" t="s">
        <v>0</v>
      </c>
      <c r="E1" t="s">
        <v>1</v>
      </c>
    </row>
    <row r="2" spans="1:42" x14ac:dyDescent="0.25">
      <c r="D2" t="s">
        <v>2</v>
      </c>
    </row>
    <row r="4" spans="1:42" x14ac:dyDescent="0.25">
      <c r="A4" s="3" t="s">
        <v>84</v>
      </c>
      <c r="B4" s="3" t="s">
        <v>85</v>
      </c>
      <c r="C4" s="3" t="s">
        <v>62</v>
      </c>
      <c r="D4" t="s">
        <v>3</v>
      </c>
      <c r="G4" s="1">
        <v>44927</v>
      </c>
      <c r="H4" s="1">
        <v>44958</v>
      </c>
      <c r="I4" s="1">
        <v>44986</v>
      </c>
      <c r="J4" s="1">
        <v>45017</v>
      </c>
      <c r="K4" s="1">
        <v>45047</v>
      </c>
      <c r="L4" s="1">
        <v>45078</v>
      </c>
      <c r="M4" s="1">
        <v>45108</v>
      </c>
      <c r="N4" s="1">
        <v>45139</v>
      </c>
      <c r="O4" s="1">
        <v>45170</v>
      </c>
      <c r="P4" s="1">
        <v>45200</v>
      </c>
      <c r="Q4" s="1">
        <v>45231</v>
      </c>
      <c r="R4" s="1">
        <v>45261</v>
      </c>
      <c r="S4" s="1"/>
      <c r="T4" s="1">
        <v>45292</v>
      </c>
      <c r="U4" s="1">
        <v>45323</v>
      </c>
      <c r="V4" s="1">
        <v>45352</v>
      </c>
      <c r="W4" s="1">
        <v>45383</v>
      </c>
      <c r="X4" s="1">
        <v>45413</v>
      </c>
      <c r="Y4" s="1">
        <v>45444</v>
      </c>
      <c r="Z4" s="1">
        <v>45474</v>
      </c>
      <c r="AA4" s="1">
        <v>45505</v>
      </c>
      <c r="AB4" s="1">
        <v>45536</v>
      </c>
      <c r="AC4" s="1">
        <v>45566</v>
      </c>
      <c r="AD4" s="1">
        <v>45597</v>
      </c>
      <c r="AE4" s="1">
        <v>45627</v>
      </c>
      <c r="AF4" s="1"/>
      <c r="AG4" s="1">
        <v>45658</v>
      </c>
      <c r="AH4" s="1">
        <v>45689</v>
      </c>
      <c r="AI4" s="1">
        <v>45717</v>
      </c>
      <c r="AJ4" s="1">
        <v>45748</v>
      </c>
      <c r="AK4" s="1">
        <v>45778</v>
      </c>
      <c r="AL4" s="1">
        <v>45809</v>
      </c>
      <c r="AM4" s="1">
        <v>45839</v>
      </c>
      <c r="AN4" s="1">
        <v>45870</v>
      </c>
      <c r="AO4" s="1">
        <v>45901</v>
      </c>
      <c r="AP4" s="1">
        <v>45931</v>
      </c>
    </row>
    <row r="6" spans="1:42" x14ac:dyDescent="0.25">
      <c r="C6" s="3" t="str">
        <f t="shared" ref="C6:C65" si="0">IF(D6&lt;&gt;0,D6,IF(E6&lt;&gt;0,E6,F6))</f>
        <v>REVENUE</v>
      </c>
      <c r="D6" t="s">
        <v>4</v>
      </c>
    </row>
    <row r="7" spans="1:42" x14ac:dyDescent="0.25">
      <c r="A7" s="3" t="s">
        <v>66</v>
      </c>
      <c r="B7" s="3" t="s">
        <v>86</v>
      </c>
      <c r="C7" s="3" t="str">
        <f t="shared" si="0"/>
        <v>Fire Sprinkler Installation</v>
      </c>
      <c r="E7" t="s">
        <v>5</v>
      </c>
      <c r="G7" s="2">
        <v>94662.62</v>
      </c>
      <c r="H7" s="2">
        <v>97621.04</v>
      </c>
      <c r="I7" s="2">
        <v>109051.63</v>
      </c>
      <c r="J7" s="2">
        <v>116698.17</v>
      </c>
      <c r="K7" s="2">
        <v>129389.49</v>
      </c>
      <c r="L7" s="2">
        <v>139208.79</v>
      </c>
      <c r="M7" s="2">
        <v>128776.55</v>
      </c>
      <c r="N7" s="2">
        <v>121314.38</v>
      </c>
      <c r="O7" s="2">
        <v>132064.97</v>
      </c>
      <c r="P7" s="2">
        <v>115396.84</v>
      </c>
      <c r="Q7" s="2">
        <v>92353.07</v>
      </c>
      <c r="R7" s="2">
        <v>99500.06</v>
      </c>
      <c r="S7" s="2"/>
      <c r="T7" s="2">
        <v>121515.1</v>
      </c>
      <c r="U7" s="2">
        <v>125704.88</v>
      </c>
      <c r="V7" s="2">
        <v>139284.41</v>
      </c>
      <c r="W7" s="2">
        <v>169393.76</v>
      </c>
      <c r="X7" s="2">
        <v>179571.91</v>
      </c>
      <c r="Y7" s="2">
        <v>205649.62</v>
      </c>
      <c r="Z7" s="2">
        <v>206522.19</v>
      </c>
      <c r="AA7" s="2">
        <v>204167.5</v>
      </c>
      <c r="AB7" s="2">
        <v>172581.98</v>
      </c>
      <c r="AC7" s="2">
        <v>149034.07999999999</v>
      </c>
      <c r="AD7" s="2">
        <v>150499.10999999999</v>
      </c>
      <c r="AE7" s="2">
        <v>122230.12</v>
      </c>
      <c r="AF7" s="2"/>
      <c r="AG7" s="2">
        <v>127523.64</v>
      </c>
      <c r="AH7" s="2">
        <v>128710.96</v>
      </c>
      <c r="AI7" s="2">
        <v>154374.43</v>
      </c>
      <c r="AJ7" s="2">
        <v>180382.14</v>
      </c>
      <c r="AK7" s="2">
        <v>173053.18</v>
      </c>
      <c r="AL7" s="2">
        <v>206026.39</v>
      </c>
      <c r="AM7" s="2">
        <v>204111.08</v>
      </c>
      <c r="AN7" s="2">
        <v>179904.98</v>
      </c>
      <c r="AO7" s="2">
        <v>193305.11</v>
      </c>
      <c r="AP7" s="2">
        <v>176648.57</v>
      </c>
    </row>
    <row r="8" spans="1:42" x14ac:dyDescent="0.25">
      <c r="A8" s="3" t="s">
        <v>66</v>
      </c>
      <c r="B8" s="3" t="s">
        <v>87</v>
      </c>
      <c r="C8" s="3" t="str">
        <f t="shared" si="0"/>
        <v>Fire Alarm Installation</v>
      </c>
      <c r="E8" t="s">
        <v>6</v>
      </c>
      <c r="G8" s="2">
        <v>77608.960000000006</v>
      </c>
      <c r="H8" s="2">
        <v>86547.8</v>
      </c>
      <c r="I8" s="2">
        <v>84034.52</v>
      </c>
      <c r="J8" s="2">
        <v>100143.03999999999</v>
      </c>
      <c r="K8" s="2">
        <v>101763.26</v>
      </c>
      <c r="L8" s="2">
        <v>116442.95</v>
      </c>
      <c r="M8" s="2">
        <v>129767.29</v>
      </c>
      <c r="N8" s="2">
        <v>114080.84</v>
      </c>
      <c r="O8" s="2">
        <v>107714.89</v>
      </c>
      <c r="P8" s="2">
        <v>108334.09</v>
      </c>
      <c r="Q8" s="2">
        <v>89036.94</v>
      </c>
      <c r="R8" s="2">
        <v>77219.56</v>
      </c>
      <c r="S8" s="2"/>
      <c r="T8" s="2">
        <v>85347.55</v>
      </c>
      <c r="U8" s="2">
        <v>86647.64</v>
      </c>
      <c r="V8" s="2">
        <v>94090.94</v>
      </c>
      <c r="W8" s="2">
        <v>105727.95</v>
      </c>
      <c r="X8" s="2">
        <v>117381.77</v>
      </c>
      <c r="Y8" s="2">
        <v>119703.02</v>
      </c>
      <c r="Z8" s="2">
        <v>117265.27</v>
      </c>
      <c r="AA8" s="2">
        <v>130837.06</v>
      </c>
      <c r="AB8" s="2">
        <v>108451.74</v>
      </c>
      <c r="AC8" s="2">
        <v>113574.06</v>
      </c>
      <c r="AD8" s="2">
        <v>98336.74</v>
      </c>
      <c r="AE8" s="2">
        <v>93042.8</v>
      </c>
      <c r="AF8" s="2"/>
      <c r="AG8" s="2">
        <v>88386.27</v>
      </c>
      <c r="AH8" s="2">
        <v>97323.35</v>
      </c>
      <c r="AI8" s="2">
        <v>95141.47</v>
      </c>
      <c r="AJ8" s="2">
        <v>113548.69</v>
      </c>
      <c r="AK8" s="2">
        <v>116155.74</v>
      </c>
      <c r="AL8" s="2">
        <v>132596.04999999999</v>
      </c>
      <c r="AM8" s="2">
        <v>126678.82</v>
      </c>
      <c r="AN8" s="2">
        <v>120131.04</v>
      </c>
      <c r="AO8" s="2">
        <v>116060.38</v>
      </c>
      <c r="AP8" s="2">
        <v>104130.4</v>
      </c>
    </row>
    <row r="9" spans="1:42" x14ac:dyDescent="0.25">
      <c r="A9" s="3" t="s">
        <v>66</v>
      </c>
      <c r="B9" s="3" t="s">
        <v>7</v>
      </c>
      <c r="C9" s="3" t="str">
        <f t="shared" si="0"/>
        <v>Inspection &amp; Testing Services</v>
      </c>
      <c r="E9" t="s">
        <v>7</v>
      </c>
      <c r="G9" s="2">
        <v>42704.44</v>
      </c>
      <c r="H9" s="2">
        <v>43110.9</v>
      </c>
      <c r="I9" s="2">
        <v>43659.19</v>
      </c>
      <c r="J9" s="2">
        <v>41802.620000000003</v>
      </c>
      <c r="K9" s="2">
        <v>40624.26</v>
      </c>
      <c r="L9" s="2">
        <v>44833.88</v>
      </c>
      <c r="M9" s="2">
        <v>43952.75</v>
      </c>
      <c r="N9" s="2">
        <v>41827.370000000003</v>
      </c>
      <c r="O9" s="2">
        <v>43051.76</v>
      </c>
      <c r="P9" s="2">
        <v>43424.13</v>
      </c>
      <c r="Q9" s="2">
        <v>43902.17</v>
      </c>
      <c r="R9" s="2">
        <v>43466.34</v>
      </c>
      <c r="S9" s="2"/>
      <c r="T9" s="2">
        <v>44167.99</v>
      </c>
      <c r="U9" s="2">
        <v>45858.22</v>
      </c>
      <c r="V9" s="2">
        <v>47050.96</v>
      </c>
      <c r="W9" s="2">
        <v>44577.98</v>
      </c>
      <c r="X9" s="2">
        <v>43088.85</v>
      </c>
      <c r="Y9" s="2">
        <v>43931.39</v>
      </c>
      <c r="Z9" s="2">
        <v>47318.37</v>
      </c>
      <c r="AA9" s="2">
        <v>46082.66</v>
      </c>
      <c r="AB9" s="2">
        <v>43866.6</v>
      </c>
      <c r="AC9" s="2">
        <v>42687.55</v>
      </c>
      <c r="AD9" s="2">
        <v>43860.92</v>
      </c>
      <c r="AE9" s="2">
        <v>46839.49</v>
      </c>
      <c r="AF9" s="2"/>
      <c r="AG9" s="2">
        <v>49428.44</v>
      </c>
      <c r="AH9" s="2">
        <v>47090.2</v>
      </c>
      <c r="AI9" s="2">
        <v>46459.31</v>
      </c>
      <c r="AJ9" s="2">
        <v>46912.18</v>
      </c>
      <c r="AK9" s="2">
        <v>48693.08</v>
      </c>
      <c r="AL9" s="2">
        <v>47850.82</v>
      </c>
      <c r="AM9" s="2">
        <v>45192.38</v>
      </c>
      <c r="AN9" s="2">
        <v>47098.75</v>
      </c>
      <c r="AO9" s="2">
        <v>47704.37</v>
      </c>
      <c r="AP9" s="2">
        <v>48084.21</v>
      </c>
    </row>
    <row r="10" spans="1:42" x14ac:dyDescent="0.25">
      <c r="A10" s="3" t="s">
        <v>66</v>
      </c>
      <c r="B10" s="3" t="s">
        <v>8</v>
      </c>
      <c r="C10" s="3" t="str">
        <f t="shared" si="0"/>
        <v>Maintenance Contracts</v>
      </c>
      <c r="E10" t="s">
        <v>8</v>
      </c>
      <c r="G10" s="2">
        <v>0</v>
      </c>
      <c r="H10" s="2">
        <v>0</v>
      </c>
      <c r="I10" s="2">
        <v>70870.19</v>
      </c>
      <c r="J10" s="2">
        <v>0</v>
      </c>
      <c r="K10" s="2">
        <v>0</v>
      </c>
      <c r="L10" s="2">
        <v>67769.47</v>
      </c>
      <c r="M10" s="2">
        <v>0</v>
      </c>
      <c r="N10" s="2">
        <v>0</v>
      </c>
      <c r="O10" s="2">
        <v>71448.45</v>
      </c>
      <c r="P10" s="2">
        <v>0</v>
      </c>
      <c r="Q10" s="2">
        <v>0</v>
      </c>
      <c r="R10" s="2">
        <v>70382.649999999994</v>
      </c>
      <c r="S10" s="2"/>
      <c r="T10" s="2">
        <v>0</v>
      </c>
      <c r="U10" s="2">
        <v>0</v>
      </c>
      <c r="V10" s="2">
        <v>72448.87</v>
      </c>
      <c r="W10" s="2">
        <v>0</v>
      </c>
      <c r="X10" s="2">
        <v>0</v>
      </c>
      <c r="Y10" s="2">
        <v>68364.160000000003</v>
      </c>
      <c r="Z10" s="2">
        <v>0</v>
      </c>
      <c r="AA10" s="2">
        <v>0</v>
      </c>
      <c r="AB10" s="2">
        <v>73202.11</v>
      </c>
      <c r="AC10" s="2">
        <v>0</v>
      </c>
      <c r="AD10" s="2">
        <v>0</v>
      </c>
      <c r="AE10" s="2">
        <v>75406.84</v>
      </c>
      <c r="AF10" s="2"/>
      <c r="AG10" s="2">
        <v>0</v>
      </c>
      <c r="AH10" s="2">
        <v>0</v>
      </c>
      <c r="AI10" s="2">
        <v>76327.899999999994</v>
      </c>
      <c r="AJ10" s="2">
        <v>0</v>
      </c>
      <c r="AK10" s="2">
        <v>0</v>
      </c>
      <c r="AL10" s="2">
        <v>78258.899999999994</v>
      </c>
      <c r="AM10" s="2">
        <v>0</v>
      </c>
      <c r="AN10" s="2">
        <v>0</v>
      </c>
      <c r="AO10" s="2">
        <v>72932.100000000006</v>
      </c>
      <c r="AP10" s="2">
        <v>0</v>
      </c>
    </row>
    <row r="11" spans="1:42" x14ac:dyDescent="0.25">
      <c r="A11" s="3" t="s">
        <v>66</v>
      </c>
      <c r="B11" s="3" t="s">
        <v>9</v>
      </c>
      <c r="C11" s="3" t="str">
        <f t="shared" si="0"/>
        <v>WIP Adjustment</v>
      </c>
      <c r="E11" t="s">
        <v>9</v>
      </c>
      <c r="G11" s="2">
        <v>-25000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48523.45</v>
      </c>
      <c r="S11" s="2"/>
      <c r="T11" s="2">
        <v>-48523.45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52891.23</v>
      </c>
      <c r="AF11" s="2"/>
      <c r="AG11" s="2">
        <v>-52891.23</v>
      </c>
      <c r="AH11" s="2">
        <v>9434.2000000000007</v>
      </c>
      <c r="AI11" s="2">
        <v>9346.11</v>
      </c>
      <c r="AJ11" s="2">
        <v>8090.37</v>
      </c>
      <c r="AK11" s="2">
        <v>7802.8</v>
      </c>
      <c r="AL11" s="2">
        <v>7653.96</v>
      </c>
      <c r="AM11" s="2">
        <v>9071.26</v>
      </c>
      <c r="AN11" s="2">
        <v>6806.14</v>
      </c>
      <c r="AO11" s="2">
        <v>7230.04</v>
      </c>
      <c r="AP11" s="2">
        <v>9394.36</v>
      </c>
    </row>
    <row r="12" spans="1:42" x14ac:dyDescent="0.25">
      <c r="C12" s="3" t="str">
        <f t="shared" si="0"/>
        <v>Total Revenue</v>
      </c>
      <c r="D12" t="s">
        <v>10</v>
      </c>
      <c r="G12" s="2">
        <v>189976.02</v>
      </c>
      <c r="H12" s="2">
        <v>227279.75</v>
      </c>
      <c r="I12" s="2">
        <v>307615.53000000003</v>
      </c>
      <c r="J12" s="2">
        <v>258643.83</v>
      </c>
      <c r="K12" s="2">
        <v>271777.02</v>
      </c>
      <c r="L12" s="2">
        <v>368255.1</v>
      </c>
      <c r="M12" s="2">
        <v>302496.59000000003</v>
      </c>
      <c r="N12" s="2">
        <v>277222.59000000003</v>
      </c>
      <c r="O12" s="2">
        <v>354280.07</v>
      </c>
      <c r="P12" s="2">
        <v>267155.06</v>
      </c>
      <c r="Q12" s="2">
        <v>225292.18</v>
      </c>
      <c r="R12" s="2">
        <v>339092.06</v>
      </c>
      <c r="S12" s="2"/>
      <c r="T12" s="2">
        <v>202507.19</v>
      </c>
      <c r="U12" s="2">
        <v>258210.74</v>
      </c>
      <c r="V12" s="2">
        <v>352875.18</v>
      </c>
      <c r="W12" s="2">
        <v>319699.69</v>
      </c>
      <c r="X12" s="2">
        <v>340042.53</v>
      </c>
      <c r="Y12" s="2">
        <v>437648.19</v>
      </c>
      <c r="Z12" s="2">
        <v>371105.84</v>
      </c>
      <c r="AA12" s="2">
        <v>381087.22</v>
      </c>
      <c r="AB12" s="2">
        <v>398102.43</v>
      </c>
      <c r="AC12" s="2">
        <v>305295.68</v>
      </c>
      <c r="AD12" s="2">
        <v>292696.77</v>
      </c>
      <c r="AE12" s="2">
        <v>390410.48</v>
      </c>
      <c r="AF12" s="2"/>
      <c r="AG12" s="2">
        <v>212447.12</v>
      </c>
      <c r="AH12" s="2">
        <v>282558.71999999997</v>
      </c>
      <c r="AI12" s="2">
        <v>381649.22</v>
      </c>
      <c r="AJ12" s="2">
        <v>348933.39</v>
      </c>
      <c r="AK12" s="2">
        <v>345704.8</v>
      </c>
      <c r="AL12" s="2">
        <v>472386.13</v>
      </c>
      <c r="AM12" s="2">
        <v>385053.54</v>
      </c>
      <c r="AN12" s="2">
        <v>353940.91</v>
      </c>
      <c r="AO12" s="2">
        <v>437232</v>
      </c>
      <c r="AP12" s="2">
        <v>338257.54</v>
      </c>
    </row>
    <row r="13" spans="1:42" x14ac:dyDescent="0.25">
      <c r="C13" s="3">
        <f t="shared" si="0"/>
        <v>0</v>
      </c>
    </row>
    <row r="14" spans="1:42" x14ac:dyDescent="0.25">
      <c r="C14" s="3" t="str">
        <f t="shared" si="0"/>
        <v>COST OF GOODS SOLD</v>
      </c>
      <c r="D14" t="s">
        <v>11</v>
      </c>
    </row>
    <row r="15" spans="1:42" x14ac:dyDescent="0.25">
      <c r="A15" s="3" t="s">
        <v>88</v>
      </c>
      <c r="B15" s="3" t="s">
        <v>91</v>
      </c>
      <c r="C15" s="3" t="str">
        <f t="shared" si="0"/>
        <v>Sprinkler Subcontractor Labor</v>
      </c>
      <c r="E15" t="s">
        <v>12</v>
      </c>
      <c r="G15" s="2">
        <v>68645.58</v>
      </c>
      <c r="H15" s="2">
        <v>87779.17</v>
      </c>
      <c r="I15" s="2">
        <v>9703.56</v>
      </c>
      <c r="J15" s="2">
        <v>53700.160000000003</v>
      </c>
      <c r="K15" s="2">
        <v>60771.24</v>
      </c>
      <c r="L15" s="2">
        <v>148812.47</v>
      </c>
      <c r="M15" s="2">
        <v>9929.69</v>
      </c>
      <c r="N15" s="2">
        <v>61478.74</v>
      </c>
      <c r="O15" s="2">
        <v>153638.07</v>
      </c>
      <c r="P15" s="2">
        <v>8654.25</v>
      </c>
      <c r="Q15" s="2">
        <v>51544.9</v>
      </c>
      <c r="R15" s="2">
        <v>70200.149999999994</v>
      </c>
      <c r="S15" s="2"/>
      <c r="T15" s="2">
        <v>63853.5</v>
      </c>
      <c r="U15" s="2">
        <v>79892.86</v>
      </c>
      <c r="V15" s="2">
        <v>191932.99</v>
      </c>
      <c r="W15" s="2">
        <v>14942.38</v>
      </c>
      <c r="X15" s="2">
        <v>102269.75</v>
      </c>
      <c r="Y15" s="2">
        <v>130931.73</v>
      </c>
      <c r="Z15" s="2">
        <v>207774.17</v>
      </c>
      <c r="AA15" s="2">
        <v>17119.02</v>
      </c>
      <c r="AB15" s="2">
        <v>118430.41</v>
      </c>
      <c r="AC15" s="2">
        <v>87045.69</v>
      </c>
      <c r="AD15" s="2">
        <v>159365.07</v>
      </c>
      <c r="AE15" s="2">
        <v>17596.75</v>
      </c>
      <c r="AF15" s="2"/>
      <c r="AG15" s="2">
        <v>49127.040000000001</v>
      </c>
      <c r="AH15" s="2">
        <v>65794.8</v>
      </c>
      <c r="AI15" s="2">
        <v>89679.1</v>
      </c>
      <c r="AJ15" s="2">
        <v>150918.57</v>
      </c>
      <c r="AK15" s="2">
        <v>11578.16</v>
      </c>
      <c r="AL15" s="2">
        <v>101821.88</v>
      </c>
      <c r="AM15" s="2">
        <v>80430.95</v>
      </c>
      <c r="AN15" s="2">
        <v>145964.60999999999</v>
      </c>
      <c r="AO15" s="2">
        <v>14049.65</v>
      </c>
      <c r="AP15" s="2">
        <v>73115.839999999997</v>
      </c>
    </row>
    <row r="16" spans="1:42" x14ac:dyDescent="0.25">
      <c r="A16" s="3" t="s">
        <v>88</v>
      </c>
      <c r="B16" s="3" t="s">
        <v>90</v>
      </c>
      <c r="C16" s="3" t="str">
        <f t="shared" si="0"/>
        <v>Alarm Installation Labor - Direct</v>
      </c>
      <c r="E16" t="s">
        <v>13</v>
      </c>
      <c r="G16" s="2">
        <v>21053.97</v>
      </c>
      <c r="H16" s="2">
        <v>27314.84</v>
      </c>
      <c r="I16" s="2">
        <v>37694.49</v>
      </c>
      <c r="J16" s="2">
        <v>31059.599999999999</v>
      </c>
      <c r="K16" s="2">
        <v>48393.15</v>
      </c>
      <c r="L16" s="2">
        <v>45936.23</v>
      </c>
      <c r="M16" s="2">
        <v>37840.839999999997</v>
      </c>
      <c r="N16" s="2">
        <v>34823.040000000001</v>
      </c>
      <c r="O16" s="2">
        <v>42671.72</v>
      </c>
      <c r="P16" s="2">
        <v>47041.43</v>
      </c>
      <c r="Q16" s="2">
        <v>26525.43</v>
      </c>
      <c r="R16" s="2">
        <v>38843.99</v>
      </c>
      <c r="S16" s="2"/>
      <c r="T16" s="2">
        <v>25377.61</v>
      </c>
      <c r="U16" s="2">
        <v>29567.88</v>
      </c>
      <c r="V16" s="2">
        <v>40663.81</v>
      </c>
      <c r="W16" s="2">
        <v>39720.79</v>
      </c>
      <c r="X16" s="2">
        <v>63530.01</v>
      </c>
      <c r="Y16" s="2">
        <v>54450.15</v>
      </c>
      <c r="Z16" s="2">
        <v>44874.15</v>
      </c>
      <c r="AA16" s="2">
        <v>46302.6</v>
      </c>
      <c r="AB16" s="2">
        <v>48778.65</v>
      </c>
      <c r="AC16" s="2">
        <v>53270.82</v>
      </c>
      <c r="AD16" s="2">
        <v>34455.699999999997</v>
      </c>
      <c r="AE16" s="2">
        <v>47264.29</v>
      </c>
      <c r="AF16" s="2"/>
      <c r="AG16" s="2">
        <v>24630.62</v>
      </c>
      <c r="AH16" s="2">
        <v>33170.54</v>
      </c>
      <c r="AI16" s="2">
        <v>44058.96</v>
      </c>
      <c r="AJ16" s="2">
        <v>43448.29</v>
      </c>
      <c r="AK16" s="2">
        <v>61529.1</v>
      </c>
      <c r="AL16" s="2">
        <v>59257.279999999999</v>
      </c>
      <c r="AM16" s="2">
        <v>45535.78</v>
      </c>
      <c r="AN16" s="2">
        <v>42808.65</v>
      </c>
      <c r="AO16" s="2">
        <v>52656.81</v>
      </c>
      <c r="AP16" s="2">
        <v>59975.57</v>
      </c>
    </row>
    <row r="17" spans="1:42" x14ac:dyDescent="0.25">
      <c r="A17" s="3" t="s">
        <v>88</v>
      </c>
      <c r="B17" s="3" t="s">
        <v>89</v>
      </c>
      <c r="C17" s="3" t="str">
        <f t="shared" si="0"/>
        <v>Sprinkler Materials &amp; Fittings</v>
      </c>
      <c r="E17" t="s">
        <v>14</v>
      </c>
      <c r="G17" s="2">
        <v>18773.900000000001</v>
      </c>
      <c r="H17" s="2">
        <v>22360.71</v>
      </c>
      <c r="I17" s="2">
        <v>30529.23</v>
      </c>
      <c r="J17" s="2">
        <v>26313.19</v>
      </c>
      <c r="K17" s="2">
        <v>25153.9</v>
      </c>
      <c r="L17" s="2">
        <v>35273.47</v>
      </c>
      <c r="M17" s="2">
        <v>32345.72</v>
      </c>
      <c r="N17" s="2">
        <v>27196.52</v>
      </c>
      <c r="O17" s="2">
        <v>34613.93</v>
      </c>
      <c r="P17" s="2">
        <v>26913.35</v>
      </c>
      <c r="Q17" s="2">
        <v>22136.31</v>
      </c>
      <c r="R17" s="2">
        <v>34797.61</v>
      </c>
      <c r="S17" s="2"/>
      <c r="T17" s="2">
        <v>28669.279999999999</v>
      </c>
      <c r="U17" s="2">
        <v>36196.47</v>
      </c>
      <c r="V17" s="2">
        <v>51793.14</v>
      </c>
      <c r="W17" s="2">
        <v>42456.91</v>
      </c>
      <c r="X17" s="2">
        <v>49582.239999999998</v>
      </c>
      <c r="Y17" s="2">
        <v>54228.88</v>
      </c>
      <c r="Z17" s="2">
        <v>47745.8</v>
      </c>
      <c r="AA17" s="2">
        <v>56038.96</v>
      </c>
      <c r="AB17" s="2">
        <v>52247.6</v>
      </c>
      <c r="AC17" s="2">
        <v>44138.16</v>
      </c>
      <c r="AD17" s="2">
        <v>37548.879999999997</v>
      </c>
      <c r="AE17" s="2">
        <v>53877.37</v>
      </c>
      <c r="AF17" s="2"/>
      <c r="AG17" s="2">
        <v>22322.97</v>
      </c>
      <c r="AH17" s="2">
        <v>26379.4</v>
      </c>
      <c r="AI17" s="2">
        <v>39470.9</v>
      </c>
      <c r="AJ17" s="2">
        <v>33337.89</v>
      </c>
      <c r="AK17" s="2">
        <v>32727.87</v>
      </c>
      <c r="AL17" s="2">
        <v>43805.15</v>
      </c>
      <c r="AM17" s="2">
        <v>38107.980000000003</v>
      </c>
      <c r="AN17" s="2">
        <v>37875.25</v>
      </c>
      <c r="AO17" s="2">
        <v>46607.32</v>
      </c>
      <c r="AP17" s="2">
        <v>35486.980000000003</v>
      </c>
    </row>
    <row r="18" spans="1:42" x14ac:dyDescent="0.25">
      <c r="A18" s="3" t="s">
        <v>88</v>
      </c>
      <c r="B18" s="3" t="s">
        <v>89</v>
      </c>
      <c r="C18" s="3" t="str">
        <f t="shared" si="0"/>
        <v>Alarm Equipment &amp; Devices</v>
      </c>
      <c r="E18" t="s">
        <v>15</v>
      </c>
      <c r="G18" s="2">
        <v>14566.6</v>
      </c>
      <c r="H18" s="2">
        <v>19503.43</v>
      </c>
      <c r="I18" s="2">
        <v>26003.69</v>
      </c>
      <c r="J18" s="2">
        <v>20261.150000000001</v>
      </c>
      <c r="K18" s="2">
        <v>22372.12</v>
      </c>
      <c r="L18" s="2">
        <v>28269.05</v>
      </c>
      <c r="M18" s="2">
        <v>24855.63</v>
      </c>
      <c r="N18" s="2">
        <v>20789.75</v>
      </c>
      <c r="O18" s="2">
        <v>29163.29</v>
      </c>
      <c r="P18" s="2">
        <v>21531.18</v>
      </c>
      <c r="Q18" s="2">
        <v>17531.21</v>
      </c>
      <c r="R18" s="2">
        <v>24994.98</v>
      </c>
      <c r="S18" s="2"/>
      <c r="T18" s="2">
        <v>14941.88</v>
      </c>
      <c r="U18" s="2">
        <v>20169.27</v>
      </c>
      <c r="V18" s="2">
        <v>26325.57</v>
      </c>
      <c r="W18" s="2">
        <v>25805.05</v>
      </c>
      <c r="X18" s="2">
        <v>27245.72</v>
      </c>
      <c r="Y18" s="2">
        <v>32459.94</v>
      </c>
      <c r="Z18" s="2">
        <v>27853.06</v>
      </c>
      <c r="AA18" s="2">
        <v>28974.9</v>
      </c>
      <c r="AB18" s="2">
        <v>30560.51</v>
      </c>
      <c r="AC18" s="2">
        <v>25493.31</v>
      </c>
      <c r="AD18" s="2">
        <v>21989.9</v>
      </c>
      <c r="AE18" s="2">
        <v>31296.19</v>
      </c>
      <c r="AF18" s="2"/>
      <c r="AG18" s="2">
        <v>15637.56</v>
      </c>
      <c r="AH18" s="2">
        <v>23660.7</v>
      </c>
      <c r="AI18" s="2">
        <v>31615.07</v>
      </c>
      <c r="AJ18" s="2">
        <v>28204.31</v>
      </c>
      <c r="AK18" s="2">
        <v>27135.21</v>
      </c>
      <c r="AL18" s="2">
        <v>39056.71</v>
      </c>
      <c r="AM18" s="2">
        <v>30743.09</v>
      </c>
      <c r="AN18" s="2">
        <v>28316.26</v>
      </c>
      <c r="AO18" s="2">
        <v>37588.400000000001</v>
      </c>
      <c r="AP18" s="2">
        <v>25357.7</v>
      </c>
    </row>
    <row r="19" spans="1:42" x14ac:dyDescent="0.25">
      <c r="A19" s="3" t="s">
        <v>88</v>
      </c>
      <c r="B19" s="3" t="s">
        <v>89</v>
      </c>
      <c r="C19" s="3" t="str">
        <f t="shared" si="0"/>
        <v>Pipe &amp; Valves</v>
      </c>
      <c r="E19" t="s">
        <v>16</v>
      </c>
      <c r="G19" s="2">
        <v>7967.19</v>
      </c>
      <c r="H19" s="2">
        <v>8806.89</v>
      </c>
      <c r="I19" s="2">
        <v>12743.84</v>
      </c>
      <c r="J19" s="2">
        <v>9671.19</v>
      </c>
      <c r="K19" s="2">
        <v>11568.5</v>
      </c>
      <c r="L19" s="2">
        <v>15434.08</v>
      </c>
      <c r="M19" s="2">
        <v>12156.75</v>
      </c>
      <c r="N19" s="2">
        <v>10332.5</v>
      </c>
      <c r="O19" s="2">
        <v>14539.34</v>
      </c>
      <c r="P19" s="2">
        <v>11060.18</v>
      </c>
      <c r="Q19" s="2">
        <v>9261.31</v>
      </c>
      <c r="R19" s="2">
        <v>14455.18</v>
      </c>
      <c r="S19" s="2"/>
      <c r="T19" s="2">
        <v>10530.07</v>
      </c>
      <c r="U19" s="2">
        <v>14370.85</v>
      </c>
      <c r="V19" s="2">
        <v>19520.75</v>
      </c>
      <c r="W19" s="2">
        <v>18578.91</v>
      </c>
      <c r="X19" s="2">
        <v>19334.7</v>
      </c>
      <c r="Y19" s="2">
        <v>24458.55</v>
      </c>
      <c r="Z19" s="2">
        <v>18698.52</v>
      </c>
      <c r="AA19" s="2">
        <v>19930.18</v>
      </c>
      <c r="AB19" s="2">
        <v>23223.31</v>
      </c>
      <c r="AC19" s="2">
        <v>16768.29</v>
      </c>
      <c r="AD19" s="2">
        <v>14902.74</v>
      </c>
      <c r="AE19" s="2">
        <v>22127.84</v>
      </c>
      <c r="AF19" s="2"/>
      <c r="AG19" s="2">
        <v>8418.9</v>
      </c>
      <c r="AH19" s="2">
        <v>12346.43</v>
      </c>
      <c r="AI19" s="2">
        <v>13755.94</v>
      </c>
      <c r="AJ19" s="2">
        <v>15267.91</v>
      </c>
      <c r="AK19" s="2">
        <v>14836.59</v>
      </c>
      <c r="AL19" s="2">
        <v>17905.64</v>
      </c>
      <c r="AM19" s="2">
        <v>16298.4</v>
      </c>
      <c r="AN19" s="2">
        <v>13113.37</v>
      </c>
      <c r="AO19" s="2">
        <v>18264.5</v>
      </c>
      <c r="AP19" s="2">
        <v>13092.53</v>
      </c>
    </row>
    <row r="20" spans="1:42" x14ac:dyDescent="0.25">
      <c r="A20" s="3" t="s">
        <v>88</v>
      </c>
      <c r="B20" s="3" t="s">
        <v>89</v>
      </c>
      <c r="C20" s="3" t="str">
        <f t="shared" si="0"/>
        <v>Wire &amp; Cable</v>
      </c>
      <c r="E20" t="s">
        <v>17</v>
      </c>
      <c r="G20" s="2">
        <v>3609.62</v>
      </c>
      <c r="H20" s="2">
        <v>4371.6099999999997</v>
      </c>
      <c r="I20" s="2">
        <v>6685.13</v>
      </c>
      <c r="J20" s="2">
        <v>5497.89</v>
      </c>
      <c r="K20" s="2">
        <v>5897.69</v>
      </c>
      <c r="L20" s="2">
        <v>6938.55</v>
      </c>
      <c r="M20" s="2">
        <v>5789.17</v>
      </c>
      <c r="N20" s="2">
        <v>5878.02</v>
      </c>
      <c r="O20" s="2">
        <v>7069.28</v>
      </c>
      <c r="P20" s="2">
        <v>5659.43</v>
      </c>
      <c r="Q20" s="2">
        <v>4389.67</v>
      </c>
      <c r="R20" s="2">
        <v>6472.35</v>
      </c>
      <c r="S20" s="2"/>
      <c r="T20" s="2">
        <v>3900.52</v>
      </c>
      <c r="U20" s="2">
        <v>5537.4</v>
      </c>
      <c r="V20" s="2">
        <v>7315.37</v>
      </c>
      <c r="W20" s="2">
        <v>6319.53</v>
      </c>
      <c r="X20" s="2">
        <v>6875.49</v>
      </c>
      <c r="Y20" s="2">
        <v>8470.02</v>
      </c>
      <c r="Z20" s="2">
        <v>7048.46</v>
      </c>
      <c r="AA20" s="2">
        <v>7082.75</v>
      </c>
      <c r="AB20" s="2">
        <v>8297.86</v>
      </c>
      <c r="AC20" s="2">
        <v>5704.57</v>
      </c>
      <c r="AD20" s="2">
        <v>5958.83</v>
      </c>
      <c r="AE20" s="2">
        <v>7205.65</v>
      </c>
      <c r="AF20" s="2"/>
      <c r="AG20" s="2">
        <v>3986.23</v>
      </c>
      <c r="AH20" s="2">
        <v>5204.47</v>
      </c>
      <c r="AI20" s="2">
        <v>7598.76</v>
      </c>
      <c r="AJ20" s="2">
        <v>6630.18</v>
      </c>
      <c r="AK20" s="2">
        <v>6685.59</v>
      </c>
      <c r="AL20" s="2">
        <v>8753.7900000000009</v>
      </c>
      <c r="AM20" s="2">
        <v>7452.53</v>
      </c>
      <c r="AN20" s="2">
        <v>7232.56</v>
      </c>
      <c r="AO20" s="2">
        <v>9118.39</v>
      </c>
      <c r="AP20" s="2">
        <v>6355.52</v>
      </c>
    </row>
    <row r="21" spans="1:42" x14ac:dyDescent="0.25">
      <c r="A21" s="3" t="s">
        <v>88</v>
      </c>
      <c r="B21" s="3" t="s">
        <v>89</v>
      </c>
      <c r="C21" s="3" t="str">
        <f t="shared" si="0"/>
        <v>Equipment Rental</v>
      </c>
      <c r="E21" t="s">
        <v>18</v>
      </c>
      <c r="G21" s="2">
        <v>2518.48</v>
      </c>
      <c r="H21" s="2">
        <v>3584.79</v>
      </c>
      <c r="I21" s="2">
        <v>4551.4399999999996</v>
      </c>
      <c r="J21" s="2">
        <v>3668.65</v>
      </c>
      <c r="K21" s="2">
        <v>4026.13</v>
      </c>
      <c r="L21" s="2">
        <v>5815.17</v>
      </c>
      <c r="M21" s="2">
        <v>4338.3900000000003</v>
      </c>
      <c r="N21" s="2">
        <v>4125.8</v>
      </c>
      <c r="O21" s="2">
        <v>4865.8599999999997</v>
      </c>
      <c r="P21" s="2">
        <v>3631.3</v>
      </c>
      <c r="Q21" s="2">
        <v>3575.06</v>
      </c>
      <c r="R21" s="2">
        <v>4786.71</v>
      </c>
      <c r="S21" s="2"/>
      <c r="T21" s="2">
        <v>3681.57</v>
      </c>
      <c r="U21" s="2">
        <v>4708.51</v>
      </c>
      <c r="V21" s="2">
        <v>7025.94</v>
      </c>
      <c r="W21" s="2">
        <v>5918.75</v>
      </c>
      <c r="X21" s="2">
        <v>7040.82</v>
      </c>
      <c r="Y21" s="2">
        <v>8519.23</v>
      </c>
      <c r="Z21" s="2">
        <v>7546.77</v>
      </c>
      <c r="AA21" s="2">
        <v>7588.08</v>
      </c>
      <c r="AB21" s="2">
        <v>8754.82</v>
      </c>
      <c r="AC21" s="2">
        <v>5442.83</v>
      </c>
      <c r="AD21" s="2">
        <v>5273.98</v>
      </c>
      <c r="AE21" s="2">
        <v>7394.18</v>
      </c>
      <c r="AF21" s="2"/>
      <c r="AG21" s="2">
        <v>3349.06</v>
      </c>
      <c r="AH21" s="2">
        <v>4581.6400000000003</v>
      </c>
      <c r="AI21" s="2">
        <v>5929.02</v>
      </c>
      <c r="AJ21" s="2">
        <v>4936.3500000000004</v>
      </c>
      <c r="AK21" s="2">
        <v>5567.52</v>
      </c>
      <c r="AL21" s="2">
        <v>7059.02</v>
      </c>
      <c r="AM21" s="2">
        <v>5653.96</v>
      </c>
      <c r="AN21" s="2">
        <v>5957.39</v>
      </c>
      <c r="AO21" s="2">
        <v>5792.26</v>
      </c>
      <c r="AP21" s="2">
        <v>5538.21</v>
      </c>
    </row>
    <row r="22" spans="1:42" x14ac:dyDescent="0.25">
      <c r="A22" s="3" t="s">
        <v>88</v>
      </c>
      <c r="B22" s="3" t="s">
        <v>92</v>
      </c>
      <c r="C22" s="3" t="str">
        <f t="shared" si="0"/>
        <v>Vehicle Fuel - Job Related</v>
      </c>
      <c r="E22" t="s">
        <v>19</v>
      </c>
      <c r="G22" s="2">
        <v>1732.66</v>
      </c>
      <c r="H22" s="2">
        <v>2298.1799999999998</v>
      </c>
      <c r="I22" s="2">
        <v>3237.09</v>
      </c>
      <c r="J22" s="2">
        <v>2449.4</v>
      </c>
      <c r="K22" s="2">
        <v>2817.73</v>
      </c>
      <c r="L22" s="2">
        <v>3887</v>
      </c>
      <c r="M22" s="2">
        <v>3109.19</v>
      </c>
      <c r="N22" s="2">
        <v>2656.09</v>
      </c>
      <c r="O22" s="2">
        <v>3317.84</v>
      </c>
      <c r="P22" s="2">
        <v>2721.99</v>
      </c>
      <c r="Q22" s="2">
        <v>2351.63</v>
      </c>
      <c r="R22" s="2">
        <v>3506.39</v>
      </c>
      <c r="S22" s="2"/>
      <c r="T22" s="2">
        <v>1985.55</v>
      </c>
      <c r="U22" s="2">
        <v>2533.85</v>
      </c>
      <c r="V22" s="2">
        <v>3570.79</v>
      </c>
      <c r="W22" s="2">
        <v>3210.87</v>
      </c>
      <c r="X22" s="2">
        <v>3188.92</v>
      </c>
      <c r="Y22" s="2">
        <v>4504.7299999999996</v>
      </c>
      <c r="Z22" s="2">
        <v>3564.65</v>
      </c>
      <c r="AA22" s="2">
        <v>4075.91</v>
      </c>
      <c r="AB22" s="2">
        <v>4269.3599999999997</v>
      </c>
      <c r="AC22" s="2">
        <v>3272.21</v>
      </c>
      <c r="AD22" s="2">
        <v>2721.09</v>
      </c>
      <c r="AE22" s="2">
        <v>4051.96</v>
      </c>
      <c r="AF22" s="2"/>
      <c r="AG22" s="2">
        <v>2264.77</v>
      </c>
      <c r="AH22" s="2">
        <v>2657.92</v>
      </c>
      <c r="AI22" s="2">
        <v>3712.61</v>
      </c>
      <c r="AJ22" s="2">
        <v>3476.67</v>
      </c>
      <c r="AK22" s="2">
        <v>3676.26</v>
      </c>
      <c r="AL22" s="2">
        <v>4937.82</v>
      </c>
      <c r="AM22" s="2">
        <v>3645.08</v>
      </c>
      <c r="AN22" s="2">
        <v>3637.43</v>
      </c>
      <c r="AO22" s="2">
        <v>4151.1400000000003</v>
      </c>
      <c r="AP22" s="2">
        <v>3489.1</v>
      </c>
    </row>
    <row r="23" spans="1:42" x14ac:dyDescent="0.25">
      <c r="A23" s="3" t="s">
        <v>88</v>
      </c>
      <c r="B23" s="3" t="s">
        <v>89</v>
      </c>
      <c r="C23" s="3" t="str">
        <f t="shared" si="0"/>
        <v>Job Supplies &amp; Consumables</v>
      </c>
      <c r="E23" t="s">
        <v>20</v>
      </c>
      <c r="G23" s="2">
        <v>1578.81</v>
      </c>
      <c r="H23" s="2">
        <v>1751.11</v>
      </c>
      <c r="I23" s="2">
        <v>2391.4899999999998</v>
      </c>
      <c r="J23" s="2">
        <v>2072.59</v>
      </c>
      <c r="K23" s="2">
        <v>2120.19</v>
      </c>
      <c r="L23" s="2">
        <v>2996.4</v>
      </c>
      <c r="M23" s="2">
        <v>2241.0300000000002</v>
      </c>
      <c r="N23" s="2">
        <v>2035.37</v>
      </c>
      <c r="O23" s="2">
        <v>2940.44</v>
      </c>
      <c r="P23" s="2">
        <v>2083.61</v>
      </c>
      <c r="Q23" s="2">
        <v>1785.21</v>
      </c>
      <c r="R23" s="2">
        <v>2883.74</v>
      </c>
      <c r="S23" s="2"/>
      <c r="T23" s="2">
        <v>1553.21</v>
      </c>
      <c r="U23" s="2">
        <v>1969.74</v>
      </c>
      <c r="V23" s="2">
        <v>3022.94</v>
      </c>
      <c r="W23" s="2">
        <v>2525.09</v>
      </c>
      <c r="X23" s="2">
        <v>2711.6</v>
      </c>
      <c r="Y23" s="2">
        <v>3503.8</v>
      </c>
      <c r="Z23" s="2">
        <v>3192.73</v>
      </c>
      <c r="AA23" s="2">
        <v>3005.84</v>
      </c>
      <c r="AB23" s="2">
        <v>2925.31</v>
      </c>
      <c r="AC23" s="2">
        <v>2501.19</v>
      </c>
      <c r="AD23" s="2">
        <v>2462.9299999999998</v>
      </c>
      <c r="AE23" s="2">
        <v>3171.95</v>
      </c>
      <c r="AF23" s="2"/>
      <c r="AG23" s="2">
        <v>1655.68</v>
      </c>
      <c r="AH23" s="2">
        <v>2430.77</v>
      </c>
      <c r="AI23" s="2">
        <v>3353.7</v>
      </c>
      <c r="AJ23" s="2">
        <v>3068.6</v>
      </c>
      <c r="AK23" s="2">
        <v>2590.56</v>
      </c>
      <c r="AL23" s="2">
        <v>3639.16</v>
      </c>
      <c r="AM23" s="2">
        <v>3085.63</v>
      </c>
      <c r="AN23" s="2">
        <v>2859.81</v>
      </c>
      <c r="AO23" s="2">
        <v>3801.83</v>
      </c>
      <c r="AP23" s="2">
        <v>2885.48</v>
      </c>
    </row>
    <row r="24" spans="1:42" x14ac:dyDescent="0.25">
      <c r="A24" s="3" t="s">
        <v>88</v>
      </c>
      <c r="B24" s="3" t="s">
        <v>91</v>
      </c>
      <c r="C24" s="3" t="str">
        <f t="shared" si="0"/>
        <v>Subcontractor - Other</v>
      </c>
      <c r="E24" t="s">
        <v>21</v>
      </c>
      <c r="G24" s="2">
        <v>945.56</v>
      </c>
      <c r="H24" s="2">
        <v>1113.8399999999999</v>
      </c>
      <c r="I24" s="2">
        <v>1665.17</v>
      </c>
      <c r="J24" s="2">
        <v>1463.51</v>
      </c>
      <c r="K24" s="2">
        <v>1370.33</v>
      </c>
      <c r="L24" s="2">
        <v>2114.0700000000002</v>
      </c>
      <c r="M24" s="2">
        <v>1473.21</v>
      </c>
      <c r="N24" s="2">
        <v>1371.59</v>
      </c>
      <c r="O24" s="2">
        <v>1967.26</v>
      </c>
      <c r="P24" s="2">
        <v>1371</v>
      </c>
      <c r="Q24" s="2">
        <v>1113.8399999999999</v>
      </c>
      <c r="R24" s="2">
        <v>1887.01</v>
      </c>
      <c r="S24" s="2"/>
      <c r="T24" s="2">
        <v>957.03</v>
      </c>
      <c r="U24" s="2">
        <v>1216.8399999999999</v>
      </c>
      <c r="V24" s="2">
        <v>1764.42</v>
      </c>
      <c r="W24" s="2">
        <v>1413.98</v>
      </c>
      <c r="X24" s="2">
        <v>1647.43</v>
      </c>
      <c r="Y24" s="2">
        <v>2258.9899999999998</v>
      </c>
      <c r="Z24" s="2">
        <v>1743.29</v>
      </c>
      <c r="AA24" s="2">
        <v>1647.83</v>
      </c>
      <c r="AB24" s="2">
        <v>1972.18</v>
      </c>
      <c r="AC24" s="2">
        <v>1356.4</v>
      </c>
      <c r="AD24" s="2">
        <v>1324.4</v>
      </c>
      <c r="AE24" s="2">
        <v>1782.22</v>
      </c>
      <c r="AF24" s="2"/>
      <c r="AG24" s="2">
        <v>1155.7</v>
      </c>
      <c r="AH24" s="2">
        <v>1437.43</v>
      </c>
      <c r="AI24" s="2">
        <v>1772.78</v>
      </c>
      <c r="AJ24" s="2">
        <v>1595.66</v>
      </c>
      <c r="AK24" s="2">
        <v>1832.16</v>
      </c>
      <c r="AL24" s="2">
        <v>2188.77</v>
      </c>
      <c r="AM24" s="2">
        <v>1987.28</v>
      </c>
      <c r="AN24" s="2">
        <v>1701.88</v>
      </c>
      <c r="AO24" s="2">
        <v>2044.3</v>
      </c>
      <c r="AP24" s="2">
        <v>1461.81</v>
      </c>
    </row>
    <row r="25" spans="1:42" x14ac:dyDescent="0.25">
      <c r="C25" s="3" t="str">
        <f t="shared" si="0"/>
        <v>Total COGS</v>
      </c>
      <c r="D25" t="s">
        <v>22</v>
      </c>
      <c r="G25" s="2">
        <v>141392.39000000001</v>
      </c>
      <c r="H25" s="2">
        <v>178884.56</v>
      </c>
      <c r="I25" s="2">
        <v>135205.13</v>
      </c>
      <c r="J25" s="2">
        <v>156157.32999999999</v>
      </c>
      <c r="K25" s="2">
        <v>184490.98</v>
      </c>
      <c r="L25" s="2">
        <v>295476.51</v>
      </c>
      <c r="M25" s="2">
        <v>134079.60999999999</v>
      </c>
      <c r="N25" s="2">
        <v>170687.42</v>
      </c>
      <c r="O25" s="2">
        <v>294787.02</v>
      </c>
      <c r="P25" s="2">
        <v>130667.72</v>
      </c>
      <c r="Q25" s="2">
        <v>140214.57</v>
      </c>
      <c r="R25" s="2">
        <v>202828.11</v>
      </c>
      <c r="S25" s="2"/>
      <c r="T25" s="2">
        <v>155450.23000000001</v>
      </c>
      <c r="U25" s="2">
        <v>196163.66</v>
      </c>
      <c r="V25" s="2">
        <v>352935.72</v>
      </c>
      <c r="W25" s="2">
        <v>160892.26</v>
      </c>
      <c r="X25" s="2">
        <v>283426.68</v>
      </c>
      <c r="Y25" s="2">
        <v>323786.01</v>
      </c>
      <c r="Z25" s="2">
        <v>370041.59999999998</v>
      </c>
      <c r="AA25" s="2">
        <v>191766.1</v>
      </c>
      <c r="AB25" s="2">
        <v>299460</v>
      </c>
      <c r="AC25" s="2">
        <v>244993.45</v>
      </c>
      <c r="AD25" s="2">
        <v>286003.52</v>
      </c>
      <c r="AE25" s="2">
        <v>195768.4</v>
      </c>
      <c r="AF25" s="2"/>
      <c r="AG25" s="2">
        <v>132548.51999999999</v>
      </c>
      <c r="AH25" s="2">
        <v>177664.1</v>
      </c>
      <c r="AI25" s="2">
        <v>240946.84</v>
      </c>
      <c r="AJ25" s="2">
        <v>290884.43</v>
      </c>
      <c r="AK25" s="2">
        <v>168159.01</v>
      </c>
      <c r="AL25" s="2">
        <v>288425.21999999997</v>
      </c>
      <c r="AM25" s="2">
        <v>232940.68</v>
      </c>
      <c r="AN25" s="2">
        <v>289467.23</v>
      </c>
      <c r="AO25" s="2">
        <v>194074.6</v>
      </c>
      <c r="AP25" s="2">
        <v>226758.75</v>
      </c>
    </row>
    <row r="26" spans="1:42" x14ac:dyDescent="0.25">
      <c r="C26" s="3" t="str">
        <f t="shared" si="0"/>
        <v>Gross Profit</v>
      </c>
      <c r="D26" t="s">
        <v>23</v>
      </c>
      <c r="G26" s="2">
        <v>48583.63</v>
      </c>
      <c r="H26" s="2">
        <v>48395.18</v>
      </c>
      <c r="I26" s="2">
        <v>172410.4</v>
      </c>
      <c r="J26" s="2">
        <v>102486.5</v>
      </c>
      <c r="K26" s="2">
        <v>87286.04</v>
      </c>
      <c r="L26" s="2">
        <v>72778.59</v>
      </c>
      <c r="M26" s="2">
        <v>168416.98</v>
      </c>
      <c r="N26" s="2">
        <v>106535.16</v>
      </c>
      <c r="O26" s="2">
        <v>59493.04</v>
      </c>
      <c r="P26" s="2">
        <v>136487.34</v>
      </c>
      <c r="Q26" s="2">
        <v>85077.61</v>
      </c>
      <c r="R26" s="2">
        <v>136263.95000000001</v>
      </c>
      <c r="S26" s="2"/>
      <c r="T26" s="2">
        <v>47056.959999999999</v>
      </c>
      <c r="U26" s="2">
        <v>62047.08</v>
      </c>
      <c r="V26" s="2">
        <v>-60.54</v>
      </c>
      <c r="W26" s="2">
        <v>158807.43</v>
      </c>
      <c r="X26" s="2">
        <v>56615.85</v>
      </c>
      <c r="Y26" s="2">
        <v>113862.18</v>
      </c>
      <c r="Z26" s="2">
        <v>1064.24</v>
      </c>
      <c r="AA26" s="2">
        <v>189321.12</v>
      </c>
      <c r="AB26" s="2">
        <v>98642.43</v>
      </c>
      <c r="AC26" s="2">
        <v>60302.23</v>
      </c>
      <c r="AD26" s="2">
        <v>6693.25</v>
      </c>
      <c r="AE26" s="2">
        <v>194642.08</v>
      </c>
      <c r="AF26" s="2"/>
      <c r="AG26" s="2">
        <v>79898.600000000006</v>
      </c>
      <c r="AH26" s="2">
        <v>104894.62</v>
      </c>
      <c r="AI26" s="2">
        <v>140702.38</v>
      </c>
      <c r="AJ26" s="2">
        <v>58048.959999999999</v>
      </c>
      <c r="AK26" s="2">
        <v>177545.79</v>
      </c>
      <c r="AL26" s="2">
        <v>183960.91</v>
      </c>
      <c r="AM26" s="2">
        <v>152112.85999999999</v>
      </c>
      <c r="AN26" s="2">
        <v>64473.69</v>
      </c>
      <c r="AO26" s="2">
        <v>243157.4</v>
      </c>
      <c r="AP26" s="2">
        <v>111498.79</v>
      </c>
    </row>
    <row r="27" spans="1:42" x14ac:dyDescent="0.25">
      <c r="C27" s="3">
        <f t="shared" si="0"/>
        <v>0</v>
      </c>
    </row>
    <row r="28" spans="1:42" x14ac:dyDescent="0.25">
      <c r="C28" s="3" t="str">
        <f t="shared" si="0"/>
        <v>SELLING</v>
      </c>
      <c r="D28" t="s">
        <v>24</v>
      </c>
      <c r="G28" t="s">
        <v>25</v>
      </c>
    </row>
    <row r="29" spans="1:42" x14ac:dyDescent="0.25">
      <c r="A29" s="3" t="s">
        <v>93</v>
      </c>
      <c r="B29" s="3" t="s">
        <v>94</v>
      </c>
      <c r="C29" s="3" t="str">
        <f t="shared" si="0"/>
        <v>Officer Salaries</v>
      </c>
      <c r="E29" t="s">
        <v>26</v>
      </c>
      <c r="G29" s="2">
        <v>14566.36</v>
      </c>
      <c r="H29" s="2">
        <v>14841.04</v>
      </c>
      <c r="I29" s="2">
        <v>14639.45</v>
      </c>
      <c r="J29" s="2">
        <v>14889.82</v>
      </c>
      <c r="K29" s="2">
        <v>22240.5</v>
      </c>
      <c r="L29" s="2">
        <v>14523.37</v>
      </c>
      <c r="M29" s="2">
        <v>14647.97</v>
      </c>
      <c r="N29" s="2">
        <v>15039.73</v>
      </c>
      <c r="O29" s="2">
        <v>14899.35</v>
      </c>
      <c r="P29" s="2">
        <v>21524.03</v>
      </c>
      <c r="Q29" s="2">
        <v>14904.99</v>
      </c>
      <c r="R29" s="2">
        <v>15063.62</v>
      </c>
      <c r="S29" s="2"/>
      <c r="T29" s="2">
        <v>14664.61</v>
      </c>
      <c r="U29" s="2">
        <v>14349.38</v>
      </c>
      <c r="V29" s="2">
        <v>14422.84</v>
      </c>
      <c r="W29" s="2">
        <v>14976.25</v>
      </c>
      <c r="X29" s="2">
        <v>22597.17</v>
      </c>
      <c r="Y29" s="2">
        <v>14674.44</v>
      </c>
      <c r="Z29" s="2">
        <v>15050.92</v>
      </c>
      <c r="AA29" s="2">
        <v>14398.02</v>
      </c>
      <c r="AB29" s="2">
        <v>14378.66</v>
      </c>
      <c r="AC29" s="2">
        <v>21945.21</v>
      </c>
      <c r="AD29" s="2">
        <v>14385.93</v>
      </c>
      <c r="AE29" s="2">
        <v>14514.41</v>
      </c>
      <c r="AF29" s="2"/>
      <c r="AG29" s="2">
        <v>14741.03</v>
      </c>
      <c r="AH29" s="2">
        <v>14782.42</v>
      </c>
      <c r="AI29" s="2">
        <v>14466.84</v>
      </c>
      <c r="AJ29" s="2">
        <v>14596.78</v>
      </c>
      <c r="AK29" s="2">
        <v>22599.72</v>
      </c>
      <c r="AL29" s="2">
        <v>14362.19</v>
      </c>
      <c r="AM29" s="2">
        <v>14347.03</v>
      </c>
      <c r="AN29" s="2">
        <v>14405.6</v>
      </c>
      <c r="AO29" s="2">
        <v>14374.48</v>
      </c>
      <c r="AP29" s="2">
        <v>21848.06</v>
      </c>
    </row>
    <row r="30" spans="1:42" x14ac:dyDescent="0.25">
      <c r="A30" s="3" t="s">
        <v>93</v>
      </c>
      <c r="B30" s="3" t="s">
        <v>94</v>
      </c>
      <c r="C30" s="3" t="str">
        <f t="shared" si="0"/>
        <v>Office Salaries</v>
      </c>
      <c r="E30" t="s">
        <v>27</v>
      </c>
      <c r="G30" s="2">
        <v>10490.07</v>
      </c>
      <c r="H30" s="2">
        <v>10399.469999999999</v>
      </c>
      <c r="I30" s="2">
        <v>10378.27</v>
      </c>
      <c r="J30" s="2">
        <v>10653.48</v>
      </c>
      <c r="K30" s="2">
        <v>15478.46</v>
      </c>
      <c r="L30" s="2">
        <v>10261.959999999999</v>
      </c>
      <c r="M30" s="2">
        <v>10442.99</v>
      </c>
      <c r="N30" s="2">
        <v>10306.73</v>
      </c>
      <c r="O30" s="2">
        <v>10377.799999999999</v>
      </c>
      <c r="P30" s="2">
        <v>15507.83</v>
      </c>
      <c r="Q30" s="2">
        <v>10391.42</v>
      </c>
      <c r="R30" s="2">
        <v>10666.97</v>
      </c>
      <c r="S30" s="2"/>
      <c r="T30" s="2">
        <v>10583.62</v>
      </c>
      <c r="U30" s="2">
        <v>10358.799999999999</v>
      </c>
      <c r="V30" s="2">
        <v>10701.88</v>
      </c>
      <c r="W30" s="2">
        <v>10623.55</v>
      </c>
      <c r="X30" s="2">
        <v>16069.61</v>
      </c>
      <c r="Y30" s="2">
        <v>10355.280000000001</v>
      </c>
      <c r="Z30" s="2">
        <v>10253.049999999999</v>
      </c>
      <c r="AA30" s="2">
        <v>10587.69</v>
      </c>
      <c r="AB30" s="2">
        <v>10359.99</v>
      </c>
      <c r="AC30" s="2">
        <v>15906.09</v>
      </c>
      <c r="AD30" s="2">
        <v>10400.49</v>
      </c>
      <c r="AE30" s="2">
        <v>10293.93</v>
      </c>
      <c r="AF30" s="2"/>
      <c r="AG30" s="2">
        <v>10268.9</v>
      </c>
      <c r="AH30" s="2">
        <v>10342.73</v>
      </c>
      <c r="AI30" s="2">
        <v>10556.27</v>
      </c>
      <c r="AJ30" s="2">
        <v>10677.94</v>
      </c>
      <c r="AK30" s="2">
        <v>15376.94</v>
      </c>
      <c r="AL30" s="2">
        <v>10379.89</v>
      </c>
      <c r="AM30" s="2">
        <v>10471.049999999999</v>
      </c>
      <c r="AN30" s="2">
        <v>10527.17</v>
      </c>
      <c r="AO30" s="2">
        <v>10238.64</v>
      </c>
      <c r="AP30" s="2">
        <v>15930.43</v>
      </c>
    </row>
    <row r="31" spans="1:42" x14ac:dyDescent="0.25">
      <c r="A31" s="3" t="s">
        <v>93</v>
      </c>
      <c r="B31" s="3" t="s">
        <v>94</v>
      </c>
      <c r="C31" s="3" t="str">
        <f t="shared" si="0"/>
        <v>Project Manager Salaries</v>
      </c>
      <c r="E31" t="s">
        <v>28</v>
      </c>
      <c r="G31" s="2">
        <v>8337.8700000000008</v>
      </c>
      <c r="H31" s="2">
        <v>8382.57</v>
      </c>
      <c r="I31" s="2">
        <v>8264.43</v>
      </c>
      <c r="J31" s="2">
        <v>8303.3700000000008</v>
      </c>
      <c r="K31" s="2">
        <v>12618.94</v>
      </c>
      <c r="L31" s="2">
        <v>8398.42</v>
      </c>
      <c r="M31" s="2">
        <v>8232.86</v>
      </c>
      <c r="N31" s="2">
        <v>8301.08</v>
      </c>
      <c r="O31" s="2">
        <v>8315.25</v>
      </c>
      <c r="P31" s="2">
        <v>12692.35</v>
      </c>
      <c r="Q31" s="2">
        <v>8448.31</v>
      </c>
      <c r="R31" s="2">
        <v>8435.2900000000009</v>
      </c>
      <c r="S31" s="2"/>
      <c r="T31" s="2">
        <v>8201.42</v>
      </c>
      <c r="U31" s="2">
        <v>8369.99</v>
      </c>
      <c r="V31" s="2">
        <v>8459.61</v>
      </c>
      <c r="W31" s="2">
        <v>8203.7099999999991</v>
      </c>
      <c r="X31" s="2">
        <v>12885.81</v>
      </c>
      <c r="Y31" s="2">
        <v>8459.2999999999993</v>
      </c>
      <c r="Z31" s="2">
        <v>8463.94</v>
      </c>
      <c r="AA31" s="2">
        <v>8557.6200000000008</v>
      </c>
      <c r="AB31" s="2">
        <v>8221.01</v>
      </c>
      <c r="AC31" s="2">
        <v>12443.03</v>
      </c>
      <c r="AD31" s="2">
        <v>8575.42</v>
      </c>
      <c r="AE31" s="2">
        <v>8228.99</v>
      </c>
      <c r="AF31" s="2"/>
      <c r="AG31" s="2">
        <v>8468.73</v>
      </c>
      <c r="AH31" s="2">
        <v>8590.2999999999993</v>
      </c>
      <c r="AI31" s="2">
        <v>8606.84</v>
      </c>
      <c r="AJ31" s="2">
        <v>8234.77</v>
      </c>
      <c r="AK31" s="2">
        <v>12289.17</v>
      </c>
      <c r="AL31" s="2">
        <v>8313.4699999999993</v>
      </c>
      <c r="AM31" s="2">
        <v>8289.0300000000007</v>
      </c>
      <c r="AN31" s="2">
        <v>8578.16</v>
      </c>
      <c r="AO31" s="2">
        <v>8226.5400000000009</v>
      </c>
      <c r="AP31" s="2">
        <v>12884.93</v>
      </c>
    </row>
    <row r="32" spans="1:42" x14ac:dyDescent="0.25">
      <c r="A32" s="3" t="s">
        <v>93</v>
      </c>
      <c r="B32" s="3" t="s">
        <v>94</v>
      </c>
      <c r="C32" s="3" t="str">
        <f t="shared" si="0"/>
        <v>Field Supervisor Salaries</v>
      </c>
      <c r="E32" t="s">
        <v>29</v>
      </c>
      <c r="G32" s="2">
        <v>8362.3799999999992</v>
      </c>
      <c r="H32" s="2">
        <v>8607.01</v>
      </c>
      <c r="I32" s="2">
        <v>8242.7800000000007</v>
      </c>
      <c r="J32" s="2">
        <v>8317.83</v>
      </c>
      <c r="K32" s="2">
        <v>12743.75</v>
      </c>
      <c r="L32" s="2">
        <v>8295.73</v>
      </c>
      <c r="M32" s="2">
        <v>8442.3700000000008</v>
      </c>
      <c r="N32" s="2">
        <v>8537.99</v>
      </c>
      <c r="O32" s="2">
        <v>8581.69</v>
      </c>
      <c r="P32" s="2">
        <v>12618.25</v>
      </c>
      <c r="Q32" s="2">
        <v>8269.98</v>
      </c>
      <c r="R32" s="2">
        <v>8213.51</v>
      </c>
      <c r="S32" s="2"/>
      <c r="T32" s="2">
        <v>8413.81</v>
      </c>
      <c r="U32" s="2">
        <v>8192.2900000000009</v>
      </c>
      <c r="V32" s="2">
        <v>8584.11</v>
      </c>
      <c r="W32" s="2">
        <v>8491.76</v>
      </c>
      <c r="X32" s="2">
        <v>12288.91</v>
      </c>
      <c r="Y32" s="2">
        <v>8495.27</v>
      </c>
      <c r="Z32" s="2">
        <v>8279.2999999999993</v>
      </c>
      <c r="AA32" s="2">
        <v>8401.2199999999993</v>
      </c>
      <c r="AB32" s="2">
        <v>8431.2900000000009</v>
      </c>
      <c r="AC32" s="2">
        <v>12360.18</v>
      </c>
      <c r="AD32" s="2">
        <v>8318.84</v>
      </c>
      <c r="AE32" s="2">
        <v>8325.64</v>
      </c>
      <c r="AF32" s="2"/>
      <c r="AG32" s="2">
        <v>8486.14</v>
      </c>
      <c r="AH32" s="2">
        <v>8356.3799999999992</v>
      </c>
      <c r="AI32" s="2">
        <v>8312.32</v>
      </c>
      <c r="AJ32" s="2">
        <v>8253.9599999999991</v>
      </c>
      <c r="AK32" s="2">
        <v>12643.59</v>
      </c>
      <c r="AL32" s="2">
        <v>8412.7000000000007</v>
      </c>
      <c r="AM32" s="2">
        <v>8270.09</v>
      </c>
      <c r="AN32" s="2">
        <v>8341.44</v>
      </c>
      <c r="AO32" s="2">
        <v>8427.89</v>
      </c>
      <c r="AP32" s="2">
        <v>12846.99</v>
      </c>
    </row>
    <row r="33" spans="1:42" x14ac:dyDescent="0.25">
      <c r="A33" s="3" t="s">
        <v>93</v>
      </c>
      <c r="B33" s="3" t="s">
        <v>94</v>
      </c>
      <c r="C33" s="3" t="str">
        <f t="shared" si="0"/>
        <v>Bonus Expense</v>
      </c>
      <c r="E33" t="s">
        <v>30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34364.870000000003</v>
      </c>
      <c r="S33" s="2"/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36219.06</v>
      </c>
      <c r="AF33" s="2"/>
      <c r="AG33" s="2">
        <v>0</v>
      </c>
      <c r="AH33" s="2">
        <v>3130.84</v>
      </c>
      <c r="AI33" s="2">
        <v>2862.44</v>
      </c>
      <c r="AJ33" s="2">
        <v>2904.84</v>
      </c>
      <c r="AK33" s="2">
        <v>3012.74</v>
      </c>
      <c r="AL33" s="2">
        <v>3112.38</v>
      </c>
      <c r="AM33" s="2">
        <v>3023.05</v>
      </c>
      <c r="AN33" s="2">
        <v>3085.84</v>
      </c>
      <c r="AO33" s="2">
        <v>3132.88</v>
      </c>
      <c r="AP33" s="2">
        <v>3221.84</v>
      </c>
    </row>
    <row r="34" spans="1:42" x14ac:dyDescent="0.25">
      <c r="A34" s="3" t="s">
        <v>93</v>
      </c>
      <c r="B34" s="3" t="s">
        <v>94</v>
      </c>
      <c r="C34" s="3" t="str">
        <f t="shared" si="0"/>
        <v>Payroll Taxes</v>
      </c>
      <c r="E34" t="s">
        <v>31</v>
      </c>
      <c r="G34" s="2">
        <v>3997.79</v>
      </c>
      <c r="H34" s="2">
        <v>3985</v>
      </c>
      <c r="I34" s="2">
        <v>3987.49</v>
      </c>
      <c r="J34" s="2">
        <v>4004.93</v>
      </c>
      <c r="K34" s="2">
        <v>9006.64</v>
      </c>
      <c r="L34" s="2">
        <v>4055.29</v>
      </c>
      <c r="M34" s="2">
        <v>4084.97</v>
      </c>
      <c r="N34" s="2">
        <v>4000.71</v>
      </c>
      <c r="O34" s="2">
        <v>4073</v>
      </c>
      <c r="P34" s="2">
        <v>8922.34</v>
      </c>
      <c r="Q34" s="2">
        <v>3901.42</v>
      </c>
      <c r="R34" s="2">
        <v>3980.76</v>
      </c>
      <c r="S34" s="2"/>
      <c r="T34" s="2">
        <v>4083.78</v>
      </c>
      <c r="U34" s="2">
        <v>3978.9</v>
      </c>
      <c r="V34" s="2">
        <v>3943.42</v>
      </c>
      <c r="W34" s="2">
        <v>4038.66</v>
      </c>
      <c r="X34" s="2">
        <v>9080.2199999999993</v>
      </c>
      <c r="Y34" s="2">
        <v>4058.51</v>
      </c>
      <c r="Z34" s="2">
        <v>4083.39</v>
      </c>
      <c r="AA34" s="2">
        <v>3928.43</v>
      </c>
      <c r="AB34" s="2">
        <v>4003.24</v>
      </c>
      <c r="AC34" s="2">
        <v>9091.94</v>
      </c>
      <c r="AD34" s="2">
        <v>4067.8</v>
      </c>
      <c r="AE34" s="2">
        <v>3979.52</v>
      </c>
      <c r="AF34" s="2"/>
      <c r="AG34" s="2">
        <v>4052.32</v>
      </c>
      <c r="AH34" s="2">
        <v>3966.92</v>
      </c>
      <c r="AI34" s="2">
        <v>4078.16</v>
      </c>
      <c r="AJ34" s="2">
        <v>3930.13</v>
      </c>
      <c r="AK34" s="2">
        <v>8909.3700000000008</v>
      </c>
      <c r="AL34" s="2">
        <v>4023.3</v>
      </c>
      <c r="AM34" s="2">
        <v>3891.35</v>
      </c>
      <c r="AN34" s="2">
        <v>4044.92</v>
      </c>
      <c r="AO34" s="2">
        <v>4075.29</v>
      </c>
      <c r="AP34" s="2">
        <v>8874.7800000000007</v>
      </c>
    </row>
    <row r="35" spans="1:42" x14ac:dyDescent="0.25">
      <c r="A35" s="3" t="s">
        <v>93</v>
      </c>
      <c r="B35" s="3" t="s">
        <v>94</v>
      </c>
      <c r="C35" s="3" t="str">
        <f t="shared" si="0"/>
        <v>Health Insurance</v>
      </c>
      <c r="E35" t="s">
        <v>32</v>
      </c>
      <c r="G35" s="2">
        <v>4221.8500000000004</v>
      </c>
      <c r="H35" s="2">
        <v>4150.07</v>
      </c>
      <c r="I35" s="2">
        <v>4157.33</v>
      </c>
      <c r="J35" s="2">
        <v>4230.6000000000004</v>
      </c>
      <c r="K35" s="2">
        <v>4234.05</v>
      </c>
      <c r="L35" s="2">
        <v>4214.3500000000004</v>
      </c>
      <c r="M35" s="2">
        <v>4141.28</v>
      </c>
      <c r="N35" s="2">
        <v>4152.22</v>
      </c>
      <c r="O35" s="2">
        <v>4231.5600000000004</v>
      </c>
      <c r="P35" s="2">
        <v>4142.2700000000004</v>
      </c>
      <c r="Q35" s="2">
        <v>4159.2299999999996</v>
      </c>
      <c r="R35" s="2">
        <v>4195.2</v>
      </c>
      <c r="S35" s="2"/>
      <c r="T35" s="2">
        <v>4185.0200000000004</v>
      </c>
      <c r="U35" s="2">
        <v>4178.6499999999996</v>
      </c>
      <c r="V35" s="2">
        <v>4261.03</v>
      </c>
      <c r="W35" s="2">
        <v>4249.7299999999996</v>
      </c>
      <c r="X35" s="2">
        <v>4222.99</v>
      </c>
      <c r="Y35" s="2">
        <v>4139.82</v>
      </c>
      <c r="Z35" s="2">
        <v>4232.7</v>
      </c>
      <c r="AA35" s="2">
        <v>4213.7700000000004</v>
      </c>
      <c r="AB35" s="2">
        <v>4158.57</v>
      </c>
      <c r="AC35" s="2">
        <v>4261.57</v>
      </c>
      <c r="AD35" s="2">
        <v>4254.54</v>
      </c>
      <c r="AE35" s="2">
        <v>4144.74</v>
      </c>
      <c r="AF35" s="2"/>
      <c r="AG35" s="2">
        <v>4197.26</v>
      </c>
      <c r="AH35" s="2">
        <v>4193.91</v>
      </c>
      <c r="AI35" s="2">
        <v>4223.6099999999997</v>
      </c>
      <c r="AJ35" s="2">
        <v>4166.03</v>
      </c>
      <c r="AK35" s="2">
        <v>4262.8599999999997</v>
      </c>
      <c r="AL35" s="2">
        <v>4221.6899999999996</v>
      </c>
      <c r="AM35" s="2">
        <v>4250.1099999999997</v>
      </c>
      <c r="AN35" s="2">
        <v>4167.9799999999996</v>
      </c>
      <c r="AO35" s="2">
        <v>4213.9799999999996</v>
      </c>
      <c r="AP35" s="2">
        <v>4143.4799999999996</v>
      </c>
    </row>
    <row r="36" spans="1:42" x14ac:dyDescent="0.25">
      <c r="A36" s="3" t="s">
        <v>93</v>
      </c>
      <c r="B36" s="3" t="s">
        <v>96</v>
      </c>
      <c r="C36" s="3" t="str">
        <f t="shared" si="0"/>
        <v>Workers Compensation Insurance</v>
      </c>
      <c r="E36" t="s">
        <v>33</v>
      </c>
      <c r="G36" s="2">
        <v>5781.58</v>
      </c>
      <c r="H36" s="2">
        <v>5921.59</v>
      </c>
      <c r="I36" s="2">
        <v>5583.7</v>
      </c>
      <c r="J36" s="2">
        <v>5665.55</v>
      </c>
      <c r="K36" s="2">
        <v>5759.11</v>
      </c>
      <c r="L36" s="2">
        <v>5712.67</v>
      </c>
      <c r="M36" s="2">
        <v>5830.5</v>
      </c>
      <c r="N36" s="2">
        <v>5792.03</v>
      </c>
      <c r="O36" s="2">
        <v>5629.23</v>
      </c>
      <c r="P36" s="2">
        <v>5791.03</v>
      </c>
      <c r="Q36" s="2">
        <v>5581.93</v>
      </c>
      <c r="R36" s="2">
        <v>5984.85</v>
      </c>
      <c r="S36" s="2"/>
      <c r="T36" s="2">
        <v>5943</v>
      </c>
      <c r="U36" s="2">
        <v>5604.93</v>
      </c>
      <c r="V36" s="2">
        <v>5633.33</v>
      </c>
      <c r="W36" s="2">
        <v>5653.27</v>
      </c>
      <c r="X36" s="2">
        <v>5771.79</v>
      </c>
      <c r="Y36" s="2">
        <v>5951.48</v>
      </c>
      <c r="Z36" s="2">
        <v>5753.98</v>
      </c>
      <c r="AA36" s="2">
        <v>5837.22</v>
      </c>
      <c r="AB36" s="2">
        <v>5982.4</v>
      </c>
      <c r="AC36" s="2">
        <v>5927.11</v>
      </c>
      <c r="AD36" s="2">
        <v>5686.57</v>
      </c>
      <c r="AE36" s="2">
        <v>5970.5</v>
      </c>
      <c r="AF36" s="2"/>
      <c r="AG36" s="2">
        <v>5821.74</v>
      </c>
      <c r="AH36" s="2">
        <v>5998.59</v>
      </c>
      <c r="AI36" s="2">
        <v>5794.91</v>
      </c>
      <c r="AJ36" s="2">
        <v>6012.86</v>
      </c>
      <c r="AK36" s="2">
        <v>5732.82</v>
      </c>
      <c r="AL36" s="2">
        <v>5682.64</v>
      </c>
      <c r="AM36" s="2">
        <v>5708.97</v>
      </c>
      <c r="AN36" s="2">
        <v>5883.63</v>
      </c>
      <c r="AO36" s="2">
        <v>5830.29</v>
      </c>
      <c r="AP36" s="2">
        <v>5656.01</v>
      </c>
    </row>
    <row r="37" spans="1:42" x14ac:dyDescent="0.25">
      <c r="A37" s="3" t="s">
        <v>93</v>
      </c>
      <c r="B37" s="3" t="s">
        <v>96</v>
      </c>
      <c r="C37" s="3" t="str">
        <f t="shared" si="0"/>
        <v>General Liability Insurance</v>
      </c>
      <c r="E37" t="s">
        <v>34</v>
      </c>
      <c r="G37" s="2">
        <v>8557.1299999999992</v>
      </c>
      <c r="H37" s="2">
        <v>1414.89</v>
      </c>
      <c r="I37" s="2">
        <v>1372.7</v>
      </c>
      <c r="J37" s="2">
        <v>1373.06</v>
      </c>
      <c r="K37" s="2">
        <v>1429.76</v>
      </c>
      <c r="L37" s="2">
        <v>1396.73</v>
      </c>
      <c r="M37" s="2">
        <v>1374.97</v>
      </c>
      <c r="N37" s="2">
        <v>1383.3</v>
      </c>
      <c r="O37" s="2">
        <v>1413.05</v>
      </c>
      <c r="P37" s="2">
        <v>1398.61</v>
      </c>
      <c r="Q37" s="2">
        <v>0</v>
      </c>
      <c r="R37" s="2">
        <v>0</v>
      </c>
      <c r="S37" s="2"/>
      <c r="T37" s="2">
        <v>8233.3700000000008</v>
      </c>
      <c r="U37" s="2">
        <v>1409.81</v>
      </c>
      <c r="V37" s="2">
        <v>1430.8</v>
      </c>
      <c r="W37" s="2">
        <v>1372.3</v>
      </c>
      <c r="X37" s="2">
        <v>1401.05</v>
      </c>
      <c r="Y37" s="2">
        <v>1422.22</v>
      </c>
      <c r="Z37" s="2">
        <v>1424.05</v>
      </c>
      <c r="AA37" s="2">
        <v>1405.66</v>
      </c>
      <c r="AB37" s="2">
        <v>1413.8</v>
      </c>
      <c r="AC37" s="2">
        <v>1395.36</v>
      </c>
      <c r="AD37" s="2">
        <v>0</v>
      </c>
      <c r="AE37" s="2">
        <v>0</v>
      </c>
      <c r="AF37" s="2"/>
      <c r="AG37" s="2">
        <v>22468.6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</row>
    <row r="38" spans="1:42" x14ac:dyDescent="0.25">
      <c r="A38" s="3" t="s">
        <v>93</v>
      </c>
      <c r="B38" s="3" t="s">
        <v>96</v>
      </c>
      <c r="C38" s="3" t="str">
        <f t="shared" si="0"/>
        <v>Professional Liability Insurance</v>
      </c>
      <c r="E38" t="s">
        <v>35</v>
      </c>
      <c r="G38" s="2">
        <v>952.18</v>
      </c>
      <c r="H38" s="2">
        <v>947.24</v>
      </c>
      <c r="I38" s="2">
        <v>945.27</v>
      </c>
      <c r="J38" s="2">
        <v>943.24</v>
      </c>
      <c r="K38" s="2">
        <v>950.73</v>
      </c>
      <c r="L38" s="2">
        <v>942.57</v>
      </c>
      <c r="M38" s="2">
        <v>948.6</v>
      </c>
      <c r="N38" s="2">
        <v>959.27</v>
      </c>
      <c r="O38" s="2">
        <v>954.04</v>
      </c>
      <c r="P38" s="2">
        <v>942.29</v>
      </c>
      <c r="Q38" s="2">
        <v>950.93</v>
      </c>
      <c r="R38" s="2">
        <v>950.43</v>
      </c>
      <c r="S38" s="2"/>
      <c r="T38" s="2">
        <v>959.44</v>
      </c>
      <c r="U38" s="2">
        <v>955.77</v>
      </c>
      <c r="V38" s="2">
        <v>941.59</v>
      </c>
      <c r="W38" s="2">
        <v>957.43</v>
      </c>
      <c r="X38" s="2">
        <v>948.41</v>
      </c>
      <c r="Y38" s="2">
        <v>954.1</v>
      </c>
      <c r="Z38" s="2">
        <v>955.86</v>
      </c>
      <c r="AA38" s="2">
        <v>957.53</v>
      </c>
      <c r="AB38" s="2">
        <v>944.36</v>
      </c>
      <c r="AC38" s="2">
        <v>958.11</v>
      </c>
      <c r="AD38" s="2">
        <v>955.57</v>
      </c>
      <c r="AE38" s="2">
        <v>952.76</v>
      </c>
      <c r="AF38" s="2"/>
      <c r="AG38" s="2">
        <v>958.38</v>
      </c>
      <c r="AH38" s="2">
        <v>943.61</v>
      </c>
      <c r="AI38" s="2">
        <v>945.51</v>
      </c>
      <c r="AJ38" s="2">
        <v>950.3</v>
      </c>
      <c r="AK38" s="2">
        <v>940.86</v>
      </c>
      <c r="AL38" s="2">
        <v>946.56</v>
      </c>
      <c r="AM38" s="2">
        <v>959.16</v>
      </c>
      <c r="AN38" s="2">
        <v>956.81</v>
      </c>
      <c r="AO38" s="2">
        <v>943.25</v>
      </c>
      <c r="AP38" s="2">
        <v>952.7</v>
      </c>
    </row>
    <row r="39" spans="1:42" x14ac:dyDescent="0.25">
      <c r="A39" s="3" t="s">
        <v>93</v>
      </c>
      <c r="B39" s="3" t="s">
        <v>97</v>
      </c>
      <c r="C39" s="3" t="str">
        <f t="shared" si="0"/>
        <v>Rent - Office</v>
      </c>
      <c r="E39" t="s">
        <v>36</v>
      </c>
      <c r="G39" s="2">
        <v>3200</v>
      </c>
      <c r="H39" s="2">
        <v>3200</v>
      </c>
      <c r="I39" s="2">
        <v>3200</v>
      </c>
      <c r="J39" s="2">
        <v>3200</v>
      </c>
      <c r="K39" s="2">
        <v>3200</v>
      </c>
      <c r="L39" s="2">
        <v>3200</v>
      </c>
      <c r="M39" s="2">
        <v>3200</v>
      </c>
      <c r="N39" s="2">
        <v>3200</v>
      </c>
      <c r="O39" s="2">
        <v>3200</v>
      </c>
      <c r="P39" s="2">
        <v>3200</v>
      </c>
      <c r="Q39" s="2">
        <v>3200</v>
      </c>
      <c r="R39" s="2">
        <v>3200</v>
      </c>
      <c r="S39" s="2"/>
      <c r="T39" s="2">
        <v>3200</v>
      </c>
      <c r="U39" s="2">
        <v>3200</v>
      </c>
      <c r="V39" s="2">
        <v>3200</v>
      </c>
      <c r="W39" s="2">
        <v>3200</v>
      </c>
      <c r="X39" s="2">
        <v>3200</v>
      </c>
      <c r="Y39" s="2">
        <v>3200</v>
      </c>
      <c r="Z39" s="2">
        <v>3200</v>
      </c>
      <c r="AA39" s="2">
        <v>3200</v>
      </c>
      <c r="AB39" s="2">
        <v>3200</v>
      </c>
      <c r="AC39" s="2">
        <v>3200</v>
      </c>
      <c r="AD39" s="2">
        <v>3200</v>
      </c>
      <c r="AE39" s="2">
        <v>3200</v>
      </c>
      <c r="AF39" s="2"/>
      <c r="AG39" s="2">
        <v>3200</v>
      </c>
      <c r="AH39" s="2">
        <v>3200</v>
      </c>
      <c r="AI39" s="2">
        <v>3200</v>
      </c>
      <c r="AJ39" s="2">
        <v>3200</v>
      </c>
      <c r="AK39" s="2">
        <v>3200</v>
      </c>
      <c r="AL39" s="2">
        <v>3200</v>
      </c>
      <c r="AM39" s="2">
        <v>3200</v>
      </c>
      <c r="AN39" s="2">
        <v>3200</v>
      </c>
      <c r="AO39" s="2">
        <v>3200</v>
      </c>
      <c r="AP39" s="2">
        <v>3200</v>
      </c>
    </row>
    <row r="40" spans="1:42" x14ac:dyDescent="0.25">
      <c r="A40" s="3" t="s">
        <v>93</v>
      </c>
      <c r="B40" s="3" t="s">
        <v>97</v>
      </c>
      <c r="C40" s="3" t="str">
        <f t="shared" si="0"/>
        <v>Rent - Warehouse</v>
      </c>
      <c r="E40" t="s">
        <v>37</v>
      </c>
      <c r="G40" s="2">
        <v>2800</v>
      </c>
      <c r="H40" s="2">
        <v>2800</v>
      </c>
      <c r="I40" s="2">
        <v>2800</v>
      </c>
      <c r="J40" s="2">
        <v>2800</v>
      </c>
      <c r="K40" s="2">
        <v>2800</v>
      </c>
      <c r="L40" s="2">
        <v>2800</v>
      </c>
      <c r="M40" s="2">
        <v>2800</v>
      </c>
      <c r="N40" s="2">
        <v>2800</v>
      </c>
      <c r="O40" s="2">
        <v>2800</v>
      </c>
      <c r="P40" s="2">
        <v>2800</v>
      </c>
      <c r="Q40" s="2">
        <v>2800</v>
      </c>
      <c r="R40" s="2">
        <v>2800</v>
      </c>
      <c r="S40" s="2"/>
      <c r="T40" s="2">
        <v>2800</v>
      </c>
      <c r="U40" s="2">
        <v>2800</v>
      </c>
      <c r="V40" s="2">
        <v>2800</v>
      </c>
      <c r="W40" s="2">
        <v>2800</v>
      </c>
      <c r="X40" s="2">
        <v>2800</v>
      </c>
      <c r="Y40" s="2">
        <v>2800</v>
      </c>
      <c r="Z40" s="2">
        <v>2800</v>
      </c>
      <c r="AA40" s="2">
        <v>2800</v>
      </c>
      <c r="AB40" s="2">
        <v>2800</v>
      </c>
      <c r="AC40" s="2">
        <v>2800</v>
      </c>
      <c r="AD40" s="2">
        <v>2800</v>
      </c>
      <c r="AE40" s="2">
        <v>2800</v>
      </c>
      <c r="AF40" s="2"/>
      <c r="AG40" s="2">
        <v>2800</v>
      </c>
      <c r="AH40" s="2">
        <v>2800</v>
      </c>
      <c r="AI40" s="2">
        <v>2800</v>
      </c>
      <c r="AJ40" s="2">
        <v>2800</v>
      </c>
      <c r="AK40" s="2">
        <v>2800</v>
      </c>
      <c r="AL40" s="2">
        <v>2800</v>
      </c>
      <c r="AM40" s="2">
        <v>2800</v>
      </c>
      <c r="AN40" s="2">
        <v>2800</v>
      </c>
      <c r="AO40" s="2">
        <v>2800</v>
      </c>
      <c r="AP40" s="2">
        <v>2800</v>
      </c>
    </row>
    <row r="41" spans="1:42" x14ac:dyDescent="0.25">
      <c r="A41" s="3" t="s">
        <v>93</v>
      </c>
      <c r="B41" s="3" t="s">
        <v>97</v>
      </c>
      <c r="C41" s="3" t="str">
        <f t="shared" si="0"/>
        <v>Utilities</v>
      </c>
      <c r="E41" t="s">
        <v>38</v>
      </c>
      <c r="G41" s="2">
        <v>871.49</v>
      </c>
      <c r="H41" s="2">
        <v>803.98</v>
      </c>
      <c r="I41" s="2">
        <v>899.26</v>
      </c>
      <c r="J41" s="2">
        <v>882.28</v>
      </c>
      <c r="K41" s="2">
        <v>814.94</v>
      </c>
      <c r="L41" s="2">
        <v>841.06</v>
      </c>
      <c r="M41" s="2">
        <v>872.25</v>
      </c>
      <c r="N41" s="2">
        <v>870.17</v>
      </c>
      <c r="O41" s="2">
        <v>878.02</v>
      </c>
      <c r="P41" s="2">
        <v>786.56</v>
      </c>
      <c r="Q41" s="2">
        <v>900.78</v>
      </c>
      <c r="R41" s="2">
        <v>883.62</v>
      </c>
      <c r="S41" s="2"/>
      <c r="T41" s="2">
        <v>909.94</v>
      </c>
      <c r="U41" s="2">
        <v>796.57</v>
      </c>
      <c r="V41" s="2">
        <v>827.53</v>
      </c>
      <c r="W41" s="2">
        <v>864.38</v>
      </c>
      <c r="X41" s="2">
        <v>876.13</v>
      </c>
      <c r="Y41" s="2">
        <v>869.78</v>
      </c>
      <c r="Z41" s="2">
        <v>807.96</v>
      </c>
      <c r="AA41" s="2">
        <v>817.38</v>
      </c>
      <c r="AB41" s="2">
        <v>909.72</v>
      </c>
      <c r="AC41" s="2">
        <v>911.36</v>
      </c>
      <c r="AD41" s="2">
        <v>866.6</v>
      </c>
      <c r="AE41" s="2">
        <v>876.32</v>
      </c>
      <c r="AF41" s="2"/>
      <c r="AG41" s="2">
        <v>871.82</v>
      </c>
      <c r="AH41" s="2">
        <v>828.03</v>
      </c>
      <c r="AI41" s="2">
        <v>800.57</v>
      </c>
      <c r="AJ41" s="2">
        <v>866.82</v>
      </c>
      <c r="AK41" s="2">
        <v>843.44</v>
      </c>
      <c r="AL41" s="2">
        <v>893.82</v>
      </c>
      <c r="AM41" s="2">
        <v>787.84</v>
      </c>
      <c r="AN41" s="2">
        <v>792.58</v>
      </c>
      <c r="AO41" s="2">
        <v>792.45</v>
      </c>
      <c r="AP41" s="2">
        <v>831.5</v>
      </c>
    </row>
    <row r="42" spans="1:42" x14ac:dyDescent="0.25">
      <c r="A42" s="3" t="s">
        <v>93</v>
      </c>
      <c r="B42" s="3" t="s">
        <v>97</v>
      </c>
      <c r="C42" s="3" t="str">
        <f t="shared" si="0"/>
        <v>Telephone &amp; Internet</v>
      </c>
      <c r="E42" t="s">
        <v>39</v>
      </c>
      <c r="G42" s="2">
        <v>674.31</v>
      </c>
      <c r="H42" s="2">
        <v>668.78</v>
      </c>
      <c r="I42" s="2">
        <v>700.48</v>
      </c>
      <c r="J42" s="2">
        <v>684.97</v>
      </c>
      <c r="K42" s="2">
        <v>674.99</v>
      </c>
      <c r="L42" s="2">
        <v>687.81</v>
      </c>
      <c r="M42" s="2">
        <v>681.67</v>
      </c>
      <c r="N42" s="2">
        <v>680.55</v>
      </c>
      <c r="O42" s="2">
        <v>676.45</v>
      </c>
      <c r="P42" s="2">
        <v>671.84</v>
      </c>
      <c r="Q42" s="2">
        <v>652.71</v>
      </c>
      <c r="R42" s="2">
        <v>697.53</v>
      </c>
      <c r="S42" s="2"/>
      <c r="T42" s="2">
        <v>662.47</v>
      </c>
      <c r="U42" s="2">
        <v>678.13</v>
      </c>
      <c r="V42" s="2">
        <v>648.25</v>
      </c>
      <c r="W42" s="2">
        <v>704.86</v>
      </c>
      <c r="X42" s="2">
        <v>674.87</v>
      </c>
      <c r="Y42" s="2">
        <v>657.45</v>
      </c>
      <c r="Z42" s="2">
        <v>703.18</v>
      </c>
      <c r="AA42" s="2">
        <v>681.65</v>
      </c>
      <c r="AB42" s="2">
        <v>650.45000000000005</v>
      </c>
      <c r="AC42" s="2">
        <v>676.64</v>
      </c>
      <c r="AD42" s="2">
        <v>692.73</v>
      </c>
      <c r="AE42" s="2">
        <v>650.95000000000005</v>
      </c>
      <c r="AF42" s="2"/>
      <c r="AG42" s="2">
        <v>664.89</v>
      </c>
      <c r="AH42" s="2">
        <v>689.81</v>
      </c>
      <c r="AI42" s="2">
        <v>663</v>
      </c>
      <c r="AJ42" s="2">
        <v>684.25</v>
      </c>
      <c r="AK42" s="2">
        <v>669.11</v>
      </c>
      <c r="AL42" s="2">
        <v>684.77</v>
      </c>
      <c r="AM42" s="2">
        <v>683.04</v>
      </c>
      <c r="AN42" s="2">
        <v>658.29</v>
      </c>
      <c r="AO42" s="2">
        <v>710.03</v>
      </c>
      <c r="AP42" s="2">
        <v>706.08</v>
      </c>
    </row>
    <row r="43" spans="1:42" x14ac:dyDescent="0.25">
      <c r="A43" s="3" t="s">
        <v>93</v>
      </c>
      <c r="B43" s="3" t="s">
        <v>98</v>
      </c>
      <c r="C43" s="3" t="str">
        <f t="shared" si="0"/>
        <v>Vehicle Lease Payments</v>
      </c>
      <c r="E43" t="s">
        <v>40</v>
      </c>
      <c r="G43" s="2">
        <v>2390.4499999999998</v>
      </c>
      <c r="H43" s="2">
        <v>2379.7800000000002</v>
      </c>
      <c r="I43" s="2">
        <v>2388.2600000000002</v>
      </c>
      <c r="J43" s="2">
        <v>2422.27</v>
      </c>
      <c r="K43" s="2">
        <v>2411.6999999999998</v>
      </c>
      <c r="L43" s="2">
        <v>2411.12</v>
      </c>
      <c r="M43" s="2">
        <v>2389.56</v>
      </c>
      <c r="N43" s="2">
        <v>2395.6</v>
      </c>
      <c r="O43" s="2">
        <v>2399.81</v>
      </c>
      <c r="P43" s="2">
        <v>2391.35</v>
      </c>
      <c r="Q43" s="2">
        <v>2384.46</v>
      </c>
      <c r="R43" s="2">
        <v>2396.71</v>
      </c>
      <c r="S43" s="2"/>
      <c r="T43" s="2">
        <v>2376.84</v>
      </c>
      <c r="U43" s="2">
        <v>2394.36</v>
      </c>
      <c r="V43" s="2">
        <v>2415.2199999999998</v>
      </c>
      <c r="W43" s="2">
        <v>2380.5700000000002</v>
      </c>
      <c r="X43" s="2">
        <v>2407.56</v>
      </c>
      <c r="Y43" s="2">
        <v>2405.1</v>
      </c>
      <c r="Z43" s="2">
        <v>2421.66</v>
      </c>
      <c r="AA43" s="2">
        <v>2393.85</v>
      </c>
      <c r="AB43" s="2">
        <v>2387.29</v>
      </c>
      <c r="AC43" s="2">
        <v>2403.11</v>
      </c>
      <c r="AD43" s="2">
        <v>2384.81</v>
      </c>
      <c r="AE43" s="2">
        <v>2397.12</v>
      </c>
      <c r="AF43" s="2"/>
      <c r="AG43" s="2">
        <v>2398.4499999999998</v>
      </c>
      <c r="AH43" s="2">
        <v>2404.4699999999998</v>
      </c>
      <c r="AI43" s="2">
        <v>2406.2800000000002</v>
      </c>
      <c r="AJ43" s="2">
        <v>2409.11</v>
      </c>
      <c r="AK43" s="2">
        <v>2391.84</v>
      </c>
      <c r="AL43" s="2">
        <v>2398.5300000000002</v>
      </c>
      <c r="AM43" s="2">
        <v>2400.37</v>
      </c>
      <c r="AN43" s="2">
        <v>2390.8000000000002</v>
      </c>
      <c r="AO43" s="2">
        <v>2422.71</v>
      </c>
      <c r="AP43" s="2">
        <v>2390.11</v>
      </c>
    </row>
    <row r="44" spans="1:42" x14ac:dyDescent="0.25">
      <c r="A44" s="3" t="s">
        <v>93</v>
      </c>
      <c r="B44" s="3" t="s">
        <v>98</v>
      </c>
      <c r="C44" s="3" t="str">
        <f t="shared" si="0"/>
        <v>Vehicle Insurance</v>
      </c>
      <c r="E44" t="s">
        <v>41</v>
      </c>
      <c r="G44" s="2">
        <v>1837.33</v>
      </c>
      <c r="H44" s="2">
        <v>1848.65</v>
      </c>
      <c r="I44" s="2">
        <v>1846.1</v>
      </c>
      <c r="J44" s="2">
        <v>1845.35</v>
      </c>
      <c r="K44" s="2">
        <v>1850.83</v>
      </c>
      <c r="L44" s="2">
        <v>1828.65</v>
      </c>
      <c r="M44" s="2">
        <v>1828.21</v>
      </c>
      <c r="N44" s="2">
        <v>1844.77</v>
      </c>
      <c r="O44" s="2">
        <v>1849.28</v>
      </c>
      <c r="P44" s="2">
        <v>1866.58</v>
      </c>
      <c r="Q44" s="2">
        <v>1872.01</v>
      </c>
      <c r="R44" s="2">
        <v>1823.05</v>
      </c>
      <c r="S44" s="2"/>
      <c r="T44" s="2">
        <v>1845.1</v>
      </c>
      <c r="U44" s="2">
        <v>1852.21</v>
      </c>
      <c r="V44" s="2">
        <v>1825.1</v>
      </c>
      <c r="W44" s="2">
        <v>1870.45</v>
      </c>
      <c r="X44" s="2">
        <v>1859.07</v>
      </c>
      <c r="Y44" s="2">
        <v>1829.26</v>
      </c>
      <c r="Z44" s="2">
        <v>1841.64</v>
      </c>
      <c r="AA44" s="2">
        <v>1861.1</v>
      </c>
      <c r="AB44" s="2">
        <v>1852.25</v>
      </c>
      <c r="AC44" s="2">
        <v>1829.78</v>
      </c>
      <c r="AD44" s="2">
        <v>1869.52</v>
      </c>
      <c r="AE44" s="2">
        <v>1840.67</v>
      </c>
      <c r="AF44" s="2"/>
      <c r="AG44" s="2">
        <v>1834.66</v>
      </c>
      <c r="AH44" s="2">
        <v>1876.26</v>
      </c>
      <c r="AI44" s="2">
        <v>1830.64</v>
      </c>
      <c r="AJ44" s="2">
        <v>1862.58</v>
      </c>
      <c r="AK44" s="2">
        <v>1823.88</v>
      </c>
      <c r="AL44" s="2">
        <v>1857.14</v>
      </c>
      <c r="AM44" s="2">
        <v>1830.87</v>
      </c>
      <c r="AN44" s="2">
        <v>1834.79</v>
      </c>
      <c r="AO44" s="2">
        <v>1862.77</v>
      </c>
      <c r="AP44" s="2">
        <v>1873.7</v>
      </c>
    </row>
    <row r="45" spans="1:42" x14ac:dyDescent="0.25">
      <c r="A45" s="3" t="s">
        <v>93</v>
      </c>
      <c r="B45" s="3" t="s">
        <v>98</v>
      </c>
      <c r="C45" s="3" t="str">
        <f t="shared" si="0"/>
        <v>Vehicle Maintenance &amp; Repairs</v>
      </c>
      <c r="E45" t="s">
        <v>42</v>
      </c>
      <c r="G45" s="2">
        <v>1213.8399999999999</v>
      </c>
      <c r="H45" s="2">
        <v>1172.75</v>
      </c>
      <c r="I45" s="2">
        <v>12220.96</v>
      </c>
      <c r="J45" s="2">
        <v>1110.6300000000001</v>
      </c>
      <c r="K45" s="2">
        <v>1280.72</v>
      </c>
      <c r="L45" s="2">
        <v>1191.8900000000001</v>
      </c>
      <c r="M45" s="2">
        <v>1374.68</v>
      </c>
      <c r="N45" s="2">
        <v>1149.92</v>
      </c>
      <c r="O45" s="2">
        <v>1210.8699999999999</v>
      </c>
      <c r="P45" s="2">
        <v>1328.69</v>
      </c>
      <c r="Q45" s="2">
        <v>1265.74</v>
      </c>
      <c r="R45" s="2">
        <v>1270.57</v>
      </c>
      <c r="S45" s="2"/>
      <c r="T45" s="2">
        <v>1128.6500000000001</v>
      </c>
      <c r="U45" s="2">
        <v>1195.9100000000001</v>
      </c>
      <c r="V45" s="2">
        <v>1053.6600000000001</v>
      </c>
      <c r="W45" s="2">
        <v>1273.08</v>
      </c>
      <c r="X45" s="2">
        <v>1118.6400000000001</v>
      </c>
      <c r="Y45" s="2">
        <v>1177.42</v>
      </c>
      <c r="Z45" s="2">
        <v>1038.79</v>
      </c>
      <c r="AA45" s="2">
        <v>12440.96</v>
      </c>
      <c r="AB45" s="2">
        <v>1310</v>
      </c>
      <c r="AC45" s="2">
        <v>51070.48</v>
      </c>
      <c r="AD45" s="2">
        <v>1287.73</v>
      </c>
      <c r="AE45" s="2">
        <v>1089.56</v>
      </c>
      <c r="AF45" s="2"/>
      <c r="AG45" s="2">
        <v>1123.4100000000001</v>
      </c>
      <c r="AH45" s="2">
        <v>1226.51</v>
      </c>
      <c r="AI45" s="2">
        <v>1350.92</v>
      </c>
      <c r="AJ45" s="2">
        <v>1256.6500000000001</v>
      </c>
      <c r="AK45" s="2">
        <v>1148.58</v>
      </c>
      <c r="AL45" s="2">
        <v>11704.69</v>
      </c>
      <c r="AM45" s="2">
        <v>1045.8699999999999</v>
      </c>
      <c r="AN45" s="2">
        <v>1343.18</v>
      </c>
      <c r="AO45" s="2">
        <v>1204.1500000000001</v>
      </c>
      <c r="AP45" s="2">
        <v>1122.98</v>
      </c>
    </row>
    <row r="46" spans="1:42" x14ac:dyDescent="0.25">
      <c r="A46" s="3" t="s">
        <v>93</v>
      </c>
      <c r="B46" s="3" t="s">
        <v>98</v>
      </c>
      <c r="C46" s="3" t="str">
        <f t="shared" si="0"/>
        <v>Fuel - Non-Job Related</v>
      </c>
      <c r="E46" t="s">
        <v>43</v>
      </c>
      <c r="G46" s="2">
        <v>924.13</v>
      </c>
      <c r="H46" s="2">
        <v>851.47</v>
      </c>
      <c r="I46" s="2">
        <v>989.49</v>
      </c>
      <c r="J46" s="2">
        <v>971.93</v>
      </c>
      <c r="K46" s="2">
        <v>960.23</v>
      </c>
      <c r="L46" s="2">
        <v>989.39</v>
      </c>
      <c r="M46" s="2">
        <v>977.75</v>
      </c>
      <c r="N46" s="2">
        <v>924.33</v>
      </c>
      <c r="O46" s="2">
        <v>909.42</v>
      </c>
      <c r="P46" s="2">
        <v>924.8</v>
      </c>
      <c r="Q46" s="2">
        <v>918.32</v>
      </c>
      <c r="R46" s="2">
        <v>922.46</v>
      </c>
      <c r="S46" s="2"/>
      <c r="T46" s="2">
        <v>877.28</v>
      </c>
      <c r="U46" s="2">
        <v>878.92</v>
      </c>
      <c r="V46" s="2">
        <v>837.42</v>
      </c>
      <c r="W46" s="2">
        <v>823.81</v>
      </c>
      <c r="X46" s="2">
        <v>897.87</v>
      </c>
      <c r="Y46" s="2">
        <v>910.58</v>
      </c>
      <c r="Z46" s="2">
        <v>841.26</v>
      </c>
      <c r="AA46" s="2">
        <v>884.57</v>
      </c>
      <c r="AB46" s="2">
        <v>894.9</v>
      </c>
      <c r="AC46" s="2">
        <v>903.96</v>
      </c>
      <c r="AD46" s="2">
        <v>951.61</v>
      </c>
      <c r="AE46" s="2">
        <v>953.52</v>
      </c>
      <c r="AF46" s="2"/>
      <c r="AG46" s="2">
        <v>836.51</v>
      </c>
      <c r="AH46" s="2">
        <v>829.92</v>
      </c>
      <c r="AI46" s="2">
        <v>980.85</v>
      </c>
      <c r="AJ46" s="2">
        <v>916.42</v>
      </c>
      <c r="AK46" s="2">
        <v>820.37</v>
      </c>
      <c r="AL46" s="2">
        <v>912.07</v>
      </c>
      <c r="AM46" s="2">
        <v>847.52</v>
      </c>
      <c r="AN46" s="2">
        <v>838</v>
      </c>
      <c r="AO46" s="2">
        <v>832.67</v>
      </c>
      <c r="AP46" s="2">
        <v>870.22</v>
      </c>
    </row>
    <row r="47" spans="1:42" x14ac:dyDescent="0.25">
      <c r="A47" s="3" t="s">
        <v>93</v>
      </c>
      <c r="B47" s="3" t="s">
        <v>97</v>
      </c>
      <c r="C47" s="3" t="str">
        <f t="shared" si="0"/>
        <v>Office Supplies</v>
      </c>
      <c r="E47" t="s">
        <v>44</v>
      </c>
      <c r="G47" s="2">
        <v>451.43</v>
      </c>
      <c r="H47" s="2">
        <v>467.19</v>
      </c>
      <c r="I47" s="2">
        <v>405.97</v>
      </c>
      <c r="J47" s="2">
        <v>407.49</v>
      </c>
      <c r="K47" s="2">
        <v>419.5</v>
      </c>
      <c r="L47" s="2">
        <v>378.92</v>
      </c>
      <c r="M47" s="2">
        <v>401.61</v>
      </c>
      <c r="N47" s="2">
        <v>393.88</v>
      </c>
      <c r="O47" s="2">
        <v>452.05</v>
      </c>
      <c r="P47" s="2">
        <v>469.13</v>
      </c>
      <c r="Q47" s="2">
        <v>463.52</v>
      </c>
      <c r="R47" s="2">
        <v>419.54</v>
      </c>
      <c r="S47" s="2"/>
      <c r="T47" s="2">
        <v>370.02</v>
      </c>
      <c r="U47" s="2">
        <v>440.04</v>
      </c>
      <c r="V47" s="2">
        <v>392.77</v>
      </c>
      <c r="W47" s="2">
        <v>443.03</v>
      </c>
      <c r="X47" s="2">
        <v>404.22</v>
      </c>
      <c r="Y47" s="2">
        <v>460.48</v>
      </c>
      <c r="Z47" s="2">
        <v>411.03</v>
      </c>
      <c r="AA47" s="2">
        <v>434.33</v>
      </c>
      <c r="AB47" s="2">
        <v>428.47</v>
      </c>
      <c r="AC47" s="2">
        <v>441.61</v>
      </c>
      <c r="AD47" s="2">
        <v>408.44</v>
      </c>
      <c r="AE47" s="2">
        <v>399.54</v>
      </c>
      <c r="AF47" s="2"/>
      <c r="AG47" s="2">
        <v>377.92</v>
      </c>
      <c r="AH47" s="2">
        <v>386.78</v>
      </c>
      <c r="AI47" s="2">
        <v>405.43</v>
      </c>
      <c r="AJ47" s="2">
        <v>394.69</v>
      </c>
      <c r="AK47" s="2">
        <v>393.46</v>
      </c>
      <c r="AL47" s="2">
        <v>453.42</v>
      </c>
      <c r="AM47" s="2">
        <v>415.5</v>
      </c>
      <c r="AN47" s="2">
        <v>406.95</v>
      </c>
      <c r="AO47" s="2">
        <v>422.78</v>
      </c>
      <c r="AP47" s="2">
        <v>452.57</v>
      </c>
    </row>
    <row r="48" spans="1:42" x14ac:dyDescent="0.25">
      <c r="A48" s="3" t="s">
        <v>93</v>
      </c>
      <c r="B48" s="3" t="s">
        <v>92</v>
      </c>
      <c r="C48" s="3" t="str">
        <f t="shared" si="0"/>
        <v>Computer &amp; Software</v>
      </c>
      <c r="E48" t="s">
        <v>45</v>
      </c>
      <c r="G48" s="2">
        <v>906.3</v>
      </c>
      <c r="H48" s="2">
        <v>933.15</v>
      </c>
      <c r="I48" s="2">
        <v>914.14</v>
      </c>
      <c r="J48" s="2">
        <v>870.52</v>
      </c>
      <c r="K48" s="2">
        <v>858.79</v>
      </c>
      <c r="L48" s="2">
        <v>891.61</v>
      </c>
      <c r="M48" s="2">
        <v>866.04</v>
      </c>
      <c r="N48" s="2">
        <v>877.14</v>
      </c>
      <c r="O48" s="2">
        <v>948.99</v>
      </c>
      <c r="P48" s="2">
        <v>893.52</v>
      </c>
      <c r="Q48" s="2">
        <v>933.54</v>
      </c>
      <c r="R48" s="2">
        <v>922.83</v>
      </c>
      <c r="S48" s="2"/>
      <c r="T48" s="2">
        <v>910.03</v>
      </c>
      <c r="U48" s="2">
        <v>834.02</v>
      </c>
      <c r="V48" s="2">
        <v>861.78</v>
      </c>
      <c r="W48" s="2">
        <v>855.4</v>
      </c>
      <c r="X48" s="2">
        <v>849.43</v>
      </c>
      <c r="Y48" s="2">
        <v>942.77</v>
      </c>
      <c r="Z48" s="2">
        <v>956.29</v>
      </c>
      <c r="AA48" s="2">
        <v>951.55</v>
      </c>
      <c r="AB48" s="2">
        <v>874.22</v>
      </c>
      <c r="AC48" s="2">
        <v>854.91</v>
      </c>
      <c r="AD48" s="2">
        <v>936.12</v>
      </c>
      <c r="AE48" s="2">
        <v>857</v>
      </c>
      <c r="AF48" s="2"/>
      <c r="AG48" s="2">
        <v>840.21</v>
      </c>
      <c r="AH48" s="2">
        <v>922.09</v>
      </c>
      <c r="AI48" s="2">
        <v>951.09</v>
      </c>
      <c r="AJ48" s="2">
        <v>859.53</v>
      </c>
      <c r="AK48" s="2">
        <v>954.2</v>
      </c>
      <c r="AL48" s="2">
        <v>834.84</v>
      </c>
      <c r="AM48" s="2">
        <v>865.64</v>
      </c>
      <c r="AN48" s="2">
        <v>863.97</v>
      </c>
      <c r="AO48" s="2">
        <v>878.64</v>
      </c>
      <c r="AP48" s="2">
        <v>913.94</v>
      </c>
    </row>
    <row r="49" spans="1:42" x14ac:dyDescent="0.25">
      <c r="A49" s="3" t="s">
        <v>93</v>
      </c>
      <c r="B49" s="3" t="s">
        <v>99</v>
      </c>
      <c r="C49" s="3" t="str">
        <f t="shared" si="0"/>
        <v>Accounting &amp; Bookkeeping</v>
      </c>
      <c r="E49" t="s">
        <v>46</v>
      </c>
      <c r="G49" s="2">
        <v>0</v>
      </c>
      <c r="H49" s="2">
        <v>0</v>
      </c>
      <c r="I49" s="2">
        <v>0</v>
      </c>
      <c r="J49" s="2">
        <v>0</v>
      </c>
      <c r="K49" s="2">
        <v>6274.09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/>
      <c r="T49" s="2">
        <v>0</v>
      </c>
      <c r="U49" s="2">
        <v>0</v>
      </c>
      <c r="V49" s="2">
        <v>0</v>
      </c>
      <c r="W49" s="2">
        <v>0</v>
      </c>
      <c r="X49" s="2">
        <v>6467.48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/>
      <c r="AG49" s="2">
        <v>0</v>
      </c>
      <c r="AH49" s="2">
        <v>0</v>
      </c>
      <c r="AI49" s="2">
        <v>0</v>
      </c>
      <c r="AJ49" s="2">
        <v>0</v>
      </c>
      <c r="AK49" s="2">
        <v>6410.99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</row>
    <row r="50" spans="1:42" x14ac:dyDescent="0.25">
      <c r="A50" s="3" t="s">
        <v>93</v>
      </c>
      <c r="B50" s="3" t="s">
        <v>99</v>
      </c>
      <c r="C50" s="3" t="str">
        <f t="shared" si="0"/>
        <v>Legal &amp; Professional Fees</v>
      </c>
      <c r="E50" t="s">
        <v>47</v>
      </c>
      <c r="G50" s="2">
        <v>860.91</v>
      </c>
      <c r="H50" s="2">
        <v>736.04</v>
      </c>
      <c r="I50" s="2">
        <v>850.17</v>
      </c>
      <c r="J50" s="2">
        <v>876.9</v>
      </c>
      <c r="K50" s="2">
        <v>752.89</v>
      </c>
      <c r="L50" s="2">
        <v>100000</v>
      </c>
      <c r="M50" s="2">
        <v>761.48</v>
      </c>
      <c r="N50" s="2">
        <v>951.18</v>
      </c>
      <c r="O50" s="2">
        <v>777.42</v>
      </c>
      <c r="P50" s="2">
        <v>677.77</v>
      </c>
      <c r="Q50" s="2">
        <v>812.64</v>
      </c>
      <c r="R50" s="2">
        <v>895.18</v>
      </c>
      <c r="S50" s="2"/>
      <c r="T50" s="2">
        <v>756.82</v>
      </c>
      <c r="U50" s="2">
        <v>663.84</v>
      </c>
      <c r="V50" s="2">
        <v>764.11</v>
      </c>
      <c r="W50" s="2">
        <v>793.24</v>
      </c>
      <c r="X50" s="2">
        <v>746.15</v>
      </c>
      <c r="Y50" s="2">
        <v>647.38</v>
      </c>
      <c r="Z50" s="2">
        <v>724.43</v>
      </c>
      <c r="AA50" s="2">
        <v>758.2</v>
      </c>
      <c r="AB50" s="2">
        <v>861.05</v>
      </c>
      <c r="AC50" s="2">
        <v>750.66</v>
      </c>
      <c r="AD50" s="2">
        <v>725.7</v>
      </c>
      <c r="AE50" s="2">
        <v>832.9</v>
      </c>
      <c r="AF50" s="2"/>
      <c r="AG50" s="2">
        <v>888.25</v>
      </c>
      <c r="AH50" s="2">
        <v>650.91999999999996</v>
      </c>
      <c r="AI50" s="2">
        <v>935.5</v>
      </c>
      <c r="AJ50" s="2">
        <v>696.85</v>
      </c>
      <c r="AK50" s="2">
        <v>727.76</v>
      </c>
      <c r="AL50" s="2">
        <v>927.04</v>
      </c>
      <c r="AM50" s="2">
        <v>812.7</v>
      </c>
      <c r="AN50" s="2">
        <v>888.1</v>
      </c>
      <c r="AO50" s="2">
        <v>785.7</v>
      </c>
      <c r="AP50" s="2">
        <v>758.8</v>
      </c>
    </row>
    <row r="51" spans="1:42" x14ac:dyDescent="0.25">
      <c r="A51" s="3" t="s">
        <v>93</v>
      </c>
      <c r="B51" s="3" t="s">
        <v>92</v>
      </c>
      <c r="C51" s="3" t="str">
        <f t="shared" si="0"/>
        <v>Licenses &amp; Permits</v>
      </c>
      <c r="E51" t="s">
        <v>48</v>
      </c>
      <c r="G51" s="2">
        <v>381.82</v>
      </c>
      <c r="H51" s="2">
        <v>338.45</v>
      </c>
      <c r="I51" s="2">
        <v>353.31</v>
      </c>
      <c r="J51" s="2">
        <v>308.20999999999998</v>
      </c>
      <c r="K51" s="2">
        <v>322.20999999999998</v>
      </c>
      <c r="L51" s="2">
        <v>393.5</v>
      </c>
      <c r="M51" s="2">
        <v>327.85</v>
      </c>
      <c r="N51" s="2">
        <v>392.5</v>
      </c>
      <c r="O51" s="2">
        <v>376.4</v>
      </c>
      <c r="P51" s="2">
        <v>329.02</v>
      </c>
      <c r="Q51" s="2">
        <v>318.27999999999997</v>
      </c>
      <c r="R51" s="2">
        <v>396.39</v>
      </c>
      <c r="S51" s="2"/>
      <c r="T51" s="2">
        <v>391.96</v>
      </c>
      <c r="U51" s="2">
        <v>349.97</v>
      </c>
      <c r="V51" s="2">
        <v>400.22</v>
      </c>
      <c r="W51" s="2">
        <v>343.67</v>
      </c>
      <c r="X51" s="2">
        <v>333.27</v>
      </c>
      <c r="Y51" s="2">
        <v>383.02</v>
      </c>
      <c r="Z51" s="2">
        <v>337.44</v>
      </c>
      <c r="AA51" s="2">
        <v>375.3</v>
      </c>
      <c r="AB51" s="2">
        <v>303.14</v>
      </c>
      <c r="AC51" s="2">
        <v>367.14</v>
      </c>
      <c r="AD51" s="2">
        <v>387.32</v>
      </c>
      <c r="AE51" s="2">
        <v>311.95</v>
      </c>
      <c r="AF51" s="2"/>
      <c r="AG51" s="2">
        <v>388.45</v>
      </c>
      <c r="AH51" s="2">
        <v>309.8</v>
      </c>
      <c r="AI51" s="2">
        <v>329.74</v>
      </c>
      <c r="AJ51" s="2">
        <v>352.99</v>
      </c>
      <c r="AK51" s="2">
        <v>323.07</v>
      </c>
      <c r="AL51" s="2">
        <v>351.46</v>
      </c>
      <c r="AM51" s="2">
        <v>373.49</v>
      </c>
      <c r="AN51" s="2">
        <v>378.91</v>
      </c>
      <c r="AO51" s="2">
        <v>347.84</v>
      </c>
      <c r="AP51" s="2">
        <v>339.67</v>
      </c>
    </row>
    <row r="52" spans="1:42" x14ac:dyDescent="0.25">
      <c r="A52" s="3" t="s">
        <v>93</v>
      </c>
      <c r="B52" s="3" t="s">
        <v>92</v>
      </c>
      <c r="C52" s="3" t="str">
        <f t="shared" si="0"/>
        <v>Advertising &amp; Marketing</v>
      </c>
      <c r="E52" t="s">
        <v>49</v>
      </c>
      <c r="G52" s="2">
        <v>1732.43</v>
      </c>
      <c r="H52" s="2">
        <v>2024.7</v>
      </c>
      <c r="I52" s="2">
        <v>1852.16</v>
      </c>
      <c r="J52" s="2">
        <v>1692.43</v>
      </c>
      <c r="K52" s="2">
        <v>1879.18</v>
      </c>
      <c r="L52" s="2">
        <v>1712.08</v>
      </c>
      <c r="M52" s="2">
        <v>1658.86</v>
      </c>
      <c r="N52" s="2">
        <v>1997.21</v>
      </c>
      <c r="O52" s="2">
        <v>1560.25</v>
      </c>
      <c r="P52" s="2">
        <v>2072.88</v>
      </c>
      <c r="Q52" s="2">
        <v>1728.37</v>
      </c>
      <c r="R52" s="2">
        <v>1489.87</v>
      </c>
      <c r="S52" s="2"/>
      <c r="T52" s="2">
        <v>1981.34</v>
      </c>
      <c r="U52" s="2">
        <v>1786.6</v>
      </c>
      <c r="V52" s="2">
        <v>1802.92</v>
      </c>
      <c r="W52" s="2">
        <v>1730.46</v>
      </c>
      <c r="X52" s="2">
        <v>2015.85</v>
      </c>
      <c r="Y52" s="2">
        <v>1648.91</v>
      </c>
      <c r="Z52" s="2">
        <v>1935.85</v>
      </c>
      <c r="AA52" s="2">
        <v>1502.79</v>
      </c>
      <c r="AB52" s="2">
        <v>1526.45</v>
      </c>
      <c r="AC52" s="2">
        <v>1583.94</v>
      </c>
      <c r="AD52" s="2">
        <v>1726.15</v>
      </c>
      <c r="AE52" s="2">
        <v>1822.09</v>
      </c>
      <c r="AF52" s="2"/>
      <c r="AG52" s="2">
        <v>1589.04</v>
      </c>
      <c r="AH52" s="2">
        <v>1845.16</v>
      </c>
      <c r="AI52" s="2">
        <v>2061.65</v>
      </c>
      <c r="AJ52" s="2">
        <v>1658.43</v>
      </c>
      <c r="AK52" s="2">
        <v>1975.75</v>
      </c>
      <c r="AL52" s="2">
        <v>1514.63</v>
      </c>
      <c r="AM52" s="2">
        <v>1989.73</v>
      </c>
      <c r="AN52" s="2">
        <v>1977.23</v>
      </c>
      <c r="AO52" s="2">
        <v>1585.15</v>
      </c>
      <c r="AP52" s="2">
        <v>1705.63</v>
      </c>
    </row>
    <row r="53" spans="1:42" x14ac:dyDescent="0.25">
      <c r="A53" s="3" t="s">
        <v>93</v>
      </c>
      <c r="B53" s="3" t="s">
        <v>92</v>
      </c>
      <c r="C53" s="3" t="str">
        <f t="shared" si="0"/>
        <v>Bank Fees &amp; Charges</v>
      </c>
      <c r="E53" t="s">
        <v>50</v>
      </c>
      <c r="G53" s="2">
        <v>275.83</v>
      </c>
      <c r="H53" s="2">
        <v>301.88</v>
      </c>
      <c r="I53" s="2">
        <v>302.27999999999997</v>
      </c>
      <c r="J53" s="2">
        <v>286.05</v>
      </c>
      <c r="K53" s="2">
        <v>264.64999999999998</v>
      </c>
      <c r="L53" s="2">
        <v>269.22000000000003</v>
      </c>
      <c r="M53" s="2">
        <v>294.02</v>
      </c>
      <c r="N53" s="2">
        <v>287.61</v>
      </c>
      <c r="O53" s="2">
        <v>282.83</v>
      </c>
      <c r="P53" s="2">
        <v>305.82</v>
      </c>
      <c r="Q53" s="2">
        <v>268.72000000000003</v>
      </c>
      <c r="R53" s="2">
        <v>285.73</v>
      </c>
      <c r="S53" s="2"/>
      <c r="T53" s="2">
        <v>307.76</v>
      </c>
      <c r="U53" s="2">
        <v>256.60000000000002</v>
      </c>
      <c r="V53" s="2">
        <v>275.91000000000003</v>
      </c>
      <c r="W53" s="2">
        <v>259.16000000000003</v>
      </c>
      <c r="X53" s="2">
        <v>297.77999999999997</v>
      </c>
      <c r="Y53" s="2">
        <v>275.02</v>
      </c>
      <c r="Z53" s="2">
        <v>272.39999999999998</v>
      </c>
      <c r="AA53" s="2">
        <v>275.04000000000002</v>
      </c>
      <c r="AB53" s="2">
        <v>305.72000000000003</v>
      </c>
      <c r="AC53" s="2">
        <v>301.20999999999998</v>
      </c>
      <c r="AD53" s="2">
        <v>307.68</v>
      </c>
      <c r="AE53" s="2">
        <v>296.67</v>
      </c>
      <c r="AF53" s="2"/>
      <c r="AG53" s="2">
        <v>301.68</v>
      </c>
      <c r="AH53" s="2">
        <v>305.64999999999998</v>
      </c>
      <c r="AI53" s="2">
        <v>297.19</v>
      </c>
      <c r="AJ53" s="2">
        <v>301.52</v>
      </c>
      <c r="AK53" s="2">
        <v>266.89</v>
      </c>
      <c r="AL53" s="2">
        <v>252.25</v>
      </c>
      <c r="AM53" s="2">
        <v>258.97000000000003</v>
      </c>
      <c r="AN53" s="2">
        <v>283.3</v>
      </c>
      <c r="AO53" s="2">
        <v>301.47000000000003</v>
      </c>
      <c r="AP53" s="2">
        <v>263.23</v>
      </c>
    </row>
    <row r="54" spans="1:42" x14ac:dyDescent="0.25">
      <c r="A54" s="3" t="s">
        <v>93</v>
      </c>
      <c r="B54" s="3" t="s">
        <v>92</v>
      </c>
      <c r="C54" s="3" t="str">
        <f t="shared" si="0"/>
        <v>Meals &amp; Entertainment</v>
      </c>
      <c r="E54" t="s">
        <v>51</v>
      </c>
      <c r="G54" s="2">
        <v>582.9</v>
      </c>
      <c r="H54" s="2">
        <v>671.1</v>
      </c>
      <c r="I54" s="2">
        <v>698.2</v>
      </c>
      <c r="J54" s="2">
        <v>679.87</v>
      </c>
      <c r="K54" s="2">
        <v>709.22</v>
      </c>
      <c r="L54" s="2">
        <v>679.16</v>
      </c>
      <c r="M54" s="2">
        <v>692.17</v>
      </c>
      <c r="N54" s="2">
        <v>715.21</v>
      </c>
      <c r="O54" s="2">
        <v>730.26</v>
      </c>
      <c r="P54" s="2">
        <v>704.02</v>
      </c>
      <c r="Q54" s="2">
        <v>633.76</v>
      </c>
      <c r="R54" s="2">
        <v>726.91</v>
      </c>
      <c r="S54" s="2"/>
      <c r="T54" s="2">
        <v>736.23</v>
      </c>
      <c r="U54" s="2">
        <v>622.41999999999996</v>
      </c>
      <c r="V54" s="2">
        <v>691.41</v>
      </c>
      <c r="W54" s="2">
        <v>732.96</v>
      </c>
      <c r="X54" s="2">
        <v>552.57000000000005</v>
      </c>
      <c r="Y54" s="2">
        <v>621.48</v>
      </c>
      <c r="Z54" s="2">
        <v>747.09</v>
      </c>
      <c r="AA54" s="2">
        <v>687.64</v>
      </c>
      <c r="AB54" s="2">
        <v>644.15</v>
      </c>
      <c r="AC54" s="2">
        <v>592.89</v>
      </c>
      <c r="AD54" s="2">
        <v>709.85</v>
      </c>
      <c r="AE54" s="2">
        <v>643.11</v>
      </c>
      <c r="AF54" s="2"/>
      <c r="AG54" s="2">
        <v>574.91999999999996</v>
      </c>
      <c r="AH54" s="2">
        <v>714.36</v>
      </c>
      <c r="AI54" s="2">
        <v>722.37</v>
      </c>
      <c r="AJ54" s="2">
        <v>681.59</v>
      </c>
      <c r="AK54" s="2">
        <v>584.96</v>
      </c>
      <c r="AL54" s="2">
        <v>626.12</v>
      </c>
      <c r="AM54" s="2">
        <v>588.19000000000005</v>
      </c>
      <c r="AN54" s="2">
        <v>721.82</v>
      </c>
      <c r="AO54" s="2">
        <v>569.04999999999995</v>
      </c>
      <c r="AP54" s="2">
        <v>609.29</v>
      </c>
    </row>
    <row r="55" spans="1:42" x14ac:dyDescent="0.25">
      <c r="A55" s="3" t="s">
        <v>93</v>
      </c>
      <c r="B55" s="3" t="s">
        <v>92</v>
      </c>
      <c r="C55" s="3" t="str">
        <f t="shared" si="0"/>
        <v>Training &amp; Education</v>
      </c>
      <c r="E55" t="s">
        <v>52</v>
      </c>
      <c r="G55" s="2">
        <v>479.72</v>
      </c>
      <c r="H55" s="2">
        <v>368.98</v>
      </c>
      <c r="I55" s="2">
        <v>443.45</v>
      </c>
      <c r="J55" s="2">
        <v>419.6</v>
      </c>
      <c r="K55" s="2">
        <v>410.08</v>
      </c>
      <c r="L55" s="2">
        <v>469.63</v>
      </c>
      <c r="M55" s="2">
        <v>380.48</v>
      </c>
      <c r="N55" s="2">
        <v>368.28</v>
      </c>
      <c r="O55" s="2">
        <v>358.97</v>
      </c>
      <c r="P55" s="2">
        <v>434.87</v>
      </c>
      <c r="Q55" s="2">
        <v>497.41</v>
      </c>
      <c r="R55" s="2">
        <v>489.25</v>
      </c>
      <c r="S55" s="2"/>
      <c r="T55" s="2">
        <v>400.45</v>
      </c>
      <c r="U55" s="2">
        <v>448.31</v>
      </c>
      <c r="V55" s="2">
        <v>409.45</v>
      </c>
      <c r="W55" s="2">
        <v>329.57</v>
      </c>
      <c r="X55" s="2">
        <v>512.24</v>
      </c>
      <c r="Y55" s="2">
        <v>403.01</v>
      </c>
      <c r="Z55" s="2">
        <v>410.02</v>
      </c>
      <c r="AA55" s="2">
        <v>460.26</v>
      </c>
      <c r="AB55" s="2">
        <v>420.84</v>
      </c>
      <c r="AC55" s="2">
        <v>391.06</v>
      </c>
      <c r="AD55" s="2">
        <v>436.63</v>
      </c>
      <c r="AE55" s="2">
        <v>437.79</v>
      </c>
      <c r="AF55" s="2"/>
      <c r="AG55" s="2">
        <v>478.17</v>
      </c>
      <c r="AH55" s="2">
        <v>366.48</v>
      </c>
      <c r="AI55" s="2">
        <v>516.45000000000005</v>
      </c>
      <c r="AJ55" s="2">
        <v>418.01</v>
      </c>
      <c r="AK55" s="2">
        <v>407.78</v>
      </c>
      <c r="AL55" s="2">
        <v>437.68</v>
      </c>
      <c r="AM55" s="2">
        <v>500.01</v>
      </c>
      <c r="AN55" s="2">
        <v>481.43</v>
      </c>
      <c r="AO55" s="2">
        <v>455.16</v>
      </c>
      <c r="AP55" s="2">
        <v>441.49</v>
      </c>
    </row>
    <row r="56" spans="1:42" x14ac:dyDescent="0.25">
      <c r="A56" s="3" t="s">
        <v>93</v>
      </c>
      <c r="B56" s="3" t="s">
        <v>92</v>
      </c>
      <c r="C56" s="3" t="str">
        <f t="shared" si="0"/>
        <v>Dues &amp; Subscriptions</v>
      </c>
      <c r="E56" t="s">
        <v>53</v>
      </c>
      <c r="G56" s="2">
        <v>366.96</v>
      </c>
      <c r="H56" s="2">
        <v>370.03</v>
      </c>
      <c r="I56" s="2">
        <v>356.19</v>
      </c>
      <c r="J56" s="2">
        <v>387.64</v>
      </c>
      <c r="K56" s="2">
        <v>382.04</v>
      </c>
      <c r="L56" s="2">
        <v>369.82</v>
      </c>
      <c r="M56" s="2">
        <v>360.9</v>
      </c>
      <c r="N56" s="2">
        <v>382.8</v>
      </c>
      <c r="O56" s="2">
        <v>382.43</v>
      </c>
      <c r="P56" s="2">
        <v>354.83</v>
      </c>
      <c r="Q56" s="2">
        <v>351.92</v>
      </c>
      <c r="R56" s="2">
        <v>381.21</v>
      </c>
      <c r="S56" s="2"/>
      <c r="T56" s="2">
        <v>383.36</v>
      </c>
      <c r="U56" s="2">
        <v>352.46</v>
      </c>
      <c r="V56" s="2">
        <v>368.96</v>
      </c>
      <c r="W56" s="2">
        <v>394.15</v>
      </c>
      <c r="X56" s="2">
        <v>378.64</v>
      </c>
      <c r="Y56" s="2">
        <v>384.52</v>
      </c>
      <c r="Z56" s="2">
        <v>396.25</v>
      </c>
      <c r="AA56" s="2">
        <v>358.57</v>
      </c>
      <c r="AB56" s="2">
        <v>392.33</v>
      </c>
      <c r="AC56" s="2">
        <v>351.62</v>
      </c>
      <c r="AD56" s="2">
        <v>363.1</v>
      </c>
      <c r="AE56" s="2">
        <v>380.23</v>
      </c>
      <c r="AF56" s="2"/>
      <c r="AG56" s="2">
        <v>358.81</v>
      </c>
      <c r="AH56" s="2">
        <v>370.38</v>
      </c>
      <c r="AI56" s="2">
        <v>367.46</v>
      </c>
      <c r="AJ56" s="2">
        <v>360.84</v>
      </c>
      <c r="AK56" s="2">
        <v>366.79</v>
      </c>
      <c r="AL56" s="2">
        <v>384.8</v>
      </c>
      <c r="AM56" s="2">
        <v>400.39</v>
      </c>
      <c r="AN56" s="2">
        <v>386.72</v>
      </c>
      <c r="AO56" s="2">
        <v>363.36</v>
      </c>
      <c r="AP56" s="2">
        <v>387.68</v>
      </c>
    </row>
    <row r="57" spans="1:42" x14ac:dyDescent="0.25">
      <c r="A57" s="3" t="s">
        <v>93</v>
      </c>
      <c r="B57" s="3" t="s">
        <v>92</v>
      </c>
      <c r="C57" s="3" t="str">
        <f t="shared" si="0"/>
        <v>Equipment Maintenance</v>
      </c>
      <c r="E57" t="s">
        <v>54</v>
      </c>
      <c r="G57" s="2">
        <v>613.64</v>
      </c>
      <c r="H57" s="2">
        <v>533.95000000000005</v>
      </c>
      <c r="I57" s="2">
        <v>540.35</v>
      </c>
      <c r="J57" s="2">
        <v>590.07000000000005</v>
      </c>
      <c r="K57" s="2">
        <v>499.87</v>
      </c>
      <c r="L57" s="2">
        <v>569.13</v>
      </c>
      <c r="M57" s="2">
        <v>512.37</v>
      </c>
      <c r="N57" s="2">
        <v>560.29</v>
      </c>
      <c r="O57" s="2">
        <v>575.74</v>
      </c>
      <c r="P57" s="2">
        <v>565.20000000000005</v>
      </c>
      <c r="Q57" s="2">
        <v>607.29</v>
      </c>
      <c r="R57" s="2">
        <v>564.66999999999996</v>
      </c>
      <c r="S57" s="2"/>
      <c r="T57" s="2">
        <v>519.88</v>
      </c>
      <c r="U57" s="2">
        <v>524.54999999999995</v>
      </c>
      <c r="V57" s="2">
        <v>583.97</v>
      </c>
      <c r="W57" s="2">
        <v>502.52</v>
      </c>
      <c r="X57" s="2">
        <v>577.69000000000005</v>
      </c>
      <c r="Y57" s="2">
        <v>526.26</v>
      </c>
      <c r="Z57" s="2">
        <v>602.14</v>
      </c>
      <c r="AA57" s="2">
        <v>505.45</v>
      </c>
      <c r="AB57" s="2">
        <v>539.78</v>
      </c>
      <c r="AC57" s="2">
        <v>545.84</v>
      </c>
      <c r="AD57" s="2">
        <v>563.80999999999995</v>
      </c>
      <c r="AE57" s="2">
        <v>501.12</v>
      </c>
      <c r="AF57" s="2"/>
      <c r="AG57" s="2">
        <v>604.70000000000005</v>
      </c>
      <c r="AH57" s="2">
        <v>499.36</v>
      </c>
      <c r="AI57" s="2">
        <v>619.55999999999995</v>
      </c>
      <c r="AJ57" s="2">
        <v>575.87</v>
      </c>
      <c r="AK57" s="2">
        <v>565.49</v>
      </c>
      <c r="AL57" s="2">
        <v>585.25</v>
      </c>
      <c r="AM57" s="2">
        <v>608.04999999999995</v>
      </c>
      <c r="AN57" s="2">
        <v>581.73</v>
      </c>
      <c r="AO57" s="2">
        <v>609.58000000000004</v>
      </c>
      <c r="AP57" s="2">
        <v>613.17999999999995</v>
      </c>
    </row>
    <row r="58" spans="1:42" x14ac:dyDescent="0.25">
      <c r="A58" s="3" t="s">
        <v>95</v>
      </c>
      <c r="C58" s="3" t="str">
        <f t="shared" si="0"/>
        <v>Depreciation</v>
      </c>
      <c r="E58" t="s">
        <v>55</v>
      </c>
      <c r="G58" s="2">
        <v>3212.86</v>
      </c>
      <c r="H58" s="2">
        <v>3192.36</v>
      </c>
      <c r="I58" s="2">
        <v>3205.08</v>
      </c>
      <c r="J58" s="2">
        <v>3204.22</v>
      </c>
      <c r="K58" s="2">
        <v>3179.29</v>
      </c>
      <c r="L58" s="2">
        <v>3170.18</v>
      </c>
      <c r="M58" s="2">
        <v>3220.29</v>
      </c>
      <c r="N58" s="2">
        <v>3173.81</v>
      </c>
      <c r="O58" s="2">
        <v>3207.37</v>
      </c>
      <c r="P58" s="2">
        <v>3182.63</v>
      </c>
      <c r="Q58" s="2">
        <v>3231.52</v>
      </c>
      <c r="R58" s="2">
        <v>3173.97</v>
      </c>
      <c r="S58" s="2"/>
      <c r="T58" s="2">
        <v>3188.06</v>
      </c>
      <c r="U58" s="2">
        <v>3203.68</v>
      </c>
      <c r="V58" s="2">
        <v>3217.64</v>
      </c>
      <c r="W58" s="2">
        <v>3180.78</v>
      </c>
      <c r="X58" s="2">
        <v>3225.86</v>
      </c>
      <c r="Y58" s="2">
        <v>3192.53</v>
      </c>
      <c r="Z58" s="2">
        <v>3180.01</v>
      </c>
      <c r="AA58" s="2">
        <v>3229.3</v>
      </c>
      <c r="AB58" s="2">
        <v>3223.9</v>
      </c>
      <c r="AC58" s="2">
        <v>3199.93</v>
      </c>
      <c r="AD58" s="2">
        <v>3192.62</v>
      </c>
      <c r="AE58" s="2">
        <v>3193.44</v>
      </c>
      <c r="AF58" s="2"/>
      <c r="AG58" s="2">
        <v>3204.18</v>
      </c>
      <c r="AH58" s="2">
        <v>3188.71</v>
      </c>
      <c r="AI58" s="2">
        <v>3206.45</v>
      </c>
      <c r="AJ58" s="2">
        <v>3191.54</v>
      </c>
      <c r="AK58" s="2">
        <v>3187.09</v>
      </c>
      <c r="AL58" s="2">
        <v>3180.86</v>
      </c>
      <c r="AM58" s="2">
        <v>3230.59</v>
      </c>
      <c r="AN58" s="2">
        <v>3184.95</v>
      </c>
      <c r="AO58" s="2">
        <v>3177.96</v>
      </c>
      <c r="AP58" s="2">
        <v>3204.53</v>
      </c>
    </row>
    <row r="59" spans="1:42" x14ac:dyDescent="0.25">
      <c r="A59" s="3" t="s">
        <v>95</v>
      </c>
      <c r="C59" s="3" t="str">
        <f t="shared" si="0"/>
        <v>Miscellaneous Expense</v>
      </c>
      <c r="E59" t="s">
        <v>56</v>
      </c>
      <c r="G59" s="2">
        <v>394.36</v>
      </c>
      <c r="H59" s="2">
        <v>371.06</v>
      </c>
      <c r="I59" s="2">
        <v>289.31</v>
      </c>
      <c r="J59" s="2">
        <v>391.92</v>
      </c>
      <c r="K59" s="2">
        <v>319.45999999999998</v>
      </c>
      <c r="L59" s="2">
        <v>314.91000000000003</v>
      </c>
      <c r="M59" s="2">
        <v>289.20999999999998</v>
      </c>
      <c r="N59" s="2">
        <v>329.57</v>
      </c>
      <c r="O59" s="2">
        <v>346.8</v>
      </c>
      <c r="P59" s="2">
        <v>347.22</v>
      </c>
      <c r="Q59" s="2">
        <v>364.63</v>
      </c>
      <c r="R59" s="2">
        <v>359.31</v>
      </c>
      <c r="S59" s="2"/>
      <c r="T59" s="2">
        <v>407.49</v>
      </c>
      <c r="U59" s="2">
        <v>339.05</v>
      </c>
      <c r="V59" s="2">
        <v>272.8</v>
      </c>
      <c r="W59" s="2">
        <v>390.03</v>
      </c>
      <c r="X59" s="2">
        <v>298.27999999999997</v>
      </c>
      <c r="Y59" s="2">
        <v>347.44</v>
      </c>
      <c r="Z59" s="2">
        <v>371.76</v>
      </c>
      <c r="AA59" s="2">
        <v>351.67</v>
      </c>
      <c r="AB59" s="2">
        <v>358.64</v>
      </c>
      <c r="AC59" s="2">
        <v>281.87</v>
      </c>
      <c r="AD59" s="2">
        <v>312.2</v>
      </c>
      <c r="AE59" s="2">
        <v>401.61</v>
      </c>
      <c r="AF59" s="2"/>
      <c r="AG59" s="2">
        <v>394.09</v>
      </c>
      <c r="AH59" s="2">
        <v>383.03</v>
      </c>
      <c r="AI59" s="2">
        <v>319.77999999999997</v>
      </c>
      <c r="AJ59" s="2">
        <v>385.31</v>
      </c>
      <c r="AK59" s="2">
        <v>287.67</v>
      </c>
      <c r="AL59" s="2">
        <v>374.71</v>
      </c>
      <c r="AM59" s="2">
        <v>349.1</v>
      </c>
      <c r="AN59" s="2">
        <v>389.9</v>
      </c>
      <c r="AO59" s="2">
        <v>358.32</v>
      </c>
      <c r="AP59" s="2">
        <v>320.87</v>
      </c>
    </row>
    <row r="60" spans="1:42" x14ac:dyDescent="0.25">
      <c r="C60" s="3" t="str">
        <f t="shared" si="0"/>
        <v>Total SG&amp;A</v>
      </c>
      <c r="D60" t="s">
        <v>57</v>
      </c>
      <c r="G60" s="2">
        <v>89437.92</v>
      </c>
      <c r="H60" s="2">
        <v>82683.16</v>
      </c>
      <c r="I60" s="2">
        <v>92826.58</v>
      </c>
      <c r="J60" s="2">
        <v>82414.23</v>
      </c>
      <c r="K60" s="2">
        <v>114726.64</v>
      </c>
      <c r="L60" s="2">
        <v>180969.15</v>
      </c>
      <c r="M60" s="2">
        <v>82035.899999999994</v>
      </c>
      <c r="N60" s="2">
        <v>82767.89</v>
      </c>
      <c r="O60" s="2">
        <v>82398.3</v>
      </c>
      <c r="P60" s="2">
        <v>107845.72</v>
      </c>
      <c r="Q60" s="2">
        <v>80813.820000000007</v>
      </c>
      <c r="R60" s="2">
        <v>115954.3</v>
      </c>
      <c r="S60" s="2"/>
      <c r="T60" s="2">
        <v>89421.75</v>
      </c>
      <c r="U60" s="2">
        <v>81016.17</v>
      </c>
      <c r="V60" s="2">
        <v>82027.73</v>
      </c>
      <c r="W60" s="2">
        <v>82438.8</v>
      </c>
      <c r="X60" s="2">
        <v>115759.53</v>
      </c>
      <c r="Y60" s="2">
        <v>82192.81</v>
      </c>
      <c r="Z60" s="2">
        <v>82496.399999999994</v>
      </c>
      <c r="AA60" s="2">
        <v>93256.77</v>
      </c>
      <c r="AB60" s="2">
        <v>81776.61</v>
      </c>
      <c r="AC60" s="2">
        <v>157746.60999999999</v>
      </c>
      <c r="AD60" s="2">
        <v>80767.77</v>
      </c>
      <c r="AE60" s="2">
        <v>116515.13</v>
      </c>
      <c r="AF60" s="2"/>
      <c r="AG60" s="2">
        <v>103193.25</v>
      </c>
      <c r="AH60" s="2">
        <v>84103.42</v>
      </c>
      <c r="AI60" s="2">
        <v>84611.83</v>
      </c>
      <c r="AJ60" s="2">
        <v>83600.600000000006</v>
      </c>
      <c r="AK60" s="2">
        <v>115917.21</v>
      </c>
      <c r="AL60" s="2">
        <v>93828.91</v>
      </c>
      <c r="AM60" s="2">
        <v>83197.710000000006</v>
      </c>
      <c r="AN60" s="2">
        <v>84394.22</v>
      </c>
      <c r="AO60" s="2">
        <v>83143.03</v>
      </c>
      <c r="AP60" s="2">
        <v>110164.7</v>
      </c>
    </row>
    <row r="61" spans="1:42" x14ac:dyDescent="0.25">
      <c r="C61" s="3">
        <f t="shared" si="0"/>
        <v>0</v>
      </c>
    </row>
    <row r="62" spans="1:42" x14ac:dyDescent="0.25">
      <c r="C62" s="3" t="str">
        <f t="shared" si="0"/>
        <v>OTHER INCOME</v>
      </c>
      <c r="D62" t="s">
        <v>58</v>
      </c>
    </row>
    <row r="63" spans="1:42" x14ac:dyDescent="0.25">
      <c r="A63" s="3" t="s">
        <v>95</v>
      </c>
      <c r="C63" s="3" t="str">
        <f t="shared" si="0"/>
        <v>Miscellaneous Income</v>
      </c>
      <c r="E63" t="s">
        <v>59</v>
      </c>
      <c r="G63" s="2">
        <v>0</v>
      </c>
      <c r="H63" s="2">
        <v>250000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/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/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</row>
    <row r="64" spans="1:42" x14ac:dyDescent="0.25">
      <c r="C64" s="3" t="str">
        <f t="shared" si="0"/>
        <v>Total Other Income</v>
      </c>
      <c r="D64" t="s">
        <v>60</v>
      </c>
      <c r="G64" s="2">
        <v>0</v>
      </c>
      <c r="H64" s="2">
        <v>250000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/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/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</row>
    <row r="65" spans="3:42" x14ac:dyDescent="0.25">
      <c r="C65" s="3" t="str">
        <f t="shared" si="0"/>
        <v>Net Income</v>
      </c>
      <c r="D65" t="s">
        <v>61</v>
      </c>
      <c r="G65" s="2">
        <v>-40854.29</v>
      </c>
      <c r="H65" s="2">
        <v>215712.02</v>
      </c>
      <c r="I65" s="2">
        <v>79583.820000000007</v>
      </c>
      <c r="J65" s="2">
        <v>20072.27</v>
      </c>
      <c r="K65" s="2">
        <v>-27440.6</v>
      </c>
      <c r="L65" s="2">
        <v>-108190.56</v>
      </c>
      <c r="M65" s="2">
        <v>86381.08</v>
      </c>
      <c r="N65" s="2">
        <v>23767.27</v>
      </c>
      <c r="O65" s="2">
        <v>-22905.25</v>
      </c>
      <c r="P65" s="2">
        <v>28641.62</v>
      </c>
      <c r="Q65" s="2">
        <v>4263.79</v>
      </c>
      <c r="R65" s="2">
        <v>20309.66</v>
      </c>
      <c r="S65" s="2"/>
      <c r="T65" s="2">
        <v>-42364.78</v>
      </c>
      <c r="U65" s="2">
        <v>-18969.09</v>
      </c>
      <c r="V65" s="2">
        <v>-82088.27</v>
      </c>
      <c r="W65" s="2">
        <v>76368.63</v>
      </c>
      <c r="X65" s="2">
        <v>-59143.69</v>
      </c>
      <c r="Y65" s="2">
        <v>31669.38</v>
      </c>
      <c r="Z65" s="2">
        <v>-81432.160000000003</v>
      </c>
      <c r="AA65" s="2">
        <v>96064.36</v>
      </c>
      <c r="AB65" s="2">
        <v>16865.82</v>
      </c>
      <c r="AC65" s="2">
        <v>-97444.38</v>
      </c>
      <c r="AD65" s="2">
        <v>-74074.52</v>
      </c>
      <c r="AE65" s="2">
        <v>78126.95</v>
      </c>
      <c r="AF65" s="2"/>
      <c r="AG65" s="2">
        <v>-23294.66</v>
      </c>
      <c r="AH65" s="2">
        <v>20791.21</v>
      </c>
      <c r="AI65" s="2">
        <v>56090.55</v>
      </c>
      <c r="AJ65" s="2">
        <v>-25551.63</v>
      </c>
      <c r="AK65" s="2">
        <v>61628.58</v>
      </c>
      <c r="AL65" s="2">
        <v>90132</v>
      </c>
      <c r="AM65" s="2">
        <v>68915.149999999994</v>
      </c>
      <c r="AN65" s="2">
        <v>-19920.53</v>
      </c>
      <c r="AO65" s="2">
        <v>160014.35999999999</v>
      </c>
      <c r="AP65" s="2">
        <v>1334.09</v>
      </c>
    </row>
    <row r="66" spans="3:42" x14ac:dyDescent="0.25">
      <c r="C66" s="3">
        <f t="shared" ref="C66:C67" si="1">IF(D66&lt;&gt;0,D66,IF(E66&lt;&gt;0,E66,F66))</f>
        <v>0</v>
      </c>
    </row>
    <row r="67" spans="3:42" x14ac:dyDescent="0.25">
      <c r="C67" s="3">
        <f t="shared" si="1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5194-2C28-4611-9108-DC130FC0F080}">
  <dimension ref="A1:AL52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1" sqref="C11"/>
    </sheetView>
  </sheetViews>
  <sheetFormatPr defaultRowHeight="15" x14ac:dyDescent="0.25"/>
  <cols>
    <col min="1" max="1" width="35" style="3" bestFit="1" customWidth="1"/>
    <col min="2" max="2" width="15" customWidth="1"/>
    <col min="3" max="3" width="35" customWidth="1"/>
    <col min="4" max="4" width="13.28515625" bestFit="1" customWidth="1"/>
    <col min="5" max="5" width="12.28515625" bestFit="1" customWidth="1"/>
    <col min="6" max="9" width="11.85546875" bestFit="1" customWidth="1"/>
    <col min="10" max="10" width="13.42578125" bestFit="1" customWidth="1"/>
    <col min="11" max="15" width="13.28515625" bestFit="1" customWidth="1"/>
    <col min="16" max="16" width="13.42578125" bestFit="1" customWidth="1"/>
    <col min="17" max="18" width="13.28515625" bestFit="1" customWidth="1"/>
    <col min="19" max="19" width="13.42578125" bestFit="1" customWidth="1"/>
    <col min="20" max="21" width="13.28515625" bestFit="1" customWidth="1"/>
    <col min="22" max="22" width="13.42578125" bestFit="1" customWidth="1"/>
    <col min="23" max="23" width="12.42578125" bestFit="1" customWidth="1"/>
    <col min="24" max="25" width="13.42578125" bestFit="1" customWidth="1"/>
    <col min="26" max="27" width="12.42578125" bestFit="1" customWidth="1"/>
    <col min="28" max="28" width="13.42578125" bestFit="1" customWidth="1"/>
    <col min="29" max="33" width="12.42578125" bestFit="1" customWidth="1"/>
    <col min="34" max="37" width="13.42578125" bestFit="1" customWidth="1"/>
    <col min="38" max="38" width="13.28515625" bestFit="1" customWidth="1"/>
  </cols>
  <sheetData>
    <row r="1" spans="1:38" x14ac:dyDescent="0.25">
      <c r="B1" t="s">
        <v>0</v>
      </c>
      <c r="C1" t="s">
        <v>115</v>
      </c>
    </row>
    <row r="2" spans="1:38" x14ac:dyDescent="0.25">
      <c r="B2" t="s">
        <v>2</v>
      </c>
    </row>
    <row r="4" spans="1:38" x14ac:dyDescent="0.25">
      <c r="B4" t="s">
        <v>3</v>
      </c>
      <c r="D4" s="1">
        <v>44896</v>
      </c>
      <c r="E4" s="1">
        <v>44927</v>
      </c>
      <c r="F4" s="1">
        <v>44958</v>
      </c>
      <c r="G4" s="1">
        <v>44986</v>
      </c>
      <c r="H4" s="1">
        <v>45017</v>
      </c>
      <c r="I4" s="1">
        <v>45047</v>
      </c>
      <c r="J4" s="1">
        <v>45078</v>
      </c>
      <c r="K4" s="1">
        <v>45108</v>
      </c>
      <c r="L4" s="1">
        <v>45139</v>
      </c>
      <c r="M4" s="1">
        <v>45170</v>
      </c>
      <c r="N4" s="1">
        <v>45200</v>
      </c>
      <c r="O4" s="1">
        <v>45231</v>
      </c>
      <c r="P4" s="1">
        <v>45261</v>
      </c>
      <c r="Q4" s="1">
        <v>45292</v>
      </c>
      <c r="R4" s="1">
        <v>45323</v>
      </c>
      <c r="S4" s="1">
        <v>45352</v>
      </c>
      <c r="T4" s="1">
        <v>45383</v>
      </c>
      <c r="U4" s="1">
        <v>45413</v>
      </c>
      <c r="V4" s="1">
        <v>45444</v>
      </c>
      <c r="W4" s="1">
        <v>45474</v>
      </c>
      <c r="X4" s="1">
        <v>45505</v>
      </c>
      <c r="Y4" s="1">
        <v>45536</v>
      </c>
      <c r="Z4" s="1">
        <v>45566</v>
      </c>
      <c r="AA4" s="1">
        <v>45597</v>
      </c>
      <c r="AB4" s="1">
        <v>45627</v>
      </c>
      <c r="AC4" s="1">
        <v>45658</v>
      </c>
      <c r="AD4" s="1">
        <v>45689</v>
      </c>
      <c r="AE4" s="1">
        <v>45717</v>
      </c>
      <c r="AF4" s="1">
        <v>45748</v>
      </c>
      <c r="AG4" s="1">
        <v>45778</v>
      </c>
      <c r="AH4" s="1">
        <v>45809</v>
      </c>
      <c r="AI4" s="1">
        <v>45839</v>
      </c>
      <c r="AJ4" s="1">
        <v>45870</v>
      </c>
      <c r="AK4" s="1">
        <v>45901</v>
      </c>
      <c r="AL4" s="1">
        <v>45931</v>
      </c>
    </row>
    <row r="6" spans="1:38" x14ac:dyDescent="0.25">
      <c r="A6" s="3" t="str">
        <f t="shared" ref="A6:A50" si="0">IF(B6&lt;&gt;0,B6,IF(C6&lt;&gt;0,C6,D6))</f>
        <v>ASSETS</v>
      </c>
      <c r="B6" t="s">
        <v>116</v>
      </c>
    </row>
    <row r="7" spans="1:38" x14ac:dyDescent="0.25">
      <c r="A7" s="3" t="str">
        <f t="shared" si="0"/>
        <v>CURRENT ASSETS</v>
      </c>
      <c r="B7" t="s">
        <v>117</v>
      </c>
    </row>
    <row r="8" spans="1:38" x14ac:dyDescent="0.25">
      <c r="A8" s="3" t="str">
        <f>+C8</f>
        <v>Cash</v>
      </c>
      <c r="B8" t="s">
        <v>139</v>
      </c>
      <c r="C8" t="s">
        <v>101</v>
      </c>
      <c r="D8" s="2">
        <v>500000</v>
      </c>
      <c r="E8" s="2">
        <v>396509.08999999997</v>
      </c>
      <c r="F8" s="2">
        <v>525657.24999999988</v>
      </c>
      <c r="G8" s="2">
        <v>553695.47999999986</v>
      </c>
      <c r="H8" s="2">
        <v>600245.56999999983</v>
      </c>
      <c r="I8" s="2">
        <v>480643.08999999985</v>
      </c>
      <c r="J8" s="2">
        <v>456608.78999999986</v>
      </c>
      <c r="K8" s="2">
        <v>374497.72999999986</v>
      </c>
      <c r="L8" s="2">
        <v>637869.00999999978</v>
      </c>
      <c r="M8" s="2">
        <v>562047.4099999998</v>
      </c>
      <c r="N8" s="2">
        <v>554659.94999999984</v>
      </c>
      <c r="O8" s="2">
        <v>629575.14999999991</v>
      </c>
      <c r="P8" s="2">
        <v>639388.30999999994</v>
      </c>
      <c r="Q8" s="2">
        <v>539375.54999999981</v>
      </c>
      <c r="R8" s="2">
        <v>554930.12999999977</v>
      </c>
      <c r="S8" s="2">
        <v>507446.81999999972</v>
      </c>
      <c r="T8" s="2">
        <v>418736.40999999968</v>
      </c>
      <c r="U8" s="2">
        <v>312550.84999999969</v>
      </c>
      <c r="V8" s="2">
        <v>415059.27999999968</v>
      </c>
      <c r="W8" s="2">
        <v>446178.29999999981</v>
      </c>
      <c r="X8" s="2">
        <v>366541.93999999977</v>
      </c>
      <c r="Y8" s="2">
        <v>385065.45999999973</v>
      </c>
      <c r="Z8" s="2">
        <v>241006.47999999981</v>
      </c>
      <c r="AA8" s="2">
        <v>228740.97999999975</v>
      </c>
      <c r="AB8" s="2">
        <v>339090.7999999997</v>
      </c>
      <c r="AC8" s="2">
        <v>389425.92999999982</v>
      </c>
      <c r="AD8" s="2">
        <v>297808.31999999983</v>
      </c>
      <c r="AE8" s="2">
        <v>309495.72999999986</v>
      </c>
      <c r="AF8" s="2">
        <v>384792.38999999984</v>
      </c>
      <c r="AG8" s="2">
        <v>366126.69999999978</v>
      </c>
      <c r="AH8" s="2">
        <v>360642.7699999999</v>
      </c>
      <c r="AI8" s="2">
        <v>509065.52999999991</v>
      </c>
      <c r="AJ8" s="2">
        <v>545001.09</v>
      </c>
      <c r="AK8" s="2">
        <v>593244.1399999999</v>
      </c>
      <c r="AL8" s="2">
        <v>699373.73</v>
      </c>
    </row>
    <row r="9" spans="1:38" x14ac:dyDescent="0.25">
      <c r="A9" s="3" t="str">
        <f t="shared" ref="A9:A14" si="1">+C9</f>
        <v>Accounts Receivable</v>
      </c>
      <c r="B9" t="s">
        <v>140</v>
      </c>
      <c r="C9" t="s">
        <v>102</v>
      </c>
      <c r="D9" s="2">
        <v>250000</v>
      </c>
      <c r="E9" s="2">
        <v>464976</v>
      </c>
      <c r="F9" s="2">
        <v>579086.13</v>
      </c>
      <c r="G9" s="2">
        <v>621364.07999999996</v>
      </c>
      <c r="H9" s="2">
        <v>604469.82999999996</v>
      </c>
      <c r="I9" s="2">
        <v>703858.58</v>
      </c>
      <c r="J9" s="2">
        <v>783160.05999999994</v>
      </c>
      <c r="K9" s="2">
        <v>809027.94</v>
      </c>
      <c r="L9" s="2">
        <v>611651.71</v>
      </c>
      <c r="M9" s="2">
        <v>802046.08</v>
      </c>
      <c r="N9" s="2">
        <v>670489.78999999992</v>
      </c>
      <c r="O9" s="2">
        <v>634804.29999999993</v>
      </c>
      <c r="P9" s="2">
        <v>729350.66999999993</v>
      </c>
      <c r="Q9" s="2">
        <v>738032.34</v>
      </c>
      <c r="R9" s="2">
        <v>623043.09</v>
      </c>
      <c r="S9" s="2">
        <v>688838.63</v>
      </c>
      <c r="T9" s="2">
        <v>692169.88</v>
      </c>
      <c r="U9" s="2">
        <v>823847.89</v>
      </c>
      <c r="V9" s="2">
        <v>794541.11</v>
      </c>
      <c r="W9" s="2">
        <v>771406.47</v>
      </c>
      <c r="X9" s="2">
        <v>781949.21</v>
      </c>
      <c r="Y9" s="2">
        <v>889045.17999999993</v>
      </c>
      <c r="Z9" s="2">
        <v>822225.55999999994</v>
      </c>
      <c r="AA9" s="2">
        <v>794497.0199999999</v>
      </c>
      <c r="AB9" s="2">
        <v>703469.03999999992</v>
      </c>
      <c r="AC9" s="2">
        <v>632654.74</v>
      </c>
      <c r="AD9" s="2">
        <v>725858.75</v>
      </c>
      <c r="AE9" s="2">
        <v>804711.47</v>
      </c>
      <c r="AF9" s="2">
        <v>752049.33</v>
      </c>
      <c r="AG9" s="2">
        <v>724039.22</v>
      </c>
      <c r="AH9" s="2">
        <v>890223.82</v>
      </c>
      <c r="AI9" s="2">
        <v>804794.81</v>
      </c>
      <c r="AJ9" s="2">
        <v>798889.25</v>
      </c>
      <c r="AK9" s="2">
        <v>823650.49</v>
      </c>
      <c r="AL9" s="2">
        <v>743137.61</v>
      </c>
    </row>
    <row r="10" spans="1:38" x14ac:dyDescent="0.25">
      <c r="A10" s="3" t="str">
        <f t="shared" si="1"/>
        <v>Inventory - Materials</v>
      </c>
      <c r="B10" t="s">
        <v>157</v>
      </c>
      <c r="C10" t="s">
        <v>148</v>
      </c>
      <c r="D10" s="2">
        <v>87061.92</v>
      </c>
      <c r="E10" s="2">
        <v>87256.42</v>
      </c>
      <c r="F10" s="2">
        <v>96046.35</v>
      </c>
      <c r="G10" s="2">
        <v>87278.22</v>
      </c>
      <c r="H10" s="2">
        <v>98962.21</v>
      </c>
      <c r="I10" s="2">
        <v>86952.08</v>
      </c>
      <c r="J10" s="2">
        <v>100281.92</v>
      </c>
      <c r="K10" s="2">
        <v>86836.35</v>
      </c>
      <c r="L10" s="2">
        <v>90387.670000000013</v>
      </c>
      <c r="M10" s="2">
        <v>97791.670000000027</v>
      </c>
      <c r="N10" s="2">
        <v>93703.150000000038</v>
      </c>
      <c r="O10" s="2">
        <v>79137.560000000041</v>
      </c>
      <c r="P10" s="2">
        <v>96059.540000000037</v>
      </c>
      <c r="Q10" s="2">
        <v>103258.36000000004</v>
      </c>
      <c r="R10" s="2">
        <v>103937.24000000005</v>
      </c>
      <c r="S10" s="2">
        <v>95637.810000000041</v>
      </c>
      <c r="T10" s="2">
        <v>92289.570000000051</v>
      </c>
      <c r="U10" s="2">
        <v>110041.59000000005</v>
      </c>
      <c r="V10" s="2">
        <v>98946.370000000068</v>
      </c>
      <c r="W10" s="2">
        <v>102969.14000000007</v>
      </c>
      <c r="X10" s="2">
        <v>82717.880000000063</v>
      </c>
      <c r="Y10" s="2">
        <v>113649.83000000007</v>
      </c>
      <c r="Z10" s="2">
        <v>97000.18000000008</v>
      </c>
      <c r="AA10" s="2">
        <v>100872.95000000007</v>
      </c>
      <c r="AB10" s="2">
        <v>86399.940000000075</v>
      </c>
      <c r="AC10" s="2">
        <v>90160.490000000078</v>
      </c>
      <c r="AD10" s="2">
        <v>102202.87000000008</v>
      </c>
      <c r="AE10" s="2">
        <v>93093.070000000094</v>
      </c>
      <c r="AF10" s="2">
        <v>90021.380000000092</v>
      </c>
      <c r="AG10" s="2">
        <v>95632.9200000001</v>
      </c>
      <c r="AH10" s="2">
        <v>106614.9200000001</v>
      </c>
      <c r="AI10" s="2">
        <v>91572.320000000109</v>
      </c>
      <c r="AJ10" s="2">
        <v>98137.990000000107</v>
      </c>
      <c r="AK10" s="2">
        <v>92822.620000000112</v>
      </c>
      <c r="AL10" s="2">
        <v>75000.000000000116</v>
      </c>
    </row>
    <row r="11" spans="1:38" x14ac:dyDescent="0.25">
      <c r="A11" s="3" t="str">
        <f t="shared" si="1"/>
        <v>Contract Asset (Underbillings)</v>
      </c>
      <c r="B11" t="s">
        <v>141</v>
      </c>
      <c r="C11" t="s">
        <v>149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48523.45</v>
      </c>
      <c r="Q11" s="2">
        <v>48523.45</v>
      </c>
      <c r="R11" s="2">
        <v>48523.45</v>
      </c>
      <c r="S11" s="2">
        <v>48523.45</v>
      </c>
      <c r="T11" s="2">
        <v>48523.45</v>
      </c>
      <c r="U11" s="2">
        <v>48523.45</v>
      </c>
      <c r="V11" s="2">
        <v>48523.45</v>
      </c>
      <c r="W11" s="2">
        <v>48523.45</v>
      </c>
      <c r="X11" s="2">
        <v>48523.45</v>
      </c>
      <c r="Y11" s="2">
        <v>48523.45</v>
      </c>
      <c r="Z11" s="2">
        <v>48523.45</v>
      </c>
      <c r="AA11" s="2">
        <v>48523.45</v>
      </c>
      <c r="AB11" s="2">
        <v>101414.68</v>
      </c>
      <c r="AC11" s="2">
        <v>101414.68</v>
      </c>
      <c r="AD11" s="2">
        <v>110848.87999999999</v>
      </c>
      <c r="AE11" s="2">
        <v>120194.98999999999</v>
      </c>
      <c r="AF11" s="2">
        <v>128285.35999999999</v>
      </c>
      <c r="AG11" s="2">
        <v>136088.15999999997</v>
      </c>
      <c r="AH11" s="2">
        <v>143742.11999999997</v>
      </c>
      <c r="AI11" s="2">
        <v>152813.37999999998</v>
      </c>
      <c r="AJ11" s="2">
        <v>159619.51999999999</v>
      </c>
      <c r="AK11" s="2">
        <v>166849.56</v>
      </c>
      <c r="AL11" s="2">
        <v>176243.91999999998</v>
      </c>
    </row>
    <row r="12" spans="1:38" x14ac:dyDescent="0.25">
      <c r="A12" s="3" t="str">
        <f t="shared" si="1"/>
        <v>Prepaid Insurance</v>
      </c>
      <c r="B12" t="s">
        <v>142</v>
      </c>
      <c r="C12" t="s">
        <v>143</v>
      </c>
      <c r="D12" s="2">
        <v>24000</v>
      </c>
      <c r="E12" s="2">
        <v>24000</v>
      </c>
      <c r="F12" s="2">
        <v>24000</v>
      </c>
      <c r="G12" s="2">
        <v>24000</v>
      </c>
      <c r="H12" s="2">
        <v>24000</v>
      </c>
      <c r="I12" s="2">
        <v>24000</v>
      </c>
      <c r="J12" s="2">
        <v>24000</v>
      </c>
      <c r="K12" s="2">
        <v>24000</v>
      </c>
      <c r="L12" s="2">
        <v>24000</v>
      </c>
      <c r="M12" s="2">
        <v>24000</v>
      </c>
      <c r="N12" s="2">
        <v>24000</v>
      </c>
      <c r="O12" s="2">
        <v>24000</v>
      </c>
      <c r="P12" s="2">
        <v>24000</v>
      </c>
      <c r="Q12" s="2">
        <v>24000</v>
      </c>
      <c r="R12" s="2">
        <v>24000</v>
      </c>
      <c r="S12" s="2">
        <v>24000</v>
      </c>
      <c r="T12" s="2">
        <v>24000</v>
      </c>
      <c r="U12" s="2">
        <v>24000</v>
      </c>
      <c r="V12" s="2">
        <v>24000</v>
      </c>
      <c r="W12" s="2">
        <v>24000</v>
      </c>
      <c r="X12" s="2">
        <v>24000</v>
      </c>
      <c r="Y12" s="2">
        <v>24000</v>
      </c>
      <c r="Z12" s="2">
        <v>24000</v>
      </c>
      <c r="AA12" s="2">
        <v>24000</v>
      </c>
      <c r="AB12" s="2">
        <v>24000</v>
      </c>
      <c r="AC12" s="2">
        <v>24000</v>
      </c>
      <c r="AD12" s="2">
        <v>24000</v>
      </c>
      <c r="AE12" s="2">
        <v>24000</v>
      </c>
      <c r="AF12" s="2">
        <v>24000</v>
      </c>
      <c r="AG12" s="2">
        <v>24000</v>
      </c>
      <c r="AH12" s="2">
        <v>24000</v>
      </c>
      <c r="AI12" s="2">
        <v>24000</v>
      </c>
      <c r="AJ12" s="2">
        <v>24000</v>
      </c>
      <c r="AK12" s="2">
        <v>24000</v>
      </c>
      <c r="AL12" s="2">
        <v>24000</v>
      </c>
    </row>
    <row r="13" spans="1:38" x14ac:dyDescent="0.25">
      <c r="A13" s="3" t="str">
        <f t="shared" si="1"/>
        <v>Prepaid Rent</v>
      </c>
      <c r="B13" t="s">
        <v>144</v>
      </c>
      <c r="C13" t="s">
        <v>145</v>
      </c>
      <c r="D13" s="2">
        <v>12000</v>
      </c>
      <c r="E13" s="2">
        <v>12000</v>
      </c>
      <c r="F13" s="2">
        <v>12000</v>
      </c>
      <c r="G13" s="2">
        <v>12000</v>
      </c>
      <c r="H13" s="2">
        <v>12000</v>
      </c>
      <c r="I13" s="2">
        <v>12000</v>
      </c>
      <c r="J13" s="2">
        <v>12000</v>
      </c>
      <c r="K13" s="2">
        <v>12000</v>
      </c>
      <c r="L13" s="2">
        <v>12000</v>
      </c>
      <c r="M13" s="2">
        <v>12000</v>
      </c>
      <c r="N13" s="2">
        <v>12000</v>
      </c>
      <c r="O13" s="2">
        <v>12000</v>
      </c>
      <c r="P13" s="2">
        <v>12000</v>
      </c>
      <c r="Q13" s="2">
        <v>12000</v>
      </c>
      <c r="R13" s="2">
        <v>12000</v>
      </c>
      <c r="S13" s="2">
        <v>12000</v>
      </c>
      <c r="T13" s="2">
        <v>12000</v>
      </c>
      <c r="U13" s="2">
        <v>12000</v>
      </c>
      <c r="V13" s="2">
        <v>12000</v>
      </c>
      <c r="W13" s="2">
        <v>12000</v>
      </c>
      <c r="X13" s="2">
        <v>12000</v>
      </c>
      <c r="Y13" s="2">
        <v>12000</v>
      </c>
      <c r="Z13" s="2">
        <v>12000</v>
      </c>
      <c r="AA13" s="2">
        <v>12000</v>
      </c>
      <c r="AB13" s="2">
        <v>12000</v>
      </c>
      <c r="AC13" s="2">
        <v>12000</v>
      </c>
      <c r="AD13" s="2">
        <v>12000</v>
      </c>
      <c r="AE13" s="2">
        <v>12000</v>
      </c>
      <c r="AF13" s="2">
        <v>12000</v>
      </c>
      <c r="AG13" s="2">
        <v>12000</v>
      </c>
      <c r="AH13" s="2">
        <v>12000</v>
      </c>
      <c r="AI13" s="2">
        <v>12000</v>
      </c>
      <c r="AJ13" s="2">
        <v>12000</v>
      </c>
      <c r="AK13" s="2">
        <v>12000</v>
      </c>
      <c r="AL13" s="2">
        <v>12000</v>
      </c>
    </row>
    <row r="14" spans="1:38" x14ac:dyDescent="0.25">
      <c r="A14" s="3" t="str">
        <f t="shared" si="1"/>
        <v>Other Prepaid Expenses</v>
      </c>
      <c r="B14" s="80" t="s">
        <v>146</v>
      </c>
      <c r="C14" s="80" t="s">
        <v>147</v>
      </c>
      <c r="D14" s="81">
        <v>5000</v>
      </c>
      <c r="E14" s="81">
        <v>5000</v>
      </c>
      <c r="F14" s="81">
        <v>5000</v>
      </c>
      <c r="G14" s="81">
        <v>5000</v>
      </c>
      <c r="H14" s="81">
        <v>5000</v>
      </c>
      <c r="I14" s="81">
        <v>5000</v>
      </c>
      <c r="J14" s="81">
        <v>5000</v>
      </c>
      <c r="K14" s="81">
        <v>5000</v>
      </c>
      <c r="L14" s="81">
        <v>5000</v>
      </c>
      <c r="M14" s="81">
        <v>5000</v>
      </c>
      <c r="N14" s="81">
        <v>5000</v>
      </c>
      <c r="O14" s="81">
        <v>5000</v>
      </c>
      <c r="P14" s="81">
        <v>5000</v>
      </c>
      <c r="Q14" s="81">
        <v>5000</v>
      </c>
      <c r="R14" s="81">
        <v>5000</v>
      </c>
      <c r="S14" s="81">
        <v>5000</v>
      </c>
      <c r="T14" s="81">
        <v>5000</v>
      </c>
      <c r="U14" s="81">
        <v>5000</v>
      </c>
      <c r="V14" s="81">
        <v>5000</v>
      </c>
      <c r="W14" s="81">
        <v>5000</v>
      </c>
      <c r="X14" s="81">
        <v>5000</v>
      </c>
      <c r="Y14" s="81">
        <v>5000</v>
      </c>
      <c r="Z14" s="81">
        <v>5000</v>
      </c>
      <c r="AA14" s="81">
        <v>5000</v>
      </c>
      <c r="AB14" s="81">
        <v>5000</v>
      </c>
      <c r="AC14" s="81">
        <v>5000</v>
      </c>
      <c r="AD14" s="81">
        <v>5000</v>
      </c>
      <c r="AE14" s="81">
        <v>5000</v>
      </c>
      <c r="AF14" s="81">
        <v>5000</v>
      </c>
      <c r="AG14" s="81">
        <v>5000</v>
      </c>
      <c r="AH14" s="81">
        <v>5000</v>
      </c>
      <c r="AI14" s="81">
        <v>5000</v>
      </c>
      <c r="AJ14" s="81">
        <v>5000</v>
      </c>
      <c r="AK14" s="81">
        <v>5000</v>
      </c>
      <c r="AL14" s="81">
        <v>5000</v>
      </c>
    </row>
    <row r="15" spans="1:38" x14ac:dyDescent="0.25">
      <c r="A15" s="3" t="str">
        <f t="shared" si="0"/>
        <v>Total Current Assets</v>
      </c>
      <c r="B15" t="s">
        <v>118</v>
      </c>
      <c r="D15" s="82">
        <f>SUM(D8:D14)</f>
        <v>878061.92</v>
      </c>
      <c r="E15" s="82">
        <f t="shared" ref="E15:AL15" si="2">SUM(E8:E14)</f>
        <v>989741.51</v>
      </c>
      <c r="F15" s="82">
        <f t="shared" si="2"/>
        <v>1241789.73</v>
      </c>
      <c r="G15" s="82">
        <f t="shared" si="2"/>
        <v>1303337.7799999998</v>
      </c>
      <c r="H15" s="82">
        <f t="shared" si="2"/>
        <v>1344677.6099999999</v>
      </c>
      <c r="I15" s="82">
        <f t="shared" si="2"/>
        <v>1312453.75</v>
      </c>
      <c r="J15" s="82">
        <f t="shared" si="2"/>
        <v>1381050.7699999998</v>
      </c>
      <c r="K15" s="82">
        <f t="shared" si="2"/>
        <v>1311362.02</v>
      </c>
      <c r="L15" s="82">
        <f t="shared" si="2"/>
        <v>1380908.3899999997</v>
      </c>
      <c r="M15" s="82">
        <f t="shared" si="2"/>
        <v>1502885.1599999997</v>
      </c>
      <c r="N15" s="82">
        <f t="shared" si="2"/>
        <v>1359852.89</v>
      </c>
      <c r="O15" s="82">
        <f t="shared" si="2"/>
        <v>1384517.0099999998</v>
      </c>
      <c r="P15" s="82">
        <f t="shared" si="2"/>
        <v>1554321.97</v>
      </c>
      <c r="Q15" s="82">
        <f t="shared" si="2"/>
        <v>1470189.6999999997</v>
      </c>
      <c r="R15" s="82">
        <f t="shared" si="2"/>
        <v>1371433.9099999997</v>
      </c>
      <c r="S15" s="82">
        <f t="shared" si="2"/>
        <v>1381446.7099999997</v>
      </c>
      <c r="T15" s="82">
        <f t="shared" si="2"/>
        <v>1292719.3099999996</v>
      </c>
      <c r="U15" s="82">
        <f t="shared" si="2"/>
        <v>1335963.7799999998</v>
      </c>
      <c r="V15" s="82">
        <f t="shared" si="2"/>
        <v>1398070.2099999997</v>
      </c>
      <c r="W15" s="82">
        <f t="shared" si="2"/>
        <v>1410077.3599999999</v>
      </c>
      <c r="X15" s="82">
        <f t="shared" si="2"/>
        <v>1320732.4799999997</v>
      </c>
      <c r="Y15" s="82">
        <f t="shared" si="2"/>
        <v>1477283.9199999997</v>
      </c>
      <c r="Z15" s="82">
        <f t="shared" si="2"/>
        <v>1249755.67</v>
      </c>
      <c r="AA15" s="82">
        <f t="shared" si="2"/>
        <v>1213634.3999999997</v>
      </c>
      <c r="AB15" s="82">
        <f t="shared" si="2"/>
        <v>1271374.4599999997</v>
      </c>
      <c r="AC15" s="82">
        <f t="shared" si="2"/>
        <v>1254655.8399999999</v>
      </c>
      <c r="AD15" s="82">
        <f t="shared" si="2"/>
        <v>1277718.8199999998</v>
      </c>
      <c r="AE15" s="82">
        <f t="shared" si="2"/>
        <v>1368495.2599999998</v>
      </c>
      <c r="AF15" s="82">
        <f t="shared" si="2"/>
        <v>1396148.46</v>
      </c>
      <c r="AG15" s="82">
        <f t="shared" si="2"/>
        <v>1362886.9999999998</v>
      </c>
      <c r="AH15" s="82">
        <f t="shared" si="2"/>
        <v>1542223.63</v>
      </c>
      <c r="AI15" s="82">
        <f t="shared" si="2"/>
        <v>1599246.0399999998</v>
      </c>
      <c r="AJ15" s="82">
        <f t="shared" si="2"/>
        <v>1642647.85</v>
      </c>
      <c r="AK15" s="82">
        <f t="shared" si="2"/>
        <v>1717566.81</v>
      </c>
      <c r="AL15" s="82">
        <f t="shared" si="2"/>
        <v>1734755.2599999998</v>
      </c>
    </row>
    <row r="16" spans="1:38" x14ac:dyDescent="0.25">
      <c r="A16" s="3">
        <f t="shared" si="0"/>
        <v>0</v>
      </c>
    </row>
    <row r="17" spans="1:38" x14ac:dyDescent="0.25">
      <c r="A17" s="3" t="str">
        <f t="shared" si="0"/>
        <v>FIXED ASSETS</v>
      </c>
      <c r="B17" t="s">
        <v>119</v>
      </c>
    </row>
    <row r="18" spans="1:38" x14ac:dyDescent="0.25">
      <c r="A18" s="3" t="str">
        <f t="shared" ref="A18:A20" si="3">+C18</f>
        <v>Vehicles</v>
      </c>
      <c r="B18" t="s">
        <v>150</v>
      </c>
      <c r="C18" t="s">
        <v>151</v>
      </c>
      <c r="D18" s="2">
        <v>350000</v>
      </c>
      <c r="E18" s="2">
        <v>350000</v>
      </c>
      <c r="F18" s="2">
        <v>350000</v>
      </c>
      <c r="G18" s="2">
        <v>350000</v>
      </c>
      <c r="H18" s="2">
        <v>350000</v>
      </c>
      <c r="I18" s="2">
        <v>350000</v>
      </c>
      <c r="J18" s="2">
        <v>350000</v>
      </c>
      <c r="K18" s="2">
        <v>350000</v>
      </c>
      <c r="L18" s="2">
        <v>350000</v>
      </c>
      <c r="M18" s="2">
        <v>350000</v>
      </c>
      <c r="N18" s="2">
        <v>350000</v>
      </c>
      <c r="O18" s="2">
        <v>350000</v>
      </c>
      <c r="P18" s="2">
        <v>350000</v>
      </c>
      <c r="Q18" s="2">
        <v>350000</v>
      </c>
      <c r="R18" s="2">
        <v>350000</v>
      </c>
      <c r="S18" s="2">
        <v>350000</v>
      </c>
      <c r="T18" s="2">
        <v>350000</v>
      </c>
      <c r="U18" s="2">
        <v>350000</v>
      </c>
      <c r="V18" s="2">
        <v>350000</v>
      </c>
      <c r="W18" s="2">
        <v>350000</v>
      </c>
      <c r="X18" s="2">
        <v>350000</v>
      </c>
      <c r="Y18" s="2">
        <v>350000</v>
      </c>
      <c r="Z18" s="2">
        <v>350000</v>
      </c>
      <c r="AA18" s="2">
        <v>350000</v>
      </c>
      <c r="AB18" s="2">
        <v>350000</v>
      </c>
      <c r="AC18" s="2">
        <v>350000</v>
      </c>
      <c r="AD18" s="2">
        <v>350000</v>
      </c>
      <c r="AE18" s="2">
        <v>350000</v>
      </c>
      <c r="AF18" s="2">
        <v>350000</v>
      </c>
      <c r="AG18" s="2">
        <v>350000</v>
      </c>
      <c r="AH18" s="2">
        <v>350000</v>
      </c>
      <c r="AI18" s="2">
        <v>350000</v>
      </c>
      <c r="AJ18" s="2">
        <v>350000</v>
      </c>
      <c r="AK18" s="2">
        <v>350000</v>
      </c>
      <c r="AL18" s="2">
        <v>350000</v>
      </c>
    </row>
    <row r="19" spans="1:38" x14ac:dyDescent="0.25">
      <c r="A19" s="3" t="str">
        <f t="shared" si="3"/>
        <v>Equipment</v>
      </c>
      <c r="B19" t="s">
        <v>152</v>
      </c>
      <c r="C19" t="s">
        <v>153</v>
      </c>
      <c r="D19" s="2">
        <v>200000</v>
      </c>
      <c r="E19" s="2">
        <v>200000</v>
      </c>
      <c r="F19" s="2">
        <v>200000</v>
      </c>
      <c r="G19" s="2">
        <v>200000</v>
      </c>
      <c r="H19" s="2">
        <v>200000</v>
      </c>
      <c r="I19" s="2">
        <v>200000</v>
      </c>
      <c r="J19" s="2">
        <v>200000</v>
      </c>
      <c r="K19" s="2">
        <v>200000</v>
      </c>
      <c r="L19" s="2">
        <v>200000</v>
      </c>
      <c r="M19" s="2">
        <v>200000</v>
      </c>
      <c r="N19" s="2">
        <v>200000</v>
      </c>
      <c r="O19" s="2">
        <v>200000</v>
      </c>
      <c r="P19" s="2">
        <v>200000</v>
      </c>
      <c r="Q19" s="2">
        <v>200000</v>
      </c>
      <c r="R19" s="2">
        <v>200000</v>
      </c>
      <c r="S19" s="2">
        <v>200000</v>
      </c>
      <c r="T19" s="2">
        <v>200000</v>
      </c>
      <c r="U19" s="2">
        <v>200000</v>
      </c>
      <c r="V19" s="2">
        <v>200000</v>
      </c>
      <c r="W19" s="2">
        <v>200000</v>
      </c>
      <c r="X19" s="2">
        <v>200000</v>
      </c>
      <c r="Y19" s="2">
        <v>200000</v>
      </c>
      <c r="Z19" s="2">
        <v>200000</v>
      </c>
      <c r="AA19" s="2">
        <v>200000</v>
      </c>
      <c r="AB19" s="2">
        <v>200000</v>
      </c>
      <c r="AC19" s="2">
        <v>200000</v>
      </c>
      <c r="AD19" s="2">
        <v>200000</v>
      </c>
      <c r="AE19" s="2">
        <v>200000</v>
      </c>
      <c r="AF19" s="2">
        <v>200000</v>
      </c>
      <c r="AG19" s="2">
        <v>200000</v>
      </c>
      <c r="AH19" s="2">
        <v>200000</v>
      </c>
      <c r="AI19" s="2">
        <v>200000</v>
      </c>
      <c r="AJ19" s="2">
        <v>200000</v>
      </c>
      <c r="AK19" s="2">
        <v>200000</v>
      </c>
      <c r="AL19" s="2">
        <v>200000</v>
      </c>
    </row>
    <row r="20" spans="1:38" x14ac:dyDescent="0.25">
      <c r="A20" s="3" t="str">
        <f t="shared" si="3"/>
        <v>Furniture &amp; Fixtures</v>
      </c>
      <c r="B20" t="s">
        <v>154</v>
      </c>
      <c r="C20" t="s">
        <v>155</v>
      </c>
      <c r="D20" s="81">
        <v>50000</v>
      </c>
      <c r="E20" s="81">
        <v>50000</v>
      </c>
      <c r="F20" s="81">
        <v>50000</v>
      </c>
      <c r="G20" s="81">
        <v>50000</v>
      </c>
      <c r="H20" s="81">
        <v>50000</v>
      </c>
      <c r="I20" s="81">
        <v>50000</v>
      </c>
      <c r="J20" s="81">
        <v>50000</v>
      </c>
      <c r="K20" s="81">
        <v>50000</v>
      </c>
      <c r="L20" s="81">
        <v>50000</v>
      </c>
      <c r="M20" s="81">
        <v>50000</v>
      </c>
      <c r="N20" s="81">
        <v>50000</v>
      </c>
      <c r="O20" s="81">
        <v>50000</v>
      </c>
      <c r="P20" s="81">
        <v>50000</v>
      </c>
      <c r="Q20" s="81">
        <v>50000</v>
      </c>
      <c r="R20" s="81">
        <v>50000</v>
      </c>
      <c r="S20" s="81">
        <v>50000</v>
      </c>
      <c r="T20" s="81">
        <v>50000</v>
      </c>
      <c r="U20" s="81">
        <v>50000</v>
      </c>
      <c r="V20" s="81">
        <v>50000</v>
      </c>
      <c r="W20" s="81">
        <v>50000</v>
      </c>
      <c r="X20" s="81">
        <v>50000</v>
      </c>
      <c r="Y20" s="81">
        <v>50000</v>
      </c>
      <c r="Z20" s="81">
        <v>50000</v>
      </c>
      <c r="AA20" s="81">
        <v>50000</v>
      </c>
      <c r="AB20" s="81">
        <v>50000</v>
      </c>
      <c r="AC20" s="81">
        <v>50000</v>
      </c>
      <c r="AD20" s="81">
        <v>50000</v>
      </c>
      <c r="AE20" s="81">
        <v>50000</v>
      </c>
      <c r="AF20" s="81">
        <v>50000</v>
      </c>
      <c r="AG20" s="81">
        <v>50000</v>
      </c>
      <c r="AH20" s="81">
        <v>50000</v>
      </c>
      <c r="AI20" s="81">
        <v>50000</v>
      </c>
      <c r="AJ20" s="81">
        <v>50000</v>
      </c>
      <c r="AK20" s="81">
        <v>50000</v>
      </c>
      <c r="AL20" s="81">
        <v>50000</v>
      </c>
    </row>
    <row r="21" spans="1:38" x14ac:dyDescent="0.25">
      <c r="A21" s="3" t="str">
        <f t="shared" si="0"/>
        <v>Vehicles &amp; Equipment</v>
      </c>
      <c r="C21" t="s">
        <v>120</v>
      </c>
      <c r="D21" s="2">
        <f>SUM(D18:D20)</f>
        <v>600000</v>
      </c>
      <c r="E21" s="2">
        <f t="shared" ref="E21:AL21" si="4">SUM(E18:E20)</f>
        <v>600000</v>
      </c>
      <c r="F21" s="2">
        <f t="shared" si="4"/>
        <v>600000</v>
      </c>
      <c r="G21" s="2">
        <f t="shared" si="4"/>
        <v>600000</v>
      </c>
      <c r="H21" s="2">
        <f t="shared" si="4"/>
        <v>600000</v>
      </c>
      <c r="I21" s="2">
        <f t="shared" si="4"/>
        <v>600000</v>
      </c>
      <c r="J21" s="2">
        <f t="shared" si="4"/>
        <v>600000</v>
      </c>
      <c r="K21" s="2">
        <f t="shared" si="4"/>
        <v>600000</v>
      </c>
      <c r="L21" s="2">
        <f t="shared" si="4"/>
        <v>600000</v>
      </c>
      <c r="M21" s="2">
        <f t="shared" si="4"/>
        <v>600000</v>
      </c>
      <c r="N21" s="2">
        <f t="shared" si="4"/>
        <v>600000</v>
      </c>
      <c r="O21" s="2">
        <f t="shared" si="4"/>
        <v>600000</v>
      </c>
      <c r="P21" s="2">
        <f t="shared" si="4"/>
        <v>600000</v>
      </c>
      <c r="Q21" s="2">
        <f t="shared" si="4"/>
        <v>600000</v>
      </c>
      <c r="R21" s="2">
        <f t="shared" si="4"/>
        <v>600000</v>
      </c>
      <c r="S21" s="2">
        <f t="shared" si="4"/>
        <v>600000</v>
      </c>
      <c r="T21" s="2">
        <f t="shared" si="4"/>
        <v>600000</v>
      </c>
      <c r="U21" s="2">
        <f t="shared" si="4"/>
        <v>600000</v>
      </c>
      <c r="V21" s="2">
        <f t="shared" si="4"/>
        <v>600000</v>
      </c>
      <c r="W21" s="2">
        <f t="shared" si="4"/>
        <v>600000</v>
      </c>
      <c r="X21" s="2">
        <f t="shared" si="4"/>
        <v>600000</v>
      </c>
      <c r="Y21" s="2">
        <f t="shared" si="4"/>
        <v>600000</v>
      </c>
      <c r="Z21" s="2">
        <f t="shared" si="4"/>
        <v>600000</v>
      </c>
      <c r="AA21" s="2">
        <f t="shared" si="4"/>
        <v>600000</v>
      </c>
      <c r="AB21" s="2">
        <f t="shared" si="4"/>
        <v>600000</v>
      </c>
      <c r="AC21" s="2">
        <f t="shared" si="4"/>
        <v>600000</v>
      </c>
      <c r="AD21" s="2">
        <f t="shared" si="4"/>
        <v>600000</v>
      </c>
      <c r="AE21" s="2">
        <f t="shared" si="4"/>
        <v>600000</v>
      </c>
      <c r="AF21" s="2">
        <f t="shared" si="4"/>
        <v>600000</v>
      </c>
      <c r="AG21" s="2">
        <f t="shared" si="4"/>
        <v>600000</v>
      </c>
      <c r="AH21" s="2">
        <f t="shared" si="4"/>
        <v>600000</v>
      </c>
      <c r="AI21" s="2">
        <f t="shared" si="4"/>
        <v>600000</v>
      </c>
      <c r="AJ21" s="2">
        <f t="shared" si="4"/>
        <v>600000</v>
      </c>
      <c r="AK21" s="2">
        <f t="shared" si="4"/>
        <v>600000</v>
      </c>
      <c r="AL21" s="2">
        <f t="shared" si="4"/>
        <v>600000</v>
      </c>
    </row>
    <row r="22" spans="1:38" x14ac:dyDescent="0.25">
      <c r="A22" s="3" t="str">
        <f>+C22</f>
        <v>Accumulated Depreciation</v>
      </c>
      <c r="B22" t="s">
        <v>156</v>
      </c>
      <c r="C22" t="s">
        <v>121</v>
      </c>
      <c r="D22" s="82">
        <v>-180000</v>
      </c>
      <c r="E22" s="82">
        <v>-183212.86</v>
      </c>
      <c r="F22" s="82">
        <v>-186405.21999999997</v>
      </c>
      <c r="G22" s="82">
        <v>-189610.29999999996</v>
      </c>
      <c r="H22" s="82">
        <v>-192814.51999999996</v>
      </c>
      <c r="I22" s="82">
        <v>-195993.80999999997</v>
      </c>
      <c r="J22" s="82">
        <v>-199163.98999999996</v>
      </c>
      <c r="K22" s="82">
        <v>-202384.27999999997</v>
      </c>
      <c r="L22" s="82">
        <v>-205558.08999999997</v>
      </c>
      <c r="M22" s="82">
        <v>-208765.45999999996</v>
      </c>
      <c r="N22" s="82">
        <v>-211948.08999999997</v>
      </c>
      <c r="O22" s="82">
        <v>-215179.60999999996</v>
      </c>
      <c r="P22" s="82">
        <v>-218353.57999999996</v>
      </c>
      <c r="Q22" s="82">
        <v>-221541.63999999996</v>
      </c>
      <c r="R22" s="82">
        <v>-224745.31999999995</v>
      </c>
      <c r="S22" s="82">
        <v>-227962.95999999996</v>
      </c>
      <c r="T22" s="82">
        <v>-231143.73999999996</v>
      </c>
      <c r="U22" s="82">
        <v>-234369.59999999995</v>
      </c>
      <c r="V22" s="82">
        <v>-237562.12999999995</v>
      </c>
      <c r="W22" s="82">
        <v>-240742.13999999996</v>
      </c>
      <c r="X22" s="82">
        <v>-243971.43999999994</v>
      </c>
      <c r="Y22" s="82">
        <v>-247195.33999999994</v>
      </c>
      <c r="Z22" s="82">
        <v>-250395.26999999993</v>
      </c>
      <c r="AA22" s="82">
        <v>-253587.88999999993</v>
      </c>
      <c r="AB22" s="82">
        <v>-256781.32999999993</v>
      </c>
      <c r="AC22" s="82">
        <v>-259985.50999999992</v>
      </c>
      <c r="AD22" s="82">
        <v>-263174.21999999991</v>
      </c>
      <c r="AE22" s="82">
        <v>-266380.66999999993</v>
      </c>
      <c r="AF22" s="82">
        <v>-269572.2099999999</v>
      </c>
      <c r="AG22" s="82">
        <v>-272759.29999999993</v>
      </c>
      <c r="AH22" s="82">
        <v>-275940.15999999992</v>
      </c>
      <c r="AI22" s="82">
        <v>-279170.74999999994</v>
      </c>
      <c r="AJ22" s="82">
        <v>-282355.69999999995</v>
      </c>
      <c r="AK22" s="82">
        <v>-285533.65999999997</v>
      </c>
      <c r="AL22" s="82">
        <v>-288738.19</v>
      </c>
    </row>
    <row r="23" spans="1:38" x14ac:dyDescent="0.25">
      <c r="A23" s="3" t="str">
        <f t="shared" si="0"/>
        <v>Vehicles &amp; Equipment - Net</v>
      </c>
      <c r="B23" t="s">
        <v>122</v>
      </c>
      <c r="D23" s="2">
        <f>+D21+D22</f>
        <v>420000</v>
      </c>
      <c r="E23" s="2">
        <f t="shared" ref="E23:AL23" si="5">+E21+E22</f>
        <v>416787.14</v>
      </c>
      <c r="F23" s="2">
        <f t="shared" si="5"/>
        <v>413594.78</v>
      </c>
      <c r="G23" s="2">
        <f t="shared" si="5"/>
        <v>410389.70000000007</v>
      </c>
      <c r="H23" s="2">
        <f t="shared" si="5"/>
        <v>407185.48000000004</v>
      </c>
      <c r="I23" s="2">
        <f t="shared" si="5"/>
        <v>404006.19000000006</v>
      </c>
      <c r="J23" s="2">
        <f t="shared" si="5"/>
        <v>400836.01</v>
      </c>
      <c r="K23" s="2">
        <f t="shared" si="5"/>
        <v>397615.72000000003</v>
      </c>
      <c r="L23" s="2">
        <f t="shared" si="5"/>
        <v>394441.91000000003</v>
      </c>
      <c r="M23" s="2">
        <f t="shared" si="5"/>
        <v>391234.54000000004</v>
      </c>
      <c r="N23" s="2">
        <f t="shared" si="5"/>
        <v>388051.91000000003</v>
      </c>
      <c r="O23" s="2">
        <f t="shared" si="5"/>
        <v>384820.39</v>
      </c>
      <c r="P23" s="2">
        <f t="shared" si="5"/>
        <v>381646.42000000004</v>
      </c>
      <c r="Q23" s="2">
        <f t="shared" si="5"/>
        <v>378458.36000000004</v>
      </c>
      <c r="R23" s="2">
        <f t="shared" si="5"/>
        <v>375254.68000000005</v>
      </c>
      <c r="S23" s="2">
        <f t="shared" si="5"/>
        <v>372037.04000000004</v>
      </c>
      <c r="T23" s="2">
        <f t="shared" si="5"/>
        <v>368856.26</v>
      </c>
      <c r="U23" s="2">
        <f t="shared" si="5"/>
        <v>365630.4</v>
      </c>
      <c r="V23" s="2">
        <f t="shared" si="5"/>
        <v>362437.87000000005</v>
      </c>
      <c r="W23" s="2">
        <f t="shared" si="5"/>
        <v>359257.86000000004</v>
      </c>
      <c r="X23" s="2">
        <f t="shared" si="5"/>
        <v>356028.56000000006</v>
      </c>
      <c r="Y23" s="2">
        <f t="shared" si="5"/>
        <v>352804.66000000003</v>
      </c>
      <c r="Z23" s="2">
        <f t="shared" si="5"/>
        <v>349604.7300000001</v>
      </c>
      <c r="AA23" s="2">
        <f t="shared" si="5"/>
        <v>346412.1100000001</v>
      </c>
      <c r="AB23" s="2">
        <f t="shared" si="5"/>
        <v>343218.67000000004</v>
      </c>
      <c r="AC23" s="2">
        <f t="shared" si="5"/>
        <v>340014.49000000011</v>
      </c>
      <c r="AD23" s="2">
        <f t="shared" si="5"/>
        <v>336825.78000000009</v>
      </c>
      <c r="AE23" s="2">
        <f t="shared" si="5"/>
        <v>333619.33000000007</v>
      </c>
      <c r="AF23" s="2">
        <f t="shared" si="5"/>
        <v>330427.7900000001</v>
      </c>
      <c r="AG23" s="2">
        <f t="shared" si="5"/>
        <v>327240.70000000007</v>
      </c>
      <c r="AH23" s="2">
        <f t="shared" si="5"/>
        <v>324059.84000000008</v>
      </c>
      <c r="AI23" s="2">
        <f t="shared" si="5"/>
        <v>320829.25000000006</v>
      </c>
      <c r="AJ23" s="2">
        <f t="shared" si="5"/>
        <v>317644.30000000005</v>
      </c>
      <c r="AK23" s="2">
        <f t="shared" si="5"/>
        <v>314466.34000000003</v>
      </c>
      <c r="AL23" s="2">
        <f t="shared" si="5"/>
        <v>311261.81</v>
      </c>
    </row>
    <row r="24" spans="1:38" x14ac:dyDescent="0.25">
      <c r="A24" s="3" t="str">
        <f t="shared" si="0"/>
        <v>TOTAL ASSETS</v>
      </c>
      <c r="B24" t="s">
        <v>123</v>
      </c>
      <c r="D24" s="83">
        <f>+D15+D23</f>
        <v>1298061.92</v>
      </c>
      <c r="E24" s="83">
        <f t="shared" ref="E24:AL24" si="6">+E15+E23</f>
        <v>1406528.65</v>
      </c>
      <c r="F24" s="83">
        <f t="shared" si="6"/>
        <v>1655384.51</v>
      </c>
      <c r="G24" s="83">
        <f t="shared" si="6"/>
        <v>1713727.48</v>
      </c>
      <c r="H24" s="83">
        <f t="shared" si="6"/>
        <v>1751863.0899999999</v>
      </c>
      <c r="I24" s="83">
        <f t="shared" si="6"/>
        <v>1716459.94</v>
      </c>
      <c r="J24" s="83">
        <f t="shared" si="6"/>
        <v>1781886.7799999998</v>
      </c>
      <c r="K24" s="83">
        <f t="shared" si="6"/>
        <v>1708977.74</v>
      </c>
      <c r="L24" s="83">
        <f t="shared" si="6"/>
        <v>1775350.2999999998</v>
      </c>
      <c r="M24" s="83">
        <f t="shared" si="6"/>
        <v>1894119.6999999997</v>
      </c>
      <c r="N24" s="83">
        <f t="shared" si="6"/>
        <v>1747904.7999999998</v>
      </c>
      <c r="O24" s="83">
        <f t="shared" si="6"/>
        <v>1769337.4</v>
      </c>
      <c r="P24" s="83">
        <f t="shared" si="6"/>
        <v>1935968.3900000001</v>
      </c>
      <c r="Q24" s="83">
        <f t="shared" si="6"/>
        <v>1848648.0599999998</v>
      </c>
      <c r="R24" s="83">
        <f t="shared" si="6"/>
        <v>1746688.5899999999</v>
      </c>
      <c r="S24" s="83">
        <f t="shared" si="6"/>
        <v>1753483.7499999998</v>
      </c>
      <c r="T24" s="83">
        <f t="shared" si="6"/>
        <v>1661575.5699999996</v>
      </c>
      <c r="U24" s="83">
        <f t="shared" si="6"/>
        <v>1701594.1799999997</v>
      </c>
      <c r="V24" s="83">
        <f t="shared" si="6"/>
        <v>1760508.0799999998</v>
      </c>
      <c r="W24" s="83">
        <f t="shared" si="6"/>
        <v>1769335.22</v>
      </c>
      <c r="X24" s="83">
        <f t="shared" si="6"/>
        <v>1676761.0399999998</v>
      </c>
      <c r="Y24" s="83">
        <f t="shared" si="6"/>
        <v>1830088.5799999996</v>
      </c>
      <c r="Z24" s="83">
        <f t="shared" si="6"/>
        <v>1599360.4</v>
      </c>
      <c r="AA24" s="83">
        <f t="shared" si="6"/>
        <v>1560046.5099999998</v>
      </c>
      <c r="AB24" s="83">
        <f t="shared" si="6"/>
        <v>1614593.13</v>
      </c>
      <c r="AC24" s="83">
        <f t="shared" si="6"/>
        <v>1594670.33</v>
      </c>
      <c r="AD24" s="83">
        <f t="shared" si="6"/>
        <v>1614544.5999999999</v>
      </c>
      <c r="AE24" s="83">
        <f t="shared" si="6"/>
        <v>1702114.5899999999</v>
      </c>
      <c r="AF24" s="83">
        <f t="shared" si="6"/>
        <v>1726576.25</v>
      </c>
      <c r="AG24" s="83">
        <f t="shared" si="6"/>
        <v>1690127.6999999997</v>
      </c>
      <c r="AH24" s="83">
        <f t="shared" si="6"/>
        <v>1866283.47</v>
      </c>
      <c r="AI24" s="83">
        <f t="shared" si="6"/>
        <v>1920075.2899999998</v>
      </c>
      <c r="AJ24" s="83">
        <f t="shared" si="6"/>
        <v>1960292.1500000001</v>
      </c>
      <c r="AK24" s="83">
        <f t="shared" si="6"/>
        <v>2032033.1500000001</v>
      </c>
      <c r="AL24" s="83">
        <f t="shared" si="6"/>
        <v>2046017.0699999998</v>
      </c>
    </row>
    <row r="25" spans="1:38" x14ac:dyDescent="0.25">
      <c r="A25" s="3">
        <f t="shared" si="0"/>
        <v>0</v>
      </c>
    </row>
    <row r="26" spans="1:38" x14ac:dyDescent="0.25">
      <c r="A26" s="3" t="str">
        <f t="shared" si="0"/>
        <v>LIABILITIES</v>
      </c>
      <c r="B26" t="s">
        <v>124</v>
      </c>
    </row>
    <row r="27" spans="1:38" x14ac:dyDescent="0.25">
      <c r="A27" s="3" t="str">
        <f t="shared" si="0"/>
        <v>CURRENT LIABILITIES</v>
      </c>
      <c r="B27" t="s">
        <v>125</v>
      </c>
    </row>
    <row r="28" spans="1:38" x14ac:dyDescent="0.25">
      <c r="A28" s="3" t="str">
        <f t="shared" ref="A28:A36" si="7">+C28</f>
        <v>Accounts Payable</v>
      </c>
      <c r="B28" t="s">
        <v>158</v>
      </c>
      <c r="C28" t="s">
        <v>107</v>
      </c>
      <c r="D28" s="82">
        <v>162061.92000000001</v>
      </c>
      <c r="E28" s="82">
        <v>293382.99</v>
      </c>
      <c r="F28" s="82">
        <v>333526.77999999997</v>
      </c>
      <c r="G28" s="82">
        <v>269285.91999999993</v>
      </c>
      <c r="H28" s="82">
        <v>294349.25999999989</v>
      </c>
      <c r="I28" s="82">
        <v>293386.68999999994</v>
      </c>
      <c r="J28" s="82">
        <v>404003.99999999988</v>
      </c>
      <c r="K28" s="82">
        <v>251713.95999999993</v>
      </c>
      <c r="L28" s="82">
        <v>301319.30999999994</v>
      </c>
      <c r="M28" s="82">
        <v>409994.09999999992</v>
      </c>
      <c r="N28" s="82">
        <v>242137.64999999997</v>
      </c>
      <c r="O28" s="82">
        <v>266306.45999999996</v>
      </c>
      <c r="P28" s="82">
        <v>336739.49</v>
      </c>
      <c r="Q28" s="82">
        <v>309625.37000000005</v>
      </c>
      <c r="R28" s="82">
        <v>333635.02000000008</v>
      </c>
      <c r="S28" s="82">
        <v>429518.44000000006</v>
      </c>
      <c r="T28" s="82">
        <v>303241.61999999994</v>
      </c>
      <c r="U28" s="82">
        <v>409403.92999999988</v>
      </c>
      <c r="V28" s="82">
        <v>443648.53999999986</v>
      </c>
      <c r="W28" s="82">
        <v>480907.83999999985</v>
      </c>
      <c r="X28" s="82">
        <v>299269.23999999987</v>
      </c>
      <c r="Y28" s="82">
        <v>442731.03999999969</v>
      </c>
      <c r="Z28" s="82">
        <v>356447.28999999969</v>
      </c>
      <c r="AA28" s="82">
        <v>398207.91999999969</v>
      </c>
      <c r="AB28" s="82">
        <v>292517.31999999972</v>
      </c>
      <c r="AC28" s="82">
        <v>286216.95999999973</v>
      </c>
      <c r="AD28" s="82">
        <v>329734.97999999975</v>
      </c>
      <c r="AE28" s="82">
        <v>356005.87999999977</v>
      </c>
      <c r="AF28" s="82">
        <v>402023.94999999984</v>
      </c>
      <c r="AG28" s="82">
        <v>270131.1999999999</v>
      </c>
      <c r="AH28" s="82">
        <v>352388.58999999979</v>
      </c>
      <c r="AI28" s="82">
        <v>332170.87999999983</v>
      </c>
      <c r="AJ28" s="82">
        <v>389416.21999999986</v>
      </c>
      <c r="AK28" s="82">
        <v>297779.93999999983</v>
      </c>
      <c r="AL28" s="82">
        <v>304813.50999999983</v>
      </c>
    </row>
    <row r="29" spans="1:38" x14ac:dyDescent="0.25">
      <c r="A29" s="3" t="str">
        <f t="shared" si="7"/>
        <v>Accrued Payroll</v>
      </c>
      <c r="B29" t="s">
        <v>161</v>
      </c>
      <c r="C29" t="s">
        <v>162</v>
      </c>
      <c r="D29" s="82">
        <v>40000</v>
      </c>
      <c r="E29" s="82">
        <v>40000</v>
      </c>
      <c r="F29" s="82">
        <v>40000</v>
      </c>
      <c r="G29" s="82">
        <v>40000</v>
      </c>
      <c r="H29" s="82">
        <v>40000</v>
      </c>
      <c r="I29" s="82">
        <v>40000</v>
      </c>
      <c r="J29" s="82">
        <v>40000</v>
      </c>
      <c r="K29" s="82">
        <v>40000</v>
      </c>
      <c r="L29" s="82">
        <v>40000</v>
      </c>
      <c r="M29" s="82">
        <v>40000</v>
      </c>
      <c r="N29" s="82">
        <v>40000</v>
      </c>
      <c r="O29" s="82">
        <v>40000</v>
      </c>
      <c r="P29" s="82">
        <v>40000</v>
      </c>
      <c r="Q29" s="82">
        <v>40000</v>
      </c>
      <c r="R29" s="82">
        <v>40000</v>
      </c>
      <c r="S29" s="82">
        <v>40000</v>
      </c>
      <c r="T29" s="82">
        <v>40000</v>
      </c>
      <c r="U29" s="82">
        <v>40000</v>
      </c>
      <c r="V29" s="82">
        <v>40000</v>
      </c>
      <c r="W29" s="82">
        <v>40000</v>
      </c>
      <c r="X29" s="82">
        <v>40000</v>
      </c>
      <c r="Y29" s="82">
        <v>40000</v>
      </c>
      <c r="Z29" s="82">
        <v>40000</v>
      </c>
      <c r="AA29" s="82">
        <v>40000</v>
      </c>
      <c r="AB29" s="82">
        <v>40000</v>
      </c>
      <c r="AC29" s="82">
        <v>40000</v>
      </c>
      <c r="AD29" s="82">
        <v>40000</v>
      </c>
      <c r="AE29" s="82">
        <v>40000</v>
      </c>
      <c r="AF29" s="82">
        <v>40000</v>
      </c>
      <c r="AG29" s="82">
        <v>40000</v>
      </c>
      <c r="AH29" s="82">
        <v>40000</v>
      </c>
      <c r="AI29" s="82">
        <v>40000</v>
      </c>
      <c r="AJ29" s="82">
        <v>40000</v>
      </c>
      <c r="AK29" s="82">
        <v>40000</v>
      </c>
      <c r="AL29" s="82">
        <v>40000</v>
      </c>
    </row>
    <row r="30" spans="1:38" x14ac:dyDescent="0.25">
      <c r="A30" s="3" t="str">
        <f t="shared" si="7"/>
        <v>Accrued Payroll Taxes</v>
      </c>
      <c r="B30" t="s">
        <v>163</v>
      </c>
      <c r="C30" t="s">
        <v>126</v>
      </c>
      <c r="D30" s="82">
        <v>15000</v>
      </c>
      <c r="E30" s="82">
        <v>15000</v>
      </c>
      <c r="F30" s="82">
        <v>15000</v>
      </c>
      <c r="G30" s="82">
        <v>15000</v>
      </c>
      <c r="H30" s="82">
        <v>15000</v>
      </c>
      <c r="I30" s="82">
        <v>15000</v>
      </c>
      <c r="J30" s="82">
        <v>15000</v>
      </c>
      <c r="K30" s="82">
        <v>15000</v>
      </c>
      <c r="L30" s="82">
        <v>15000</v>
      </c>
      <c r="M30" s="82">
        <v>15000</v>
      </c>
      <c r="N30" s="82">
        <v>15000</v>
      </c>
      <c r="O30" s="82">
        <v>15000</v>
      </c>
      <c r="P30" s="82">
        <v>15000</v>
      </c>
      <c r="Q30" s="82">
        <v>15000</v>
      </c>
      <c r="R30" s="82">
        <v>15000</v>
      </c>
      <c r="S30" s="82">
        <v>15000</v>
      </c>
      <c r="T30" s="82">
        <v>15000</v>
      </c>
      <c r="U30" s="82">
        <v>15000</v>
      </c>
      <c r="V30" s="82">
        <v>15000</v>
      </c>
      <c r="W30" s="82">
        <v>15000</v>
      </c>
      <c r="X30" s="82">
        <v>15000</v>
      </c>
      <c r="Y30" s="82">
        <v>15000</v>
      </c>
      <c r="Z30" s="82">
        <v>15000</v>
      </c>
      <c r="AA30" s="82">
        <v>15000</v>
      </c>
      <c r="AB30" s="82">
        <v>15000</v>
      </c>
      <c r="AC30" s="82">
        <v>15000</v>
      </c>
      <c r="AD30" s="82">
        <v>15000</v>
      </c>
      <c r="AE30" s="82">
        <v>15000</v>
      </c>
      <c r="AF30" s="82">
        <v>15000</v>
      </c>
      <c r="AG30" s="82">
        <v>15000</v>
      </c>
      <c r="AH30" s="82">
        <v>15000</v>
      </c>
      <c r="AI30" s="82">
        <v>15000</v>
      </c>
      <c r="AJ30" s="82">
        <v>15000</v>
      </c>
      <c r="AK30" s="82">
        <v>15000</v>
      </c>
      <c r="AL30" s="82">
        <v>15000</v>
      </c>
    </row>
    <row r="31" spans="1:38" x14ac:dyDescent="0.25">
      <c r="A31" s="3" t="str">
        <f t="shared" si="7"/>
        <v>Accrued Insurance</v>
      </c>
      <c r="B31" t="s">
        <v>164</v>
      </c>
      <c r="C31" t="s">
        <v>165</v>
      </c>
      <c r="D31" s="82">
        <v>8000</v>
      </c>
      <c r="E31" s="82">
        <v>8000</v>
      </c>
      <c r="F31" s="82">
        <v>8000</v>
      </c>
      <c r="G31" s="82">
        <v>8000</v>
      </c>
      <c r="H31" s="82">
        <v>8000</v>
      </c>
      <c r="I31" s="82">
        <v>8000</v>
      </c>
      <c r="J31" s="82">
        <v>8000</v>
      </c>
      <c r="K31" s="82">
        <v>8000</v>
      </c>
      <c r="L31" s="82">
        <v>8000</v>
      </c>
      <c r="M31" s="82">
        <v>8000</v>
      </c>
      <c r="N31" s="82">
        <v>8000</v>
      </c>
      <c r="O31" s="82">
        <v>8000</v>
      </c>
      <c r="P31" s="82">
        <v>8000</v>
      </c>
      <c r="Q31" s="82">
        <v>8000</v>
      </c>
      <c r="R31" s="82">
        <v>8000</v>
      </c>
      <c r="S31" s="82">
        <v>8000</v>
      </c>
      <c r="T31" s="82">
        <v>8000</v>
      </c>
      <c r="U31" s="82">
        <v>8000</v>
      </c>
      <c r="V31" s="82">
        <v>8000</v>
      </c>
      <c r="W31" s="82">
        <v>8000</v>
      </c>
      <c r="X31" s="82">
        <v>8000</v>
      </c>
      <c r="Y31" s="82">
        <v>8000</v>
      </c>
      <c r="Z31" s="82">
        <v>8000</v>
      </c>
      <c r="AA31" s="82">
        <v>8000</v>
      </c>
      <c r="AB31" s="82">
        <v>8000</v>
      </c>
      <c r="AC31" s="82">
        <v>8000</v>
      </c>
      <c r="AD31" s="82">
        <v>8000</v>
      </c>
      <c r="AE31" s="82">
        <v>8000</v>
      </c>
      <c r="AF31" s="82">
        <v>8000</v>
      </c>
      <c r="AG31" s="82">
        <v>8000</v>
      </c>
      <c r="AH31" s="82">
        <v>8000</v>
      </c>
      <c r="AI31" s="82">
        <v>8000</v>
      </c>
      <c r="AJ31" s="82">
        <v>8000</v>
      </c>
      <c r="AK31" s="82">
        <v>8000</v>
      </c>
      <c r="AL31" s="82">
        <v>8000</v>
      </c>
    </row>
    <row r="32" spans="1:38" x14ac:dyDescent="0.25">
      <c r="A32" s="3" t="str">
        <f t="shared" si="7"/>
        <v>Accrued Bonus</v>
      </c>
      <c r="B32" t="s">
        <v>166</v>
      </c>
      <c r="C32" t="s">
        <v>127</v>
      </c>
      <c r="D32" s="82">
        <v>34364.870000000003</v>
      </c>
      <c r="E32" s="82">
        <v>34364.870000000003</v>
      </c>
      <c r="F32" s="82">
        <v>34364.870000000003</v>
      </c>
      <c r="G32" s="82">
        <v>34364.870000000003</v>
      </c>
      <c r="H32" s="82">
        <v>34364.870000000003</v>
      </c>
      <c r="I32" s="82">
        <v>34364.870000000003</v>
      </c>
      <c r="J32" s="82">
        <v>34364.870000000003</v>
      </c>
      <c r="K32" s="82">
        <v>34364.870000000003</v>
      </c>
      <c r="L32" s="82">
        <v>34364.870000000003</v>
      </c>
      <c r="M32" s="82">
        <v>34364.870000000003</v>
      </c>
      <c r="N32" s="82">
        <v>34364.870000000003</v>
      </c>
      <c r="O32" s="82">
        <v>34364.870000000003</v>
      </c>
      <c r="P32" s="82">
        <v>68729.740000000005</v>
      </c>
      <c r="Q32" s="82">
        <v>34364.870000000003</v>
      </c>
      <c r="R32" s="82">
        <v>34364.870000000003</v>
      </c>
      <c r="S32" s="82">
        <v>34364.870000000003</v>
      </c>
      <c r="T32" s="82">
        <v>34364.870000000003</v>
      </c>
      <c r="U32" s="82">
        <v>34364.870000000003</v>
      </c>
      <c r="V32" s="82">
        <v>34364.870000000003</v>
      </c>
      <c r="W32" s="82">
        <v>34364.870000000003</v>
      </c>
      <c r="X32" s="82">
        <v>34364.870000000003</v>
      </c>
      <c r="Y32" s="82">
        <v>34364.870000000003</v>
      </c>
      <c r="Z32" s="82">
        <v>34364.870000000003</v>
      </c>
      <c r="AA32" s="82">
        <v>34364.870000000003</v>
      </c>
      <c r="AB32" s="82">
        <v>70583.929999999993</v>
      </c>
      <c r="AC32" s="82">
        <v>34364.869999999995</v>
      </c>
      <c r="AD32" s="82">
        <v>37657.511818181803</v>
      </c>
      <c r="AE32" s="82">
        <v>40950.153636363611</v>
      </c>
      <c r="AF32" s="82">
        <v>44242.795454545419</v>
      </c>
      <c r="AG32" s="82">
        <v>47535.437272727228</v>
      </c>
      <c r="AH32" s="82">
        <v>50828.079090909036</v>
      </c>
      <c r="AI32" s="82">
        <v>54120.720909090844</v>
      </c>
      <c r="AJ32" s="82">
        <v>57413.362727272652</v>
      </c>
      <c r="AK32" s="82">
        <v>60706.00454545446</v>
      </c>
      <c r="AL32" s="82">
        <v>63998.646363636268</v>
      </c>
    </row>
    <row r="33" spans="1:38" x14ac:dyDescent="0.25">
      <c r="A33" s="3" t="str">
        <f t="shared" si="7"/>
        <v>Accrued Legal Settlement</v>
      </c>
      <c r="B33" t="s">
        <v>167</v>
      </c>
      <c r="C33" t="s">
        <v>168</v>
      </c>
      <c r="D33" s="82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100000</v>
      </c>
      <c r="K33" s="82">
        <v>100000</v>
      </c>
      <c r="L33" s="82">
        <v>100000</v>
      </c>
      <c r="M33" s="82">
        <v>100000</v>
      </c>
      <c r="N33" s="82">
        <v>100000</v>
      </c>
      <c r="O33" s="82">
        <v>100000</v>
      </c>
      <c r="P33" s="82">
        <v>100000</v>
      </c>
      <c r="Q33" s="82">
        <v>100000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0</v>
      </c>
      <c r="AB33" s="82">
        <v>0</v>
      </c>
      <c r="AC33" s="82">
        <v>0</v>
      </c>
      <c r="AD33" s="82">
        <v>0</v>
      </c>
      <c r="AE33" s="82">
        <v>0</v>
      </c>
      <c r="AF33" s="82">
        <v>0</v>
      </c>
      <c r="AG33" s="82">
        <v>0</v>
      </c>
      <c r="AH33" s="82">
        <v>0</v>
      </c>
      <c r="AI33" s="82">
        <v>0</v>
      </c>
      <c r="AJ33" s="82">
        <v>0</v>
      </c>
      <c r="AK33" s="82">
        <v>0</v>
      </c>
      <c r="AL33" s="82">
        <v>0</v>
      </c>
    </row>
    <row r="34" spans="1:38" x14ac:dyDescent="0.25">
      <c r="A34" s="3" t="str">
        <f t="shared" si="7"/>
        <v>Accrued Other Expenses</v>
      </c>
      <c r="B34" t="s">
        <v>169</v>
      </c>
      <c r="C34" t="s">
        <v>170</v>
      </c>
      <c r="D34" s="82">
        <v>5000</v>
      </c>
      <c r="E34" s="82">
        <v>5000</v>
      </c>
      <c r="F34" s="82">
        <v>5000</v>
      </c>
      <c r="G34" s="82">
        <v>5000</v>
      </c>
      <c r="H34" s="82">
        <v>5000</v>
      </c>
      <c r="I34" s="82">
        <v>5000</v>
      </c>
      <c r="J34" s="82">
        <v>5000</v>
      </c>
      <c r="K34" s="82">
        <v>5000</v>
      </c>
      <c r="L34" s="82">
        <v>5000</v>
      </c>
      <c r="M34" s="82">
        <v>5000</v>
      </c>
      <c r="N34" s="82">
        <v>5000</v>
      </c>
      <c r="O34" s="82">
        <v>5000</v>
      </c>
      <c r="P34" s="82">
        <v>5000</v>
      </c>
      <c r="Q34" s="82">
        <v>5000</v>
      </c>
      <c r="R34" s="82">
        <v>5000</v>
      </c>
      <c r="S34" s="82">
        <v>5000</v>
      </c>
      <c r="T34" s="82">
        <v>5000</v>
      </c>
      <c r="U34" s="82">
        <v>5000</v>
      </c>
      <c r="V34" s="82">
        <v>5000</v>
      </c>
      <c r="W34" s="82">
        <v>5000</v>
      </c>
      <c r="X34" s="82">
        <v>5000</v>
      </c>
      <c r="Y34" s="82">
        <v>5000</v>
      </c>
      <c r="Z34" s="82">
        <v>5000</v>
      </c>
      <c r="AA34" s="82">
        <v>5000</v>
      </c>
      <c r="AB34" s="82">
        <v>5000</v>
      </c>
      <c r="AC34" s="82">
        <v>5000</v>
      </c>
      <c r="AD34" s="82">
        <v>5000</v>
      </c>
      <c r="AE34" s="82">
        <v>5000</v>
      </c>
      <c r="AF34" s="82">
        <v>5000</v>
      </c>
      <c r="AG34" s="82">
        <v>5000</v>
      </c>
      <c r="AH34" s="82">
        <v>5000</v>
      </c>
      <c r="AI34" s="82">
        <v>5000</v>
      </c>
      <c r="AJ34" s="82">
        <v>5000</v>
      </c>
      <c r="AK34" s="82">
        <v>5000</v>
      </c>
      <c r="AL34" s="82">
        <v>5000</v>
      </c>
    </row>
    <row r="35" spans="1:38" x14ac:dyDescent="0.25">
      <c r="A35" s="3" t="str">
        <f t="shared" si="7"/>
        <v>Contract Liability (Overbillings)</v>
      </c>
      <c r="B35" t="s">
        <v>160</v>
      </c>
      <c r="C35" t="s">
        <v>159</v>
      </c>
      <c r="D35" s="82">
        <v>0</v>
      </c>
      <c r="E35" s="82">
        <v>25000</v>
      </c>
      <c r="F35" s="82">
        <v>25000</v>
      </c>
      <c r="G35" s="82">
        <v>25000</v>
      </c>
      <c r="H35" s="82">
        <v>25000</v>
      </c>
      <c r="I35" s="82">
        <v>25000</v>
      </c>
      <c r="J35" s="82">
        <v>25000</v>
      </c>
      <c r="K35" s="82">
        <v>25000</v>
      </c>
      <c r="L35" s="82">
        <v>25000</v>
      </c>
      <c r="M35" s="82">
        <v>25000</v>
      </c>
      <c r="N35" s="82">
        <v>25000</v>
      </c>
      <c r="O35" s="82">
        <v>25000</v>
      </c>
      <c r="P35" s="82">
        <v>25000</v>
      </c>
      <c r="Q35" s="82">
        <v>73523.45</v>
      </c>
      <c r="R35" s="82">
        <v>73523.45</v>
      </c>
      <c r="S35" s="82">
        <v>73523.45</v>
      </c>
      <c r="T35" s="82">
        <v>73523.45</v>
      </c>
      <c r="U35" s="82">
        <v>73523.45</v>
      </c>
      <c r="V35" s="82">
        <v>73523.45</v>
      </c>
      <c r="W35" s="82">
        <v>73523.45</v>
      </c>
      <c r="X35" s="82">
        <v>73523.45</v>
      </c>
      <c r="Y35" s="82">
        <v>73523.45</v>
      </c>
      <c r="Z35" s="82">
        <v>73523.45</v>
      </c>
      <c r="AA35" s="82">
        <v>73523.45</v>
      </c>
      <c r="AB35" s="82">
        <v>73523.45</v>
      </c>
      <c r="AC35" s="82">
        <v>126414.68</v>
      </c>
      <c r="AD35" s="82">
        <v>126414.68</v>
      </c>
      <c r="AE35" s="82">
        <v>126414.68</v>
      </c>
      <c r="AF35" s="82">
        <v>126414.68</v>
      </c>
      <c r="AG35" s="82">
        <v>126414.68</v>
      </c>
      <c r="AH35" s="82">
        <v>126414.68</v>
      </c>
      <c r="AI35" s="82">
        <v>126414.68</v>
      </c>
      <c r="AJ35" s="82">
        <v>126414.68</v>
      </c>
      <c r="AK35" s="82">
        <v>126414.68</v>
      </c>
      <c r="AL35" s="82">
        <v>126414.68</v>
      </c>
    </row>
    <row r="36" spans="1:38" x14ac:dyDescent="0.25">
      <c r="A36" s="3" t="str">
        <f t="shared" si="7"/>
        <v>Line of Credit</v>
      </c>
      <c r="B36" t="s">
        <v>171</v>
      </c>
      <c r="C36" t="s">
        <v>128</v>
      </c>
      <c r="D36" s="82">
        <v>200000</v>
      </c>
      <c r="E36" s="82">
        <v>200000</v>
      </c>
      <c r="F36" s="82">
        <v>200000</v>
      </c>
      <c r="G36" s="82">
        <v>250000</v>
      </c>
      <c r="H36" s="82">
        <v>250000</v>
      </c>
      <c r="I36" s="82">
        <v>250000</v>
      </c>
      <c r="J36" s="82">
        <v>220000</v>
      </c>
      <c r="K36" s="82">
        <v>220000</v>
      </c>
      <c r="L36" s="82">
        <v>220000</v>
      </c>
      <c r="M36" s="82">
        <v>260000</v>
      </c>
      <c r="N36" s="82">
        <v>260000</v>
      </c>
      <c r="O36" s="82">
        <v>260000</v>
      </c>
      <c r="P36" s="82">
        <v>260000</v>
      </c>
      <c r="Q36" s="82">
        <v>235000</v>
      </c>
      <c r="R36" s="82">
        <v>235000</v>
      </c>
      <c r="S36" s="82">
        <v>235000</v>
      </c>
      <c r="T36" s="82">
        <v>200000</v>
      </c>
      <c r="U36" s="82">
        <v>200000</v>
      </c>
      <c r="V36" s="82">
        <v>200000</v>
      </c>
      <c r="W36" s="82">
        <v>260000</v>
      </c>
      <c r="X36" s="82">
        <v>260000</v>
      </c>
      <c r="Y36" s="82">
        <v>260000</v>
      </c>
      <c r="Z36" s="82">
        <v>220000</v>
      </c>
      <c r="AA36" s="82">
        <v>220000</v>
      </c>
      <c r="AB36" s="82">
        <v>220000</v>
      </c>
      <c r="AC36" s="82">
        <v>220000</v>
      </c>
      <c r="AD36" s="82">
        <v>170000</v>
      </c>
      <c r="AE36" s="82">
        <v>170000</v>
      </c>
      <c r="AF36" s="82">
        <v>170000</v>
      </c>
      <c r="AG36" s="82">
        <v>200000</v>
      </c>
      <c r="AH36" s="82">
        <v>200000</v>
      </c>
      <c r="AI36" s="82">
        <v>200000</v>
      </c>
      <c r="AJ36" s="82">
        <v>200000</v>
      </c>
      <c r="AK36" s="82">
        <v>200000</v>
      </c>
      <c r="AL36" s="82">
        <v>200000</v>
      </c>
    </row>
    <row r="37" spans="1:38" x14ac:dyDescent="0.25">
      <c r="A37" s="3" t="str">
        <f t="shared" si="0"/>
        <v>Total Current Liabilities</v>
      </c>
      <c r="B37" t="s">
        <v>129</v>
      </c>
      <c r="D37" s="2">
        <f>SUM(D28:D36)</f>
        <v>464426.79000000004</v>
      </c>
      <c r="E37" s="2">
        <f t="shared" ref="E37:AL37" si="8">SUM(E28:E36)</f>
        <v>620747.86</v>
      </c>
      <c r="F37" s="2">
        <f t="shared" si="8"/>
        <v>660891.64999999991</v>
      </c>
      <c r="G37" s="2">
        <f t="shared" si="8"/>
        <v>646650.78999999992</v>
      </c>
      <c r="H37" s="2">
        <f t="shared" si="8"/>
        <v>671714.12999999989</v>
      </c>
      <c r="I37" s="2">
        <f t="shared" si="8"/>
        <v>670751.55999999994</v>
      </c>
      <c r="J37" s="2">
        <f t="shared" si="8"/>
        <v>851368.86999999988</v>
      </c>
      <c r="K37" s="2">
        <f t="shared" si="8"/>
        <v>699078.83</v>
      </c>
      <c r="L37" s="2">
        <f t="shared" si="8"/>
        <v>748684.17999999993</v>
      </c>
      <c r="M37" s="2">
        <f t="shared" si="8"/>
        <v>897358.97</v>
      </c>
      <c r="N37" s="2">
        <f t="shared" si="8"/>
        <v>729502.52</v>
      </c>
      <c r="O37" s="2">
        <f t="shared" si="8"/>
        <v>753671.33</v>
      </c>
      <c r="P37" s="2">
        <f t="shared" si="8"/>
        <v>858469.23</v>
      </c>
      <c r="Q37" s="2">
        <f t="shared" si="8"/>
        <v>820513.69000000006</v>
      </c>
      <c r="R37" s="2">
        <f t="shared" si="8"/>
        <v>744523.34000000008</v>
      </c>
      <c r="S37" s="2">
        <f t="shared" si="8"/>
        <v>840406.76</v>
      </c>
      <c r="T37" s="2">
        <f t="shared" si="8"/>
        <v>679129.94</v>
      </c>
      <c r="U37" s="2">
        <f t="shared" si="8"/>
        <v>785292.24999999988</v>
      </c>
      <c r="V37" s="2">
        <f t="shared" si="8"/>
        <v>819536.85999999987</v>
      </c>
      <c r="W37" s="2">
        <f t="shared" si="8"/>
        <v>916796.1599999998</v>
      </c>
      <c r="X37" s="2">
        <f t="shared" si="8"/>
        <v>735157.55999999982</v>
      </c>
      <c r="Y37" s="2">
        <f t="shared" si="8"/>
        <v>878619.35999999964</v>
      </c>
      <c r="Z37" s="2">
        <f t="shared" si="8"/>
        <v>752335.60999999964</v>
      </c>
      <c r="AA37" s="2">
        <f t="shared" si="8"/>
        <v>794096.23999999964</v>
      </c>
      <c r="AB37" s="2">
        <f t="shared" si="8"/>
        <v>724624.69999999972</v>
      </c>
      <c r="AC37" s="2">
        <f t="shared" si="8"/>
        <v>734996.50999999978</v>
      </c>
      <c r="AD37" s="2">
        <f t="shared" si="8"/>
        <v>731807.17181818152</v>
      </c>
      <c r="AE37" s="2">
        <f t="shared" si="8"/>
        <v>761370.71363636339</v>
      </c>
      <c r="AF37" s="2">
        <f t="shared" si="8"/>
        <v>810681.4254545453</v>
      </c>
      <c r="AG37" s="2">
        <f t="shared" si="8"/>
        <v>712081.31727272714</v>
      </c>
      <c r="AH37" s="2">
        <f t="shared" si="8"/>
        <v>797631.34909090889</v>
      </c>
      <c r="AI37" s="2">
        <f t="shared" si="8"/>
        <v>780706.28090909065</v>
      </c>
      <c r="AJ37" s="2">
        <f t="shared" si="8"/>
        <v>841244.26272727246</v>
      </c>
      <c r="AK37" s="2">
        <f t="shared" si="8"/>
        <v>752900.62454545428</v>
      </c>
      <c r="AL37" s="2">
        <f t="shared" si="8"/>
        <v>763226.83636363607</v>
      </c>
    </row>
    <row r="38" spans="1:38" x14ac:dyDescent="0.25">
      <c r="A38" s="3">
        <f t="shared" si="0"/>
        <v>0</v>
      </c>
    </row>
    <row r="39" spans="1:38" x14ac:dyDescent="0.25">
      <c r="A39" s="3" t="str">
        <f t="shared" si="0"/>
        <v>LONG TERM LIABILITIES</v>
      </c>
      <c r="B39" t="s">
        <v>130</v>
      </c>
    </row>
    <row r="40" spans="1:38" x14ac:dyDescent="0.25">
      <c r="A40" s="3" t="str">
        <f t="shared" ref="A40:A41" si="9">+C40</f>
        <v>Vehicle Loans</v>
      </c>
      <c r="B40" t="s">
        <v>172</v>
      </c>
      <c r="C40" t="s">
        <v>173</v>
      </c>
      <c r="D40" s="82">
        <v>150000</v>
      </c>
      <c r="E40" s="82">
        <v>145500</v>
      </c>
      <c r="F40" s="82">
        <v>141000</v>
      </c>
      <c r="G40" s="82">
        <v>136500</v>
      </c>
      <c r="H40" s="82">
        <v>132000</v>
      </c>
      <c r="I40" s="82">
        <v>127500</v>
      </c>
      <c r="J40" s="82">
        <v>123000</v>
      </c>
      <c r="K40" s="82">
        <v>118500</v>
      </c>
      <c r="L40" s="82">
        <v>114000</v>
      </c>
      <c r="M40" s="82">
        <v>109500</v>
      </c>
      <c r="N40" s="82">
        <v>105000</v>
      </c>
      <c r="O40" s="82">
        <v>100500</v>
      </c>
      <c r="P40" s="82">
        <v>96000</v>
      </c>
      <c r="Q40" s="82">
        <v>91500</v>
      </c>
      <c r="R40" s="82">
        <v>87000</v>
      </c>
      <c r="S40" s="82">
        <v>82500</v>
      </c>
      <c r="T40" s="82">
        <v>78000</v>
      </c>
      <c r="U40" s="82">
        <v>73500</v>
      </c>
      <c r="V40" s="82">
        <v>69000</v>
      </c>
      <c r="W40" s="82">
        <v>64500</v>
      </c>
      <c r="X40" s="82">
        <v>60000</v>
      </c>
      <c r="Y40" s="82">
        <v>55500</v>
      </c>
      <c r="Z40" s="82">
        <v>51000</v>
      </c>
      <c r="AA40" s="82">
        <v>46500</v>
      </c>
      <c r="AB40" s="82">
        <v>42000</v>
      </c>
      <c r="AC40" s="82">
        <v>37500</v>
      </c>
      <c r="AD40" s="82">
        <v>33000</v>
      </c>
      <c r="AE40" s="82">
        <v>28500</v>
      </c>
      <c r="AF40" s="82">
        <v>24000</v>
      </c>
      <c r="AG40" s="82">
        <v>19500</v>
      </c>
      <c r="AH40" s="82">
        <v>15000</v>
      </c>
      <c r="AI40" s="82">
        <v>10500</v>
      </c>
      <c r="AJ40" s="82">
        <v>6000</v>
      </c>
      <c r="AK40" s="82">
        <v>1500</v>
      </c>
      <c r="AL40" s="82">
        <v>-3000</v>
      </c>
    </row>
    <row r="41" spans="1:38" x14ac:dyDescent="0.25">
      <c r="A41" s="3" t="str">
        <f t="shared" si="9"/>
        <v>Equipment Loans</v>
      </c>
      <c r="B41" t="s">
        <v>174</v>
      </c>
      <c r="C41" t="s">
        <v>175</v>
      </c>
      <c r="D41" s="82">
        <v>80000</v>
      </c>
      <c r="E41" s="82">
        <v>77500</v>
      </c>
      <c r="F41" s="82">
        <v>75000</v>
      </c>
      <c r="G41" s="82">
        <v>72500</v>
      </c>
      <c r="H41" s="82">
        <v>70000</v>
      </c>
      <c r="I41" s="82">
        <v>67500</v>
      </c>
      <c r="J41" s="82">
        <v>65000</v>
      </c>
      <c r="K41" s="82">
        <v>62500</v>
      </c>
      <c r="L41" s="82">
        <v>60000</v>
      </c>
      <c r="M41" s="82">
        <v>57500</v>
      </c>
      <c r="N41" s="82">
        <v>55000</v>
      </c>
      <c r="O41" s="82">
        <v>52500</v>
      </c>
      <c r="P41" s="82">
        <v>50000</v>
      </c>
      <c r="Q41" s="82">
        <v>47500</v>
      </c>
      <c r="R41" s="82">
        <v>45000</v>
      </c>
      <c r="S41" s="82">
        <v>42500</v>
      </c>
      <c r="T41" s="82">
        <v>40000</v>
      </c>
      <c r="U41" s="82">
        <v>37500</v>
      </c>
      <c r="V41" s="82">
        <v>35000</v>
      </c>
      <c r="W41" s="82">
        <v>32500</v>
      </c>
      <c r="X41" s="82">
        <v>30000</v>
      </c>
      <c r="Y41" s="82">
        <v>27500</v>
      </c>
      <c r="Z41" s="82">
        <v>25000</v>
      </c>
      <c r="AA41" s="82">
        <v>22500</v>
      </c>
      <c r="AB41" s="82">
        <v>20000</v>
      </c>
      <c r="AC41" s="82">
        <v>17500</v>
      </c>
      <c r="AD41" s="82">
        <v>15000</v>
      </c>
      <c r="AE41" s="82">
        <v>12500</v>
      </c>
      <c r="AF41" s="82">
        <v>10000</v>
      </c>
      <c r="AG41" s="82">
        <v>7500</v>
      </c>
      <c r="AH41" s="82">
        <v>5000</v>
      </c>
      <c r="AI41" s="82">
        <v>2500</v>
      </c>
      <c r="AJ41" s="82">
        <v>0</v>
      </c>
      <c r="AK41" s="82">
        <v>-2500</v>
      </c>
      <c r="AL41" s="82">
        <v>-5000</v>
      </c>
    </row>
    <row r="42" spans="1:38" x14ac:dyDescent="0.25">
      <c r="A42" s="3" t="str">
        <f t="shared" si="0"/>
        <v>Total Long Term Liabilities</v>
      </c>
      <c r="B42" t="s">
        <v>131</v>
      </c>
      <c r="D42" s="2">
        <f>SUM(D40:D41)</f>
        <v>230000</v>
      </c>
      <c r="E42" s="2">
        <f t="shared" ref="E42:AL42" si="10">SUM(E40:E41)</f>
        <v>223000</v>
      </c>
      <c r="F42" s="2">
        <f t="shared" si="10"/>
        <v>216000</v>
      </c>
      <c r="G42" s="2">
        <f t="shared" si="10"/>
        <v>209000</v>
      </c>
      <c r="H42" s="2">
        <f t="shared" si="10"/>
        <v>202000</v>
      </c>
      <c r="I42" s="2">
        <f t="shared" si="10"/>
        <v>195000</v>
      </c>
      <c r="J42" s="2">
        <f t="shared" si="10"/>
        <v>188000</v>
      </c>
      <c r="K42" s="2">
        <f t="shared" si="10"/>
        <v>181000</v>
      </c>
      <c r="L42" s="2">
        <f t="shared" si="10"/>
        <v>174000</v>
      </c>
      <c r="M42" s="2">
        <f t="shared" si="10"/>
        <v>167000</v>
      </c>
      <c r="N42" s="2">
        <f t="shared" si="10"/>
        <v>160000</v>
      </c>
      <c r="O42" s="2">
        <f t="shared" si="10"/>
        <v>153000</v>
      </c>
      <c r="P42" s="2">
        <f t="shared" si="10"/>
        <v>146000</v>
      </c>
      <c r="Q42" s="2">
        <f t="shared" si="10"/>
        <v>139000</v>
      </c>
      <c r="R42" s="2">
        <f t="shared" si="10"/>
        <v>132000</v>
      </c>
      <c r="S42" s="2">
        <f t="shared" si="10"/>
        <v>125000</v>
      </c>
      <c r="T42" s="2">
        <f t="shared" si="10"/>
        <v>118000</v>
      </c>
      <c r="U42" s="2">
        <f t="shared" si="10"/>
        <v>111000</v>
      </c>
      <c r="V42" s="2">
        <f t="shared" si="10"/>
        <v>104000</v>
      </c>
      <c r="W42" s="2">
        <f t="shared" si="10"/>
        <v>97000</v>
      </c>
      <c r="X42" s="2">
        <f t="shared" si="10"/>
        <v>90000</v>
      </c>
      <c r="Y42" s="2">
        <f t="shared" si="10"/>
        <v>83000</v>
      </c>
      <c r="Z42" s="2">
        <f t="shared" si="10"/>
        <v>76000</v>
      </c>
      <c r="AA42" s="2">
        <f t="shared" si="10"/>
        <v>69000</v>
      </c>
      <c r="AB42" s="2">
        <f t="shared" si="10"/>
        <v>62000</v>
      </c>
      <c r="AC42" s="2">
        <f t="shared" si="10"/>
        <v>55000</v>
      </c>
      <c r="AD42" s="2">
        <f t="shared" si="10"/>
        <v>48000</v>
      </c>
      <c r="AE42" s="2">
        <f t="shared" si="10"/>
        <v>41000</v>
      </c>
      <c r="AF42" s="2">
        <f t="shared" si="10"/>
        <v>34000</v>
      </c>
      <c r="AG42" s="2">
        <f t="shared" si="10"/>
        <v>27000</v>
      </c>
      <c r="AH42" s="2">
        <f t="shared" si="10"/>
        <v>20000</v>
      </c>
      <c r="AI42" s="2">
        <f t="shared" si="10"/>
        <v>13000</v>
      </c>
      <c r="AJ42" s="2">
        <f t="shared" si="10"/>
        <v>6000</v>
      </c>
      <c r="AK42" s="2">
        <f t="shared" si="10"/>
        <v>-1000</v>
      </c>
      <c r="AL42" s="2">
        <f t="shared" si="10"/>
        <v>-8000</v>
      </c>
    </row>
    <row r="43" spans="1:38" x14ac:dyDescent="0.25">
      <c r="A43" s="3" t="str">
        <f t="shared" si="0"/>
        <v>TOTAL LIABILITIES</v>
      </c>
      <c r="B43" t="s">
        <v>132</v>
      </c>
      <c r="D43" s="2">
        <f>+D37+D42</f>
        <v>694426.79</v>
      </c>
      <c r="E43" s="2">
        <f t="shared" ref="E43:AL43" si="11">+E37+E42</f>
        <v>843747.86</v>
      </c>
      <c r="F43" s="2">
        <f t="shared" si="11"/>
        <v>876891.64999999991</v>
      </c>
      <c r="G43" s="2">
        <f t="shared" si="11"/>
        <v>855650.78999999992</v>
      </c>
      <c r="H43" s="2">
        <f t="shared" si="11"/>
        <v>873714.12999999989</v>
      </c>
      <c r="I43" s="2">
        <f t="shared" si="11"/>
        <v>865751.55999999994</v>
      </c>
      <c r="J43" s="2">
        <f t="shared" si="11"/>
        <v>1039368.8699999999</v>
      </c>
      <c r="K43" s="2">
        <f t="shared" si="11"/>
        <v>880078.83</v>
      </c>
      <c r="L43" s="2">
        <f t="shared" si="11"/>
        <v>922684.17999999993</v>
      </c>
      <c r="M43" s="2">
        <f t="shared" si="11"/>
        <v>1064358.97</v>
      </c>
      <c r="N43" s="2">
        <f t="shared" si="11"/>
        <v>889502.52</v>
      </c>
      <c r="O43" s="2">
        <f t="shared" si="11"/>
        <v>906671.33</v>
      </c>
      <c r="P43" s="2">
        <f t="shared" si="11"/>
        <v>1004469.23</v>
      </c>
      <c r="Q43" s="2">
        <f t="shared" si="11"/>
        <v>959513.69000000006</v>
      </c>
      <c r="R43" s="2">
        <f t="shared" si="11"/>
        <v>876523.34000000008</v>
      </c>
      <c r="S43" s="2">
        <f t="shared" si="11"/>
        <v>965406.76</v>
      </c>
      <c r="T43" s="2">
        <f t="shared" si="11"/>
        <v>797129.94</v>
      </c>
      <c r="U43" s="2">
        <f t="shared" si="11"/>
        <v>896292.24999999988</v>
      </c>
      <c r="V43" s="2">
        <f t="shared" si="11"/>
        <v>923536.85999999987</v>
      </c>
      <c r="W43" s="2">
        <f t="shared" si="11"/>
        <v>1013796.1599999998</v>
      </c>
      <c r="X43" s="2">
        <f t="shared" si="11"/>
        <v>825157.55999999982</v>
      </c>
      <c r="Y43" s="2">
        <f t="shared" si="11"/>
        <v>961619.35999999964</v>
      </c>
      <c r="Z43" s="2">
        <f t="shared" si="11"/>
        <v>828335.60999999964</v>
      </c>
      <c r="AA43" s="2">
        <f t="shared" si="11"/>
        <v>863096.23999999964</v>
      </c>
      <c r="AB43" s="2">
        <f t="shared" si="11"/>
        <v>786624.69999999972</v>
      </c>
      <c r="AC43" s="2">
        <f t="shared" si="11"/>
        <v>789996.50999999978</v>
      </c>
      <c r="AD43" s="2">
        <f t="shared" si="11"/>
        <v>779807.17181818152</v>
      </c>
      <c r="AE43" s="2">
        <f t="shared" si="11"/>
        <v>802370.71363636339</v>
      </c>
      <c r="AF43" s="2">
        <f t="shared" si="11"/>
        <v>844681.4254545453</v>
      </c>
      <c r="AG43" s="2">
        <f t="shared" si="11"/>
        <v>739081.31727272714</v>
      </c>
      <c r="AH43" s="2">
        <f t="shared" si="11"/>
        <v>817631.34909090889</v>
      </c>
      <c r="AI43" s="2">
        <f t="shared" si="11"/>
        <v>793706.28090909065</v>
      </c>
      <c r="AJ43" s="2">
        <f t="shared" si="11"/>
        <v>847244.26272727246</v>
      </c>
      <c r="AK43" s="2">
        <f t="shared" si="11"/>
        <v>751900.62454545428</v>
      </c>
      <c r="AL43" s="2">
        <f t="shared" si="11"/>
        <v>755226.83636363607</v>
      </c>
    </row>
    <row r="44" spans="1:38" x14ac:dyDescent="0.25">
      <c r="A44" s="3">
        <f t="shared" si="0"/>
        <v>0</v>
      </c>
    </row>
    <row r="45" spans="1:38" x14ac:dyDescent="0.25">
      <c r="A45" s="3" t="str">
        <f t="shared" si="0"/>
        <v>EQUITY</v>
      </c>
      <c r="B45" t="s">
        <v>133</v>
      </c>
    </row>
    <row r="46" spans="1:38" x14ac:dyDescent="0.25">
      <c r="A46" s="3" t="str">
        <f t="shared" ref="A46:A48" si="12">+C46</f>
        <v>Common Stock</v>
      </c>
      <c r="B46" t="s">
        <v>176</v>
      </c>
      <c r="C46" t="s">
        <v>134</v>
      </c>
      <c r="D46" s="82">
        <v>100000</v>
      </c>
      <c r="E46" s="82">
        <v>100000</v>
      </c>
      <c r="F46" s="82">
        <v>100000</v>
      </c>
      <c r="G46" s="82">
        <v>100000</v>
      </c>
      <c r="H46" s="82">
        <v>100000</v>
      </c>
      <c r="I46" s="82">
        <v>100000</v>
      </c>
      <c r="J46" s="82">
        <v>100000</v>
      </c>
      <c r="K46" s="82">
        <v>100000</v>
      </c>
      <c r="L46" s="82">
        <v>100000</v>
      </c>
      <c r="M46" s="82">
        <v>100000</v>
      </c>
      <c r="N46" s="82">
        <v>100000</v>
      </c>
      <c r="O46" s="82">
        <v>100000</v>
      </c>
      <c r="P46" s="82">
        <v>100000</v>
      </c>
      <c r="Q46" s="82">
        <v>100000</v>
      </c>
      <c r="R46" s="82">
        <v>100000</v>
      </c>
      <c r="S46" s="82">
        <v>100000</v>
      </c>
      <c r="T46" s="82">
        <v>100000</v>
      </c>
      <c r="U46" s="82">
        <v>100000</v>
      </c>
      <c r="V46" s="82">
        <v>100000</v>
      </c>
      <c r="W46" s="82">
        <v>100000</v>
      </c>
      <c r="X46" s="82">
        <v>100000</v>
      </c>
      <c r="Y46" s="82">
        <v>100000</v>
      </c>
      <c r="Z46" s="82">
        <v>100000</v>
      </c>
      <c r="AA46" s="82">
        <v>100000</v>
      </c>
      <c r="AB46" s="82">
        <v>100000</v>
      </c>
      <c r="AC46" s="82">
        <v>100000</v>
      </c>
      <c r="AD46" s="82">
        <v>100000</v>
      </c>
      <c r="AE46" s="82">
        <v>100000</v>
      </c>
      <c r="AF46" s="82">
        <v>100000</v>
      </c>
      <c r="AG46" s="82">
        <v>100000</v>
      </c>
      <c r="AH46" s="82">
        <v>100000</v>
      </c>
      <c r="AI46" s="82">
        <v>100000</v>
      </c>
      <c r="AJ46" s="82">
        <v>100000</v>
      </c>
      <c r="AK46" s="82">
        <v>100000</v>
      </c>
      <c r="AL46" s="82">
        <v>100000</v>
      </c>
    </row>
    <row r="47" spans="1:38" x14ac:dyDescent="0.25">
      <c r="A47" s="3" t="str">
        <f t="shared" si="12"/>
        <v>Retained Earnings</v>
      </c>
      <c r="B47" t="s">
        <v>177</v>
      </c>
      <c r="C47" t="s">
        <v>135</v>
      </c>
      <c r="D47" s="82">
        <v>538364.87</v>
      </c>
      <c r="E47" s="82">
        <f>+D47+D48</f>
        <v>503634.87</v>
      </c>
      <c r="F47" s="82">
        <f>+E47</f>
        <v>503634.87</v>
      </c>
      <c r="G47" s="82">
        <f t="shared" ref="G47:P47" si="13">+F47</f>
        <v>503634.87</v>
      </c>
      <c r="H47" s="82">
        <f t="shared" si="13"/>
        <v>503634.87</v>
      </c>
      <c r="I47" s="82">
        <f t="shared" si="13"/>
        <v>503634.87</v>
      </c>
      <c r="J47" s="82">
        <f t="shared" si="13"/>
        <v>503634.87</v>
      </c>
      <c r="K47" s="82">
        <f t="shared" si="13"/>
        <v>503634.87</v>
      </c>
      <c r="L47" s="82">
        <f t="shared" si="13"/>
        <v>503634.87</v>
      </c>
      <c r="M47" s="82">
        <f t="shared" si="13"/>
        <v>503634.87</v>
      </c>
      <c r="N47" s="82">
        <f t="shared" si="13"/>
        <v>503634.87</v>
      </c>
      <c r="O47" s="82">
        <f t="shared" si="13"/>
        <v>503634.87</v>
      </c>
      <c r="P47" s="82">
        <f>(+O47)+48523.4600000002</f>
        <v>552158.33000000019</v>
      </c>
      <c r="Q47" s="82">
        <f>+P47+P48</f>
        <v>831499.16000000015</v>
      </c>
      <c r="R47" s="82">
        <f>+Q47</f>
        <v>831499.16000000015</v>
      </c>
      <c r="S47" s="82">
        <f t="shared" ref="S47:AB47" si="14">+R47</f>
        <v>831499.16000000015</v>
      </c>
      <c r="T47" s="82">
        <f t="shared" si="14"/>
        <v>831499.16000000015</v>
      </c>
      <c r="U47" s="82">
        <f t="shared" si="14"/>
        <v>831499.16000000015</v>
      </c>
      <c r="V47" s="82">
        <f t="shared" si="14"/>
        <v>831499.16000000015</v>
      </c>
      <c r="W47" s="82">
        <f t="shared" si="14"/>
        <v>831499.16000000015</v>
      </c>
      <c r="X47" s="82">
        <f t="shared" si="14"/>
        <v>831499.16000000015</v>
      </c>
      <c r="Y47" s="82">
        <f t="shared" si="14"/>
        <v>831499.16000000015</v>
      </c>
      <c r="Z47" s="82">
        <f t="shared" si="14"/>
        <v>831499.16000000015</v>
      </c>
      <c r="AA47" s="82">
        <f t="shared" si="14"/>
        <v>831499.16000000015</v>
      </c>
      <c r="AB47" s="82">
        <f>(+AA47)+52891.02</f>
        <v>884390.18000000017</v>
      </c>
      <c r="AC47" s="82">
        <f>+AB47+AB48</f>
        <v>727968.43000000017</v>
      </c>
      <c r="AD47" s="82">
        <f>(+AC47)+9272.44818181801</f>
        <v>737240.87818181817</v>
      </c>
      <c r="AE47" s="82">
        <f>(+AD47)+8915.90818181825</f>
        <v>746156.78636363638</v>
      </c>
      <c r="AF47" s="82">
        <f>(+AE47)+7702.56818181818</f>
        <v>753859.35454545461</v>
      </c>
      <c r="AG47" s="82">
        <f>(+AF47)+7522.89818181801</f>
        <v>761382.25272727257</v>
      </c>
      <c r="AH47" s="82">
        <f>(+AG47)+7473.69818181851</f>
        <v>768855.95090909104</v>
      </c>
      <c r="AI47" s="82">
        <f>(+AH47)+8801.66818181812</f>
        <v>777657.61909090914</v>
      </c>
      <c r="AJ47" s="82">
        <f>(+AI47)+6599.33818181813</f>
        <v>784256.95727272728</v>
      </c>
      <c r="AK47" s="82">
        <f>(+AJ47)+7070.27818181811</f>
        <v>791327.23545454536</v>
      </c>
      <c r="AL47" s="82">
        <f>(+AK47)+9323.55818181831</f>
        <v>800650.7936363637</v>
      </c>
    </row>
    <row r="48" spans="1:38" x14ac:dyDescent="0.25">
      <c r="A48" s="3" t="str">
        <f t="shared" si="12"/>
        <v>Net Income</v>
      </c>
      <c r="C48" t="s">
        <v>61</v>
      </c>
      <c r="D48" s="82">
        <v>-34730</v>
      </c>
      <c r="E48" s="82">
        <f>+'Income Statement Source'!G65</f>
        <v>-40854.29</v>
      </c>
      <c r="F48" s="82">
        <f>+'Income Statement Source'!H65+E48</f>
        <v>174857.72999999998</v>
      </c>
      <c r="G48" s="82">
        <f>+'Income Statement Source'!I65+F48</f>
        <v>254441.55</v>
      </c>
      <c r="H48" s="82">
        <f>+'Income Statement Source'!J65+G48</f>
        <v>274513.82</v>
      </c>
      <c r="I48" s="82">
        <f>+'Income Statement Source'!K65+H48</f>
        <v>247073.22</v>
      </c>
      <c r="J48" s="82">
        <f>+'Income Statement Source'!L65+I48</f>
        <v>138882.66</v>
      </c>
      <c r="K48" s="82">
        <f>+'Income Statement Source'!M65+J48</f>
        <v>225263.74</v>
      </c>
      <c r="L48" s="82">
        <f>+'Income Statement Source'!N65+K48</f>
        <v>249031.00999999998</v>
      </c>
      <c r="M48" s="82">
        <f>+'Income Statement Source'!O65+L48</f>
        <v>226125.75999999998</v>
      </c>
      <c r="N48" s="82">
        <f>+'Income Statement Source'!P65+M48</f>
        <v>254767.37999999998</v>
      </c>
      <c r="O48" s="82">
        <f>+'Income Statement Source'!Q65+N48</f>
        <v>259031.16999999998</v>
      </c>
      <c r="P48" s="82">
        <f>+'Income Statement Source'!R65+O48</f>
        <v>279340.82999999996</v>
      </c>
      <c r="Q48" s="82">
        <f>+'Income Statement Source'!T65</f>
        <v>-42364.78</v>
      </c>
      <c r="R48" s="82">
        <f>+'Income Statement Source'!U65+Q48</f>
        <v>-61333.869999999995</v>
      </c>
      <c r="S48" s="82">
        <f>+'Income Statement Source'!V65+R48</f>
        <v>-143422.14000000001</v>
      </c>
      <c r="T48" s="82">
        <f>+'Income Statement Source'!W65+S48</f>
        <v>-67053.510000000009</v>
      </c>
      <c r="U48" s="82">
        <f>+'Income Statement Source'!X65+T48</f>
        <v>-126197.20000000001</v>
      </c>
      <c r="V48" s="82">
        <f>+'Income Statement Source'!Y65+U48</f>
        <v>-94527.82</v>
      </c>
      <c r="W48" s="82">
        <f>+'Income Statement Source'!Z65+V48</f>
        <v>-175959.98</v>
      </c>
      <c r="X48" s="82">
        <f>+'Income Statement Source'!AA65+W48</f>
        <v>-79895.62000000001</v>
      </c>
      <c r="Y48" s="82">
        <f>+'Income Statement Source'!AB65+X48</f>
        <v>-63029.80000000001</v>
      </c>
      <c r="Z48" s="82">
        <f>+'Income Statement Source'!AC65+Y48</f>
        <v>-160474.18000000002</v>
      </c>
      <c r="AA48" s="82">
        <f>+'Income Statement Source'!AD65+Z48</f>
        <v>-234548.7</v>
      </c>
      <c r="AB48" s="82">
        <f>+'Income Statement Source'!AE65+AA48</f>
        <v>-156421.75</v>
      </c>
      <c r="AC48" s="82">
        <f>+'Income Statement Source'!AG65</f>
        <v>-23294.66</v>
      </c>
      <c r="AD48" s="82">
        <f>+'Income Statement Source'!AH65+AC48</f>
        <v>-2503.4500000000007</v>
      </c>
      <c r="AE48" s="82">
        <f>+'Income Statement Source'!AI65+AD48</f>
        <v>53587.100000000006</v>
      </c>
      <c r="AF48" s="82">
        <f>+'Income Statement Source'!AJ65+AE48</f>
        <v>28035.470000000005</v>
      </c>
      <c r="AG48" s="82">
        <f>+'Income Statement Source'!AK65+AF48</f>
        <v>89664.05</v>
      </c>
      <c r="AH48" s="82">
        <f>+'Income Statement Source'!AL65+AG48</f>
        <v>179796.05</v>
      </c>
      <c r="AI48" s="82">
        <f>+'Income Statement Source'!AM65+AH48</f>
        <v>248711.19999999998</v>
      </c>
      <c r="AJ48" s="82">
        <f>+'Income Statement Source'!AN65+AI48</f>
        <v>228790.66999999998</v>
      </c>
      <c r="AK48" s="82">
        <f>+'Income Statement Source'!AO65+AJ48</f>
        <v>388805.02999999997</v>
      </c>
      <c r="AL48" s="82">
        <f>+'Income Statement Source'!AP65+AK48</f>
        <v>390139.12</v>
      </c>
    </row>
    <row r="49" spans="1:38" x14ac:dyDescent="0.25">
      <c r="A49" s="3" t="str">
        <f t="shared" si="0"/>
        <v>Total Equity</v>
      </c>
      <c r="B49" t="s">
        <v>136</v>
      </c>
      <c r="D49" s="2">
        <f>SUM(D46:D48)</f>
        <v>603634.87</v>
      </c>
      <c r="E49" s="2">
        <f t="shared" ref="E49:AL49" si="15">SUM(E46:E48)</f>
        <v>562780.57999999996</v>
      </c>
      <c r="F49" s="2">
        <f t="shared" si="15"/>
        <v>778492.6</v>
      </c>
      <c r="G49" s="2">
        <f t="shared" si="15"/>
        <v>858076.41999999993</v>
      </c>
      <c r="H49" s="2">
        <f t="shared" si="15"/>
        <v>878148.69</v>
      </c>
      <c r="I49" s="2">
        <f t="shared" si="15"/>
        <v>850708.09</v>
      </c>
      <c r="J49" s="2">
        <f t="shared" si="15"/>
        <v>742517.53</v>
      </c>
      <c r="K49" s="2">
        <f t="shared" si="15"/>
        <v>828898.61</v>
      </c>
      <c r="L49" s="2">
        <f t="shared" si="15"/>
        <v>852665.88</v>
      </c>
      <c r="M49" s="2">
        <f t="shared" si="15"/>
        <v>829760.63</v>
      </c>
      <c r="N49" s="2">
        <f t="shared" si="15"/>
        <v>858402.25</v>
      </c>
      <c r="O49" s="2">
        <f t="shared" si="15"/>
        <v>862666.04</v>
      </c>
      <c r="P49" s="2">
        <f t="shared" si="15"/>
        <v>931499.16000000015</v>
      </c>
      <c r="Q49" s="2">
        <f t="shared" si="15"/>
        <v>889134.38000000012</v>
      </c>
      <c r="R49" s="2">
        <f t="shared" si="15"/>
        <v>870165.29000000015</v>
      </c>
      <c r="S49" s="2">
        <f t="shared" si="15"/>
        <v>788077.02000000014</v>
      </c>
      <c r="T49" s="2">
        <f t="shared" si="15"/>
        <v>864445.65000000014</v>
      </c>
      <c r="U49" s="2">
        <f t="shared" si="15"/>
        <v>805301.9600000002</v>
      </c>
      <c r="V49" s="2">
        <f t="shared" si="15"/>
        <v>836971.34000000008</v>
      </c>
      <c r="W49" s="2">
        <f t="shared" si="15"/>
        <v>755539.18000000017</v>
      </c>
      <c r="X49" s="2">
        <f t="shared" si="15"/>
        <v>851603.54000000015</v>
      </c>
      <c r="Y49" s="2">
        <f t="shared" si="15"/>
        <v>868469.3600000001</v>
      </c>
      <c r="Z49" s="2">
        <f t="shared" si="15"/>
        <v>771024.9800000001</v>
      </c>
      <c r="AA49" s="2">
        <f t="shared" si="15"/>
        <v>696950.4600000002</v>
      </c>
      <c r="AB49" s="2">
        <f t="shared" si="15"/>
        <v>827968.43000000017</v>
      </c>
      <c r="AC49" s="2">
        <f t="shared" si="15"/>
        <v>804673.77000000014</v>
      </c>
      <c r="AD49" s="2">
        <f t="shared" si="15"/>
        <v>834737.42818181822</v>
      </c>
      <c r="AE49" s="2">
        <f t="shared" si="15"/>
        <v>899743.88636363635</v>
      </c>
      <c r="AF49" s="2">
        <f t="shared" si="15"/>
        <v>881894.82454545458</v>
      </c>
      <c r="AG49" s="2">
        <f t="shared" si="15"/>
        <v>951046.30272727262</v>
      </c>
      <c r="AH49" s="2">
        <f t="shared" si="15"/>
        <v>1048652.000909091</v>
      </c>
      <c r="AI49" s="2">
        <f t="shared" si="15"/>
        <v>1126368.8190909091</v>
      </c>
      <c r="AJ49" s="2">
        <f t="shared" si="15"/>
        <v>1113047.6272727272</v>
      </c>
      <c r="AK49" s="2">
        <f t="shared" si="15"/>
        <v>1280132.2654545454</v>
      </c>
      <c r="AL49" s="2">
        <f t="shared" si="15"/>
        <v>1290789.9136363636</v>
      </c>
    </row>
    <row r="50" spans="1:38" x14ac:dyDescent="0.25">
      <c r="A50" s="3" t="str">
        <f t="shared" si="0"/>
        <v>TOTAL LIABILITIES &amp; EQUITY</v>
      </c>
      <c r="B50" t="s">
        <v>137</v>
      </c>
      <c r="D50" s="82">
        <f>+D43+D49</f>
        <v>1298061.6600000001</v>
      </c>
      <c r="E50" s="82">
        <f t="shared" ref="E50:AL50" si="16">+E43+E49</f>
        <v>1406528.44</v>
      </c>
      <c r="F50" s="82">
        <f t="shared" si="16"/>
        <v>1655384.25</v>
      </c>
      <c r="G50" s="82">
        <f t="shared" si="16"/>
        <v>1713727.21</v>
      </c>
      <c r="H50" s="82">
        <f t="shared" si="16"/>
        <v>1751862.8199999998</v>
      </c>
      <c r="I50" s="82">
        <f t="shared" si="16"/>
        <v>1716459.65</v>
      </c>
      <c r="J50" s="82">
        <f t="shared" si="16"/>
        <v>1781886.4</v>
      </c>
      <c r="K50" s="82">
        <f t="shared" si="16"/>
        <v>1708977.44</v>
      </c>
      <c r="L50" s="82">
        <f t="shared" si="16"/>
        <v>1775350.06</v>
      </c>
      <c r="M50" s="82">
        <f t="shared" si="16"/>
        <v>1894119.6</v>
      </c>
      <c r="N50" s="82">
        <f t="shared" si="16"/>
        <v>1747904.77</v>
      </c>
      <c r="O50" s="82">
        <f t="shared" si="16"/>
        <v>1769337.37</v>
      </c>
      <c r="P50" s="82">
        <f t="shared" si="16"/>
        <v>1935968.3900000001</v>
      </c>
      <c r="Q50" s="82">
        <f t="shared" si="16"/>
        <v>1848648.0700000003</v>
      </c>
      <c r="R50" s="82">
        <f t="shared" si="16"/>
        <v>1746688.6300000004</v>
      </c>
      <c r="S50" s="82">
        <f t="shared" si="16"/>
        <v>1753483.7800000003</v>
      </c>
      <c r="T50" s="82">
        <f t="shared" si="16"/>
        <v>1661575.59</v>
      </c>
      <c r="U50" s="82">
        <f t="shared" si="16"/>
        <v>1701594.21</v>
      </c>
      <c r="V50" s="82">
        <f t="shared" si="16"/>
        <v>1760508.2</v>
      </c>
      <c r="W50" s="82">
        <f t="shared" si="16"/>
        <v>1769335.3399999999</v>
      </c>
      <c r="X50" s="82">
        <f t="shared" si="16"/>
        <v>1676761.1</v>
      </c>
      <c r="Y50" s="82">
        <f t="shared" si="16"/>
        <v>1830088.7199999997</v>
      </c>
      <c r="Z50" s="82">
        <f t="shared" si="16"/>
        <v>1599360.5899999999</v>
      </c>
      <c r="AA50" s="82">
        <f t="shared" si="16"/>
        <v>1560046.6999999997</v>
      </c>
      <c r="AB50" s="82">
        <f t="shared" si="16"/>
        <v>1614593.13</v>
      </c>
      <c r="AC50" s="82">
        <f t="shared" si="16"/>
        <v>1594670.2799999998</v>
      </c>
      <c r="AD50" s="82">
        <f t="shared" si="16"/>
        <v>1614544.5999999996</v>
      </c>
      <c r="AE50" s="82">
        <f t="shared" si="16"/>
        <v>1702114.5999999996</v>
      </c>
      <c r="AF50" s="82">
        <f t="shared" si="16"/>
        <v>1726576.25</v>
      </c>
      <c r="AG50" s="82">
        <f t="shared" si="16"/>
        <v>1690127.6199999996</v>
      </c>
      <c r="AH50" s="82">
        <f t="shared" si="16"/>
        <v>1866283.3499999999</v>
      </c>
      <c r="AI50" s="82">
        <f t="shared" si="16"/>
        <v>1920075.0999999996</v>
      </c>
      <c r="AJ50" s="82">
        <f t="shared" si="16"/>
        <v>1960291.8899999997</v>
      </c>
      <c r="AK50" s="82">
        <f t="shared" si="16"/>
        <v>2032032.8899999997</v>
      </c>
      <c r="AL50" s="82">
        <f t="shared" si="16"/>
        <v>2046016.7499999995</v>
      </c>
    </row>
    <row r="52" spans="1:38" x14ac:dyDescent="0.25">
      <c r="D52" s="84">
        <f>+D24-D50</f>
        <v>0.25999999977648258</v>
      </c>
      <c r="E52" s="84">
        <f>+E24-E50</f>
        <v>0.2099999999627471</v>
      </c>
      <c r="F52" s="84">
        <f>+F24-F50</f>
        <v>0.26000000000931323</v>
      </c>
      <c r="G52" s="84">
        <f t="shared" ref="G52:AL52" si="17">+G24-G50</f>
        <v>0.27000000001862645</v>
      </c>
      <c r="H52" s="84">
        <f t="shared" si="17"/>
        <v>0.27000000001862645</v>
      </c>
      <c r="I52" s="84">
        <f t="shared" si="17"/>
        <v>0.2900000000372529</v>
      </c>
      <c r="J52" s="84">
        <f t="shared" si="17"/>
        <v>0.37999999988824129</v>
      </c>
      <c r="K52" s="84">
        <f t="shared" si="17"/>
        <v>0.30000000004656613</v>
      </c>
      <c r="L52" s="84">
        <f t="shared" si="17"/>
        <v>0.23999999975785613</v>
      </c>
      <c r="M52" s="84">
        <f t="shared" si="17"/>
        <v>9.999999962747097E-2</v>
      </c>
      <c r="N52" s="84">
        <f t="shared" si="17"/>
        <v>2.9999999795109034E-2</v>
      </c>
      <c r="O52" s="84">
        <f t="shared" si="17"/>
        <v>2.9999999795109034E-2</v>
      </c>
      <c r="P52" s="84">
        <f t="shared" si="17"/>
        <v>0</v>
      </c>
      <c r="Q52" s="84">
        <f t="shared" si="17"/>
        <v>-1.0000000474974513E-2</v>
      </c>
      <c r="R52" s="84">
        <f t="shared" si="17"/>
        <v>-4.000000050291419E-2</v>
      </c>
      <c r="S52" s="84">
        <f t="shared" si="17"/>
        <v>-3.0000000493600965E-2</v>
      </c>
      <c r="T52" s="84">
        <f t="shared" si="17"/>
        <v>-2.0000000484287739E-2</v>
      </c>
      <c r="U52" s="84">
        <f t="shared" si="17"/>
        <v>-3.0000000260770321E-2</v>
      </c>
      <c r="V52" s="84">
        <f t="shared" si="17"/>
        <v>-0.12000000011175871</v>
      </c>
      <c r="W52" s="84">
        <f t="shared" si="17"/>
        <v>-0.11999999987892807</v>
      </c>
      <c r="X52" s="84">
        <f t="shared" si="17"/>
        <v>-6.0000000288709998E-2</v>
      </c>
      <c r="Y52" s="84">
        <f t="shared" si="17"/>
        <v>-0.14000000013038516</v>
      </c>
      <c r="Z52" s="84">
        <f t="shared" si="17"/>
        <v>-0.18999999994412065</v>
      </c>
      <c r="AA52" s="84">
        <f t="shared" si="17"/>
        <v>-0.18999999994412065</v>
      </c>
      <c r="AB52" s="84">
        <f t="shared" si="17"/>
        <v>0</v>
      </c>
      <c r="AC52" s="84">
        <f t="shared" si="17"/>
        <v>5.0000000279396772E-2</v>
      </c>
      <c r="AD52" s="84">
        <f t="shared" si="17"/>
        <v>0</v>
      </c>
      <c r="AE52" s="84">
        <f t="shared" si="17"/>
        <v>-9.9999997764825821E-3</v>
      </c>
      <c r="AF52" s="84">
        <f t="shared" si="17"/>
        <v>0</v>
      </c>
      <c r="AG52" s="84">
        <f t="shared" si="17"/>
        <v>8.0000000074505806E-2</v>
      </c>
      <c r="AH52" s="84">
        <f t="shared" si="17"/>
        <v>0.12000000011175871</v>
      </c>
      <c r="AI52" s="84">
        <f t="shared" si="17"/>
        <v>0.19000000017695129</v>
      </c>
      <c r="AJ52" s="84">
        <f t="shared" si="17"/>
        <v>0.26000000047497451</v>
      </c>
      <c r="AK52" s="84">
        <f t="shared" si="17"/>
        <v>0.26000000047497451</v>
      </c>
      <c r="AL52" s="84">
        <f t="shared" si="17"/>
        <v>0.32000000029802322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Output &gt;&gt;</vt:lpstr>
      <vt:lpstr>1. Income Statement</vt:lpstr>
      <vt:lpstr>1.1 Adjusted Income Stmt</vt:lpstr>
      <vt:lpstr>2. Balance Sheet</vt:lpstr>
      <vt:lpstr>3. Cash Flow Statement</vt:lpstr>
      <vt:lpstr>4. WIP Report (Oct-25)</vt:lpstr>
      <vt:lpstr>5. Completed Jobs</vt:lpstr>
      <vt:lpstr>6. Billing by Customer</vt:lpstr>
      <vt:lpstr>7. POC Lookback Summary</vt:lpstr>
      <vt:lpstr>8. Profitability by Work Type</vt:lpstr>
      <vt:lpstr>8.1 Profitability by Project</vt:lpstr>
      <vt:lpstr>8.2 Profitability by Customer</vt:lpstr>
      <vt:lpstr>8.3 Profitability by Vertical</vt:lpstr>
      <vt:lpstr>8.4 Profitability by Cust. Type</vt:lpstr>
      <vt:lpstr>8.5 Profitability by Class</vt:lpstr>
      <vt:lpstr>9. Contract Listing</vt:lpstr>
      <vt:lpstr>Source &gt;&gt;</vt:lpstr>
      <vt:lpstr>Income Statement Source</vt:lpstr>
      <vt:lpstr>Balance Sheet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Schaefer</dc:creator>
  <cp:lastModifiedBy>Sean Schaefer</cp:lastModifiedBy>
  <dcterms:created xsi:type="dcterms:W3CDTF">2025-11-19T14:12:43Z</dcterms:created>
  <dcterms:modified xsi:type="dcterms:W3CDTF">2025-11-26T19:53:47Z</dcterms:modified>
</cp:coreProperties>
</file>